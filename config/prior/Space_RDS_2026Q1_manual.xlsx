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T:\Actuarial\Risk_and_Capital\PMLs\2026\Q1\Space\JJ workings\"/>
    </mc:Choice>
  </mc:AlternateContent>
  <xr:revisionPtr revIDLastSave="0" documentId="8_{84A0C497-4A58-439A-B76D-114C6A654633}" xr6:coauthVersionLast="47" xr6:coauthVersionMax="47" xr10:uidLastSave="{00000000-0000-0000-0000-000000000000}"/>
  <bookViews>
    <workbookView xWindow="15240" yWindow="-21600" windowWidth="38610" windowHeight="20985" tabRatio="910" firstSheet="7" activeTab="18" xr2:uid="{78DA754C-2F1E-4A15-B290-1640C9142A18}"/>
  </bookViews>
  <sheets>
    <sheet name="RDS QA" sheetId="15" r:id="rId1"/>
    <sheet name="Control" sheetId="16" r:id="rId2"/>
    <sheet name="Input Data" sheetId="1" r:id="rId3"/>
    <sheet name="Multiline XOL Check" sheetId="30" r:id="rId4"/>
    <sheet name="IG Equity Share" sheetId="29" r:id="rId5"/>
    <sheet name="S3123 Consortium Share" sheetId="31" r:id="rId6"/>
    <sheet name="S3123 QS" sheetId="33" r:id="rId7"/>
    <sheet name="Consortium Shares" sheetId="32" r:id="rId8"/>
    <sheet name="Sheet1" sheetId="27" state="hidden" r:id="rId9"/>
    <sheet name="Sheet3" sheetId="19" state="hidden" r:id="rId10"/>
    <sheet name="Largest Risks" sheetId="10" state="hidden" r:id="rId11"/>
    <sheet name="IGR XoL" sheetId="13" r:id="rId12"/>
    <sheet name="Changes" sheetId="28" r:id="rId13"/>
    <sheet name="IGR QS" sheetId="14" r:id="rId14"/>
    <sheet name="Summary" sheetId="6" r:id="rId15"/>
    <sheet name="Bus Manufacturer" sheetId="12" r:id="rId16"/>
    <sheet name="Spacecraft" sheetId="34" r:id="rId17"/>
    <sheet name="Change Narrative (Proton Flare)" sheetId="20" r:id="rId18"/>
    <sheet name="Change Narrative (Space Weathe)" sheetId="21" r:id="rId19"/>
    <sheet name="Change Narrative (Gen Defect)" sheetId="22" r:id="rId20"/>
    <sheet name="Sheet2" sheetId="26" state="hidden" r:id="rId21"/>
    <sheet name="Change Narrative (Max Risk)" sheetId="24" r:id="rId22"/>
    <sheet name="Change Narrative (Space Debris)" sheetId="23" r:id="rId23"/>
    <sheet name="Outwards_RI" sheetId="4" state="hidden" r:id="rId24"/>
    <sheet name="From_PQ" sheetId="2" state="hidden" r:id="rId25"/>
    <sheet name="SQL" sheetId="9" state="hidden" r:id="rId26"/>
  </sheets>
  <externalReferences>
    <externalReference r:id="rId27"/>
    <externalReference r:id="rId28"/>
    <externalReference r:id="rId29"/>
    <externalReference r:id="rId30"/>
    <externalReference r:id="rId31"/>
    <externalReference r:id="rId32"/>
    <externalReference r:id="rId33"/>
  </externalReferences>
  <definedNames>
    <definedName name="_AtRisk_SimSetting_AutomaticallyGenerateReports" hidden="1">FALSE</definedName>
    <definedName name="_AtRisk_SimSetting_AutomaticResultsDisplayMode" hidden="1">2</definedName>
    <definedName name="_AtRisk_SimSetting_AutomaticResultsDisplayMode_1"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12</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localSheetId="19" hidden="1">0</definedName>
    <definedName name="_AtRisk_SimSetting_ReportOptionCustomItemsCount" localSheetId="21" hidden="1">0</definedName>
    <definedName name="_AtRisk_SimSetting_ReportOptionCustomItemsCount" localSheetId="17" hidden="1">0</definedName>
    <definedName name="_AtRisk_SimSetting_ReportOptionCustomItemsCount" localSheetId="22" hidden="1">0</definedName>
    <definedName name="_AtRisk_SimSetting_ReportOptionCustomItemsCount" localSheetId="18" hidden="1">0</definedName>
    <definedName name="_AtRisk_SimSetting_ReportOptionCustomItemsCount" hidden="1">0</definedName>
    <definedName name="_AtRisk_SimSetting_ReportOptionCustomItemsCount_1"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localSheetId="19" hidden="1">1</definedName>
    <definedName name="_AtRisk_SimSetting_ReportOptionReportMultiSimType" localSheetId="21" hidden="1">1</definedName>
    <definedName name="_AtRisk_SimSetting_ReportOptionReportMultiSimType" localSheetId="17" hidden="1">1</definedName>
    <definedName name="_AtRisk_SimSetting_ReportOptionReportMultiSimType" localSheetId="22" hidden="1">1</definedName>
    <definedName name="_AtRisk_SimSetting_ReportOptionReportMultiSimType" localSheetId="18" hidden="1">1</definedName>
    <definedName name="_AtRisk_SimSetting_ReportOptionReportMultiSimType" hidden="1">1</definedName>
    <definedName name="_AtRisk_SimSetting_ReportOptionReportMultiSimType_1"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localSheetId="19" hidden="1">1</definedName>
    <definedName name="_AtRisk_SimSetting_ReportOptionReportStyle" localSheetId="21" hidden="1">1</definedName>
    <definedName name="_AtRisk_SimSetting_ReportOptionReportStyle" localSheetId="17" hidden="1">1</definedName>
    <definedName name="_AtRisk_SimSetting_ReportOptionReportStyle" localSheetId="22" hidden="1">1</definedName>
    <definedName name="_AtRisk_SimSetting_ReportOptionReportStyle" localSheetId="18" hidden="1">1</definedName>
    <definedName name="_AtRisk_SimSetting_ReportOptionReportStyle" hidden="1">1</definedName>
    <definedName name="_AtRisk_SimSetting_ReportOptionReportStyle_1"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martSensitivityAnalysisEnabled_1"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15" hidden="1">'Bus Manufacturer'!$C$12:$W$12</definedName>
    <definedName name="_xlnm._FilterDatabase" localSheetId="12" hidden="1">Changes!$A$6:$T$1027</definedName>
    <definedName name="_xlnm._FilterDatabase" localSheetId="13" hidden="1">'IGR QS'!$A$1:$D$57</definedName>
    <definedName name="_xlnm._FilterDatabase" localSheetId="2" hidden="1">'Input Data'!$A$19:$DD$188</definedName>
    <definedName name="_xlnm._FilterDatabase" localSheetId="16" hidden="1">Spacecraft!$C$12:$X$12</definedName>
    <definedName name="_xlchart.v1.0" hidden="1">Changes!$X$7:$X$17</definedName>
    <definedName name="_xlchart.v1.1" hidden="1">Changes!$Y$6</definedName>
    <definedName name="_xlchart.v1.2" hidden="1">Changes!$Y$7:$Y$17</definedName>
    <definedName name="FIID">'IGR XoL'!$B$18</definedName>
    <definedName name="FIID_Deductible">'IGR XoL'!$D$18</definedName>
    <definedName name="FIID_Limit">'IGR XoL'!$C$18</definedName>
    <definedName name="FUL">'IGR XoL'!$B$19</definedName>
    <definedName name="FUL_Deductible">'IGR XoL'!$D$19</definedName>
    <definedName name="FUL_Limit">'IGR XoL'!$C$19</definedName>
    <definedName name="Generic_Defect_Loss" localSheetId="25">[1]Parameters!$C$5</definedName>
    <definedName name="Generic_Defect_Loss">Summary!$P$3</definedName>
    <definedName name="Pal_Workbook_GUID" hidden="1">"XVLK68HYZCC1CUJNCZ54UR79"</definedName>
    <definedName name="Proton_Flare_InsLoss" localSheetId="25">[1]Parameters!$C$11</definedName>
    <definedName name="Proton_Flare_InsLoss">Summary!$P$9</definedName>
    <definedName name="QUARTER" localSheetId="19">_xlfn.LAMBDA(_xlpm.date, YEAR(_xlpm.date) &amp; "Q" &amp; ROUNDUP((MONTH(_xlpm.date))/3,0))</definedName>
    <definedName name="QUARTER" localSheetId="21">_xlfn.LAMBDA(_xlpm.date, YEAR(_xlpm.date) &amp; "Q" &amp; ROUNDUP((MONTH(_xlpm.date))/3,0))</definedName>
    <definedName name="QUARTER" localSheetId="17">_xlfn.LAMBDA(_xlpm.date, YEAR(_xlpm.date) &amp; "Q" &amp; ROUNDUP((MONTH(_xlpm.date))/3,0))</definedName>
    <definedName name="QUARTER" localSheetId="22">_xlfn.LAMBDA(_xlpm.date, YEAR(_xlpm.date) &amp; "Q" &amp; ROUNDUP((MONTH(_xlpm.date))/3,0))</definedName>
    <definedName name="QUARTER" localSheetId="18">_xlfn.LAMBDA(_xlpm.date, YEAR(_xlpm.date) &amp; "Q" &amp; ROUNDUP((MONTH(_xlpm.date))/3,0))</definedName>
    <definedName name="RDS_date">#REF!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25</definedName>
    <definedName name="RiskFixedSeed_1"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25000</definedName>
    <definedName name="RiskNumIterations_1" hidden="1">5000</definedName>
    <definedName name="RiskNumSimulations" hidden="1">1</definedName>
    <definedName name="RiskNumSimulations_1" hidden="1">10</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FixedSeed_1" hidden="1">FALSE</definedName>
    <definedName name="RiskUseMultipleCPUs" hidden="1">TRUE</definedName>
    <definedName name="Space_Debris_Loss" localSheetId="25">[1]Parameters!$C$8</definedName>
    <definedName name="Space_Debris_Loss">Summary!$P$6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23" l="1"/>
  <c r="K21" i="23"/>
  <c r="K20" i="23"/>
  <c r="K19" i="23"/>
  <c r="K18" i="23"/>
  <c r="L17" i="22"/>
  <c r="K18" i="22"/>
  <c r="K19" i="22"/>
  <c r="K20" i="22"/>
  <c r="K17" i="22"/>
  <c r="K18" i="21"/>
  <c r="K20" i="21"/>
  <c r="K18" i="20"/>
  <c r="K19" i="20"/>
  <c r="K20" i="20"/>
  <c r="L17" i="20"/>
  <c r="K17" i="20"/>
  <c r="E55" i="6" l="1"/>
  <c r="C23" i="23" l="1"/>
  <c r="BE188" i="1" l="1"/>
  <c r="BE187" i="1"/>
  <c r="BE186" i="1"/>
  <c r="BE185" i="1"/>
  <c r="BE184" i="1"/>
  <c r="BE183" i="1"/>
  <c r="BE182" i="1"/>
  <c r="BE181" i="1"/>
  <c r="BE180" i="1"/>
  <c r="BE179" i="1"/>
  <c r="BE178" i="1"/>
  <c r="BE177" i="1"/>
  <c r="BE176" i="1"/>
  <c r="BE175" i="1"/>
  <c r="BE174" i="1"/>
  <c r="BE173" i="1"/>
  <c r="BE172" i="1"/>
  <c r="BE171" i="1"/>
  <c r="BE170" i="1"/>
  <c r="BE169" i="1"/>
  <c r="BE168" i="1"/>
  <c r="BE167" i="1"/>
  <c r="BE166" i="1"/>
  <c r="BE165" i="1"/>
  <c r="BE164" i="1"/>
  <c r="BE163" i="1"/>
  <c r="BE162" i="1"/>
  <c r="BE161" i="1"/>
  <c r="BE160" i="1"/>
  <c r="BE159" i="1"/>
  <c r="BE158" i="1"/>
  <c r="BE20" i="1"/>
  <c r="F3" i="31" l="1"/>
  <c r="L65" i="6" l="1" a="1"/>
  <c r="L65" i="6" s="1"/>
  <c r="F4" i="31" l="1"/>
  <c r="F5" i="31"/>
  <c r="AE20" i="1"/>
  <c r="P20" i="1"/>
  <c r="C13" i="34" l="1" a="1"/>
  <c r="AI14" i="34"/>
  <c r="AB19" i="34" l="1"/>
  <c r="AB31" i="34"/>
  <c r="AB43" i="34"/>
  <c r="AB55" i="34"/>
  <c r="AB67" i="34"/>
  <c r="AB79" i="34"/>
  <c r="AB91" i="34"/>
  <c r="AB103" i="34"/>
  <c r="AB115" i="34"/>
  <c r="AB127" i="34"/>
  <c r="AB21" i="34"/>
  <c r="AB57" i="34"/>
  <c r="AB93" i="34"/>
  <c r="AB117" i="34"/>
  <c r="AB37" i="34"/>
  <c r="AB85" i="34"/>
  <c r="AB14" i="34"/>
  <c r="AB98" i="34"/>
  <c r="AB15" i="34"/>
  <c r="AB63" i="34"/>
  <c r="AB87" i="34"/>
  <c r="AB123" i="34"/>
  <c r="AB40" i="34"/>
  <c r="AB124" i="34"/>
  <c r="AB17" i="34"/>
  <c r="AB65" i="34"/>
  <c r="AB113" i="34"/>
  <c r="AB54" i="34"/>
  <c r="AB90" i="34"/>
  <c r="AB126" i="34"/>
  <c r="AB20" i="34"/>
  <c r="AB32" i="34"/>
  <c r="AB44" i="34"/>
  <c r="AB56" i="34"/>
  <c r="AB68" i="34"/>
  <c r="AB80" i="34"/>
  <c r="AB92" i="34"/>
  <c r="AB104" i="34"/>
  <c r="AB116" i="34"/>
  <c r="AB33" i="34"/>
  <c r="AB45" i="34"/>
  <c r="AB69" i="34"/>
  <c r="AB105" i="34"/>
  <c r="AB49" i="34"/>
  <c r="AB97" i="34"/>
  <c r="AB38" i="34"/>
  <c r="AB51" i="34"/>
  <c r="AB111" i="34"/>
  <c r="AB28" i="34"/>
  <c r="AB88" i="34"/>
  <c r="AB41" i="34"/>
  <c r="AB89" i="34"/>
  <c r="AB30" i="34"/>
  <c r="AB66" i="34"/>
  <c r="AB78" i="34"/>
  <c r="AB102" i="34"/>
  <c r="AB81" i="34"/>
  <c r="AB110" i="34"/>
  <c r="AB27" i="34"/>
  <c r="AB16" i="34"/>
  <c r="AB76" i="34"/>
  <c r="AB29" i="34"/>
  <c r="AB42" i="34"/>
  <c r="AB114" i="34"/>
  <c r="AB22" i="34"/>
  <c r="AB34" i="34"/>
  <c r="AB46" i="34"/>
  <c r="AB58" i="34"/>
  <c r="AB70" i="34"/>
  <c r="AB82" i="34"/>
  <c r="AB94" i="34"/>
  <c r="AB106" i="34"/>
  <c r="AB118" i="34"/>
  <c r="AB73" i="34"/>
  <c r="AB121" i="34"/>
  <c r="AB50" i="34"/>
  <c r="AB62" i="34"/>
  <c r="AB74" i="34"/>
  <c r="AB75" i="34"/>
  <c r="AB52" i="34"/>
  <c r="AB64" i="34"/>
  <c r="AB100" i="34"/>
  <c r="AB53" i="34"/>
  <c r="AB101" i="34"/>
  <c r="AB23" i="34"/>
  <c r="AB35" i="34"/>
  <c r="AB47" i="34"/>
  <c r="AB59" i="34"/>
  <c r="AB71" i="34"/>
  <c r="AB83" i="34"/>
  <c r="AB95" i="34"/>
  <c r="AB107" i="34"/>
  <c r="AB24" i="34"/>
  <c r="AB36" i="34"/>
  <c r="AB48" i="34"/>
  <c r="AB60" i="34"/>
  <c r="AB72" i="34"/>
  <c r="AB84" i="34"/>
  <c r="AB96" i="34"/>
  <c r="AB108" i="34"/>
  <c r="D1" i="34"/>
  <c r="AB25" i="34"/>
  <c r="AB61" i="34"/>
  <c r="AB109" i="34"/>
  <c r="AB26" i="34"/>
  <c r="AB86" i="34"/>
  <c r="AB122" i="34"/>
  <c r="AB39" i="34"/>
  <c r="AB99" i="34"/>
  <c r="AB112" i="34"/>
  <c r="AB77" i="34"/>
  <c r="AB125" i="34"/>
  <c r="AB18" i="34"/>
  <c r="K119" i="34"/>
  <c r="AA15" i="34"/>
  <c r="K45" i="34"/>
  <c r="T86" i="34"/>
  <c r="AA36" i="34"/>
  <c r="T42" i="34"/>
  <c r="Y68" i="34"/>
  <c r="S14" i="34"/>
  <c r="Y21" i="34"/>
  <c r="M25" i="34"/>
  <c r="K29" i="34"/>
  <c r="Y31" i="34"/>
  <c r="AA45" i="34"/>
  <c r="N49" i="34"/>
  <c r="R58" i="34"/>
  <c r="T69" i="34"/>
  <c r="L21" i="34"/>
  <c r="Y26" i="34"/>
  <c r="AA28" i="34"/>
  <c r="L45" i="34"/>
  <c r="K25" i="34"/>
  <c r="Y14" i="34"/>
  <c r="R16" i="34"/>
  <c r="AA21" i="34"/>
  <c r="Y23" i="34"/>
  <c r="L27" i="34"/>
  <c r="L29" i="34"/>
  <c r="AA31" i="34"/>
  <c r="AA34" i="34"/>
  <c r="Y37" i="34"/>
  <c r="K46" i="34"/>
  <c r="AA58" i="34"/>
  <c r="T96" i="34"/>
  <c r="S16" i="34"/>
  <c r="R18" i="34"/>
  <c r="K20" i="34"/>
  <c r="Y40" i="34"/>
  <c r="R43" i="34"/>
  <c r="U54" i="34"/>
  <c r="AA24" i="34"/>
  <c r="K31" i="34"/>
  <c r="L23" i="34"/>
  <c r="K37" i="34"/>
  <c r="Y53" i="34"/>
  <c r="AA16" i="34"/>
  <c r="T18" i="34"/>
  <c r="L20" i="34"/>
  <c r="K22" i="34"/>
  <c r="AA25" i="34"/>
  <c r="Y29" i="34"/>
  <c r="L32" i="34"/>
  <c r="L35" i="34"/>
  <c r="AA40" i="34"/>
  <c r="AA43" i="34"/>
  <c r="Y46" i="34"/>
  <c r="N50" i="34"/>
  <c r="AA64" i="34"/>
  <c r="K23" i="34"/>
  <c r="AA19" i="34"/>
  <c r="U91" i="34"/>
  <c r="Y18" i="34"/>
  <c r="M22" i="34"/>
  <c r="Y27" i="34"/>
  <c r="N35" i="34"/>
  <c r="N38" i="34"/>
  <c r="L65" i="34"/>
  <c r="AA18" i="34"/>
  <c r="Y20" i="34"/>
  <c r="L24" i="34"/>
  <c r="AA27" i="34"/>
  <c r="Y32" i="34"/>
  <c r="Y35" i="34"/>
  <c r="N51" i="34"/>
  <c r="U55" i="34"/>
  <c r="S60" i="34"/>
  <c r="U77" i="34"/>
  <c r="Y17" i="34"/>
  <c r="AA39" i="34"/>
  <c r="K53" i="34"/>
  <c r="N34" i="34"/>
  <c r="R15" i="34"/>
  <c r="K26" i="34"/>
  <c r="L30" i="34"/>
  <c r="U41" i="34"/>
  <c r="N47" i="34"/>
  <c r="T66" i="34"/>
  <c r="T15" i="34"/>
  <c r="K19" i="34"/>
  <c r="AA22" i="34"/>
  <c r="L26" i="34"/>
  <c r="K28" i="34"/>
  <c r="K33" i="34"/>
  <c r="K36" i="34"/>
  <c r="Y41" i="34"/>
  <c r="Y44" i="34"/>
  <c r="L52" i="34"/>
  <c r="R56" i="34"/>
  <c r="Y66" i="34"/>
  <c r="L119" i="34"/>
  <c r="S42" i="34"/>
  <c r="U68" i="34"/>
  <c r="N31" i="34"/>
  <c r="Y15" i="34"/>
  <c r="S17" i="34"/>
  <c r="M19" i="34"/>
  <c r="Y24" i="34"/>
  <c r="AA30" i="34"/>
  <c r="L36" i="34"/>
  <c r="L39" i="34"/>
  <c r="N52" i="34"/>
  <c r="T56" i="34"/>
  <c r="AA61" i="34"/>
  <c r="R67" i="34"/>
  <c r="AA82" i="34"/>
  <c r="N33" i="34"/>
  <c r="L34" i="34"/>
  <c r="AA38" i="34"/>
  <c r="S40" i="34"/>
  <c r="R41" i="34"/>
  <c r="AA47" i="34"/>
  <c r="U15" i="34"/>
  <c r="U18" i="34"/>
  <c r="N19" i="34"/>
  <c r="N22" i="34"/>
  <c r="N25" i="34"/>
  <c r="N28" i="34"/>
  <c r="Y30" i="34"/>
  <c r="M34" i="34"/>
  <c r="K35" i="34"/>
  <c r="Y39" i="34"/>
  <c r="U40" i="34"/>
  <c r="S41" i="34"/>
  <c r="R42" i="34"/>
  <c r="K49" i="34"/>
  <c r="Y50" i="34"/>
  <c r="U57" i="34"/>
  <c r="Y62" i="34"/>
  <c r="S68" i="34"/>
  <c r="S70" i="34"/>
  <c r="AA73" i="34"/>
  <c r="T77" i="34"/>
  <c r="S86" i="34"/>
  <c r="R91" i="34"/>
  <c r="S96" i="34"/>
  <c r="C13" i="34"/>
  <c r="U125" i="34"/>
  <c r="Y122" i="34"/>
  <c r="S120" i="34"/>
  <c r="T117" i="34"/>
  <c r="U114" i="34"/>
  <c r="S112" i="34"/>
  <c r="AA111" i="34"/>
  <c r="U109" i="34"/>
  <c r="R107" i="34"/>
  <c r="Y106" i="34"/>
  <c r="U104" i="34"/>
  <c r="K103" i="34"/>
  <c r="AA101" i="34"/>
  <c r="N100" i="34"/>
  <c r="U99" i="34"/>
  <c r="T97" i="34"/>
  <c r="AA94" i="34"/>
  <c r="R90" i="34"/>
  <c r="AA89" i="34"/>
  <c r="R88" i="34"/>
  <c r="Y87" i="34"/>
  <c r="T85" i="34"/>
  <c r="U82" i="34"/>
  <c r="U79" i="34"/>
  <c r="U76" i="34"/>
  <c r="T125" i="34"/>
  <c r="N123" i="34"/>
  <c r="U122" i="34"/>
  <c r="R120" i="34"/>
  <c r="S117" i="34"/>
  <c r="AA116" i="34"/>
  <c r="T114" i="34"/>
  <c r="R112" i="34"/>
  <c r="Y111" i="34"/>
  <c r="T109" i="34"/>
  <c r="T104" i="34"/>
  <c r="Y101" i="34"/>
  <c r="M100" i="34"/>
  <c r="T99" i="34"/>
  <c r="S97" i="34"/>
  <c r="AA96" i="34"/>
  <c r="Y94" i="34"/>
  <c r="U92" i="34"/>
  <c r="Y89" i="34"/>
  <c r="S85" i="34"/>
  <c r="AA84" i="34"/>
  <c r="T82" i="34"/>
  <c r="T79" i="34"/>
  <c r="T76" i="34"/>
  <c r="AA127" i="34"/>
  <c r="S125" i="34"/>
  <c r="AA124" i="34"/>
  <c r="M123" i="34"/>
  <c r="T122" i="34"/>
  <c r="N120" i="34"/>
  <c r="U119" i="34"/>
  <c r="R117" i="34"/>
  <c r="Y116" i="34"/>
  <c r="S114" i="34"/>
  <c r="AA113" i="34"/>
  <c r="U111" i="34"/>
  <c r="S109" i="34"/>
  <c r="AA108" i="34"/>
  <c r="S104" i="34"/>
  <c r="AA103" i="34"/>
  <c r="N102" i="34"/>
  <c r="L100" i="34"/>
  <c r="S99" i="34"/>
  <c r="R97" i="34"/>
  <c r="Y96" i="34"/>
  <c r="U94" i="34"/>
  <c r="T92" i="34"/>
  <c r="U89" i="34"/>
  <c r="U87" i="34"/>
  <c r="R85" i="34"/>
  <c r="Y84" i="34"/>
  <c r="S82" i="34"/>
  <c r="AA81" i="34"/>
  <c r="S79" i="34"/>
  <c r="AA78" i="34"/>
  <c r="S76" i="34"/>
  <c r="AA75" i="34"/>
  <c r="Y127" i="34"/>
  <c r="R125" i="34"/>
  <c r="Y124" i="34"/>
  <c r="L123" i="34"/>
  <c r="S122" i="34"/>
  <c r="AA121" i="34"/>
  <c r="M120" i="34"/>
  <c r="T119" i="34"/>
  <c r="U116" i="34"/>
  <c r="R114" i="34"/>
  <c r="Y113" i="34"/>
  <c r="T111" i="34"/>
  <c r="R109" i="34"/>
  <c r="Y108" i="34"/>
  <c r="U106" i="34"/>
  <c r="R104" i="34"/>
  <c r="Y103" i="34"/>
  <c r="M102" i="34"/>
  <c r="K100" i="34"/>
  <c r="R99" i="34"/>
  <c r="AA98" i="34"/>
  <c r="U96" i="34"/>
  <c r="T94" i="34"/>
  <c r="S92" i="34"/>
  <c r="AA91" i="34"/>
  <c r="T89" i="34"/>
  <c r="T87" i="34"/>
  <c r="U84" i="34"/>
  <c r="R82" i="34"/>
  <c r="Y81" i="34"/>
  <c r="R79" i="34"/>
  <c r="Y78" i="34"/>
  <c r="R76" i="34"/>
  <c r="Y75" i="34"/>
  <c r="Y72" i="34"/>
  <c r="U127" i="34"/>
  <c r="K123" i="34"/>
  <c r="R122" i="34"/>
  <c r="Y121" i="34"/>
  <c r="L120" i="34"/>
  <c r="S119" i="34"/>
  <c r="AA118" i="34"/>
  <c r="T116" i="34"/>
  <c r="T127" i="34"/>
  <c r="U124" i="34"/>
  <c r="K120" i="34"/>
  <c r="R119" i="34"/>
  <c r="Y118" i="34"/>
  <c r="S116" i="34"/>
  <c r="AA115" i="34"/>
  <c r="S127" i="34"/>
  <c r="AA126" i="34"/>
  <c r="T124" i="34"/>
  <c r="U121" i="34"/>
  <c r="N119" i="34"/>
  <c r="R116" i="34"/>
  <c r="Y115" i="34"/>
  <c r="S113" i="34"/>
  <c r="AA112" i="34"/>
  <c r="Y110" i="34"/>
  <c r="S108" i="34"/>
  <c r="R106" i="34"/>
  <c r="Y105" i="34"/>
  <c r="N101" i="34"/>
  <c r="T98" i="34"/>
  <c r="R96" i="34"/>
  <c r="AA95" i="34"/>
  <c r="U93" i="34"/>
  <c r="T91" i="34"/>
  <c r="R84" i="34"/>
  <c r="AA83" i="34"/>
  <c r="S81" i="34"/>
  <c r="AA80" i="34"/>
  <c r="S78" i="34"/>
  <c r="AA77" i="34"/>
  <c r="S75" i="34"/>
  <c r="AA74" i="34"/>
  <c r="L73" i="34"/>
  <c r="S72" i="34"/>
  <c r="AA71" i="34"/>
  <c r="S69" i="34"/>
  <c r="AA68" i="34"/>
  <c r="S66" i="34"/>
  <c r="R127" i="34"/>
  <c r="Y126" i="34"/>
  <c r="S124" i="34"/>
  <c r="AA123" i="34"/>
  <c r="T121" i="34"/>
  <c r="M119" i="34"/>
  <c r="U118" i="34"/>
  <c r="R113" i="34"/>
  <c r="Y112" i="34"/>
  <c r="U110" i="34"/>
  <c r="R108" i="34"/>
  <c r="AA107" i="34"/>
  <c r="U105" i="34"/>
  <c r="AA102" i="34"/>
  <c r="M101" i="34"/>
  <c r="S98" i="34"/>
  <c r="AA97" i="34"/>
  <c r="Y95" i="34"/>
  <c r="T93" i="34"/>
  <c r="S91" i="34"/>
  <c r="AA90" i="34"/>
  <c r="AA88" i="34"/>
  <c r="U86" i="34"/>
  <c r="Y83" i="34"/>
  <c r="R81" i="34"/>
  <c r="Y80" i="34"/>
  <c r="R78" i="34"/>
  <c r="Y77" i="34"/>
  <c r="R75" i="34"/>
  <c r="Y74" i="34"/>
  <c r="K73" i="34"/>
  <c r="R72" i="34"/>
  <c r="Y71" i="34"/>
  <c r="R126" i="34"/>
  <c r="Y125" i="34"/>
  <c r="AA122" i="34"/>
  <c r="T120" i="34"/>
  <c r="U117" i="34"/>
  <c r="R115" i="34"/>
  <c r="Y114" i="34"/>
  <c r="T112" i="34"/>
  <c r="S107" i="34"/>
  <c r="AA106" i="34"/>
  <c r="Y104" i="34"/>
  <c r="L103" i="34"/>
  <c r="Y99" i="34"/>
  <c r="U97" i="34"/>
  <c r="R95" i="34"/>
  <c r="S90" i="34"/>
  <c r="S88" i="34"/>
  <c r="AA87" i="34"/>
  <c r="U85" i="34"/>
  <c r="R83" i="34"/>
  <c r="Y82" i="34"/>
  <c r="R80" i="34"/>
  <c r="Y79" i="34"/>
  <c r="R77" i="34"/>
  <c r="Y76" i="34"/>
  <c r="Y73" i="34"/>
  <c r="R71" i="34"/>
  <c r="Y70" i="34"/>
  <c r="R68" i="34"/>
  <c r="Y67" i="34"/>
  <c r="R124" i="34"/>
  <c r="S121" i="34"/>
  <c r="T118" i="34"/>
  <c r="U115" i="34"/>
  <c r="S111" i="34"/>
  <c r="S106" i="34"/>
  <c r="L101" i="34"/>
  <c r="AA99" i="34"/>
  <c r="S94" i="34"/>
  <c r="AA92" i="34"/>
  <c r="R89" i="34"/>
  <c r="R121" i="34"/>
  <c r="S118" i="34"/>
  <c r="T115" i="34"/>
  <c r="R111" i="34"/>
  <c r="AA109" i="34"/>
  <c r="AA104" i="34"/>
  <c r="K101" i="34"/>
  <c r="Y97" i="34"/>
  <c r="R94" i="34"/>
  <c r="Y92" i="34"/>
  <c r="U80" i="34"/>
  <c r="S67" i="34"/>
  <c r="U66" i="34"/>
  <c r="AA65" i="34"/>
  <c r="L64" i="34"/>
  <c r="AA62" i="34"/>
  <c r="T60" i="34"/>
  <c r="S58" i="34"/>
  <c r="S56" i="34"/>
  <c r="R54" i="34"/>
  <c r="AA53" i="34"/>
  <c r="M52" i="34"/>
  <c r="K50" i="34"/>
  <c r="Y48" i="34"/>
  <c r="U126" i="34"/>
  <c r="Y123" i="34"/>
  <c r="Y107" i="34"/>
  <c r="AA100" i="34"/>
  <c r="R92" i="34"/>
  <c r="Y90" i="34"/>
  <c r="R87" i="34"/>
  <c r="AA85" i="34"/>
  <c r="S80" i="34"/>
  <c r="T78" i="34"/>
  <c r="R66" i="34"/>
  <c r="N63" i="34"/>
  <c r="U62" i="34"/>
  <c r="R60" i="34"/>
  <c r="AA59" i="34"/>
  <c r="AA57" i="34"/>
  <c r="AA55" i="34"/>
  <c r="K52" i="34"/>
  <c r="M49" i="34"/>
  <c r="T126" i="34"/>
  <c r="AA117" i="34"/>
  <c r="U107" i="34"/>
  <c r="Y100" i="34"/>
  <c r="U95" i="34"/>
  <c r="U90" i="34"/>
  <c r="Y85" i="34"/>
  <c r="AA76" i="34"/>
  <c r="N73" i="34"/>
  <c r="M63" i="34"/>
  <c r="T62" i="34"/>
  <c r="Y59" i="34"/>
  <c r="Y57" i="34"/>
  <c r="Y55" i="34"/>
  <c r="AA50" i="34"/>
  <c r="L49" i="34"/>
  <c r="U112" i="34"/>
  <c r="AA110" i="34"/>
  <c r="T105" i="34"/>
  <c r="K102" i="34"/>
  <c r="Y98" i="34"/>
  <c r="S95" i="34"/>
  <c r="Y93" i="34"/>
  <c r="Y88" i="34"/>
  <c r="T83" i="34"/>
  <c r="U81" i="34"/>
  <c r="U71" i="34"/>
  <c r="AA70" i="34"/>
  <c r="Y64" i="34"/>
  <c r="K63" i="34"/>
  <c r="R62" i="34"/>
  <c r="Y61" i="34"/>
  <c r="T59" i="34"/>
  <c r="T57" i="34"/>
  <c r="T55" i="34"/>
  <c r="AA52" i="34"/>
  <c r="M51" i="34"/>
  <c r="N48" i="34"/>
  <c r="T110" i="34"/>
  <c r="S105" i="34"/>
  <c r="U98" i="34"/>
  <c r="S93" i="34"/>
  <c r="U88" i="34"/>
  <c r="AA86" i="34"/>
  <c r="S83" i="34"/>
  <c r="T81" i="34"/>
  <c r="T71" i="34"/>
  <c r="U70" i="34"/>
  <c r="AA69" i="34"/>
  <c r="N65" i="34"/>
  <c r="U61" i="34"/>
  <c r="S59" i="34"/>
  <c r="S57" i="34"/>
  <c r="S55" i="34"/>
  <c r="N53" i="34"/>
  <c r="Y52" i="34"/>
  <c r="L51" i="34"/>
  <c r="M48" i="34"/>
  <c r="M45" i="34"/>
  <c r="T44" i="34"/>
  <c r="T41" i="34"/>
  <c r="M39" i="34"/>
  <c r="M36" i="34"/>
  <c r="M33" i="34"/>
  <c r="M30" i="34"/>
  <c r="AA125" i="34"/>
  <c r="S110" i="34"/>
  <c r="U108" i="34"/>
  <c r="R105" i="34"/>
  <c r="R98" i="34"/>
  <c r="R93" i="34"/>
  <c r="Y91" i="34"/>
  <c r="T88" i="34"/>
  <c r="Y86" i="34"/>
  <c r="AA79" i="34"/>
  <c r="S71" i="34"/>
  <c r="T70" i="34"/>
  <c r="Y69" i="34"/>
  <c r="M65" i="34"/>
  <c r="T61" i="34"/>
  <c r="R59" i="34"/>
  <c r="T106" i="34"/>
  <c r="M103" i="34"/>
  <c r="S89" i="34"/>
  <c r="R86" i="34"/>
  <c r="S84" i="34"/>
  <c r="S77" i="34"/>
  <c r="T75" i="34"/>
  <c r="T72" i="34"/>
  <c r="R69" i="34"/>
  <c r="T68" i="34"/>
  <c r="U67" i="34"/>
  <c r="AA66" i="34"/>
  <c r="N64" i="34"/>
  <c r="Y60" i="34"/>
  <c r="U58" i="34"/>
  <c r="U56" i="34"/>
  <c r="T54" i="34"/>
  <c r="AA51" i="34"/>
  <c r="M50" i="34"/>
  <c r="M47" i="34"/>
  <c r="T43" i="34"/>
  <c r="T40" i="34"/>
  <c r="M38" i="34"/>
  <c r="M35" i="34"/>
  <c r="M32" i="34"/>
  <c r="T16" i="34"/>
  <c r="M20" i="34"/>
  <c r="M23" i="34"/>
  <c r="M26" i="34"/>
  <c r="M29" i="34"/>
  <c r="AA32" i="34"/>
  <c r="N36" i="34"/>
  <c r="L37" i="34"/>
  <c r="AA41" i="34"/>
  <c r="U42" i="34"/>
  <c r="S43" i="34"/>
  <c r="R44" i="34"/>
  <c r="N45" i="34"/>
  <c r="L46" i="34"/>
  <c r="Y56" i="34"/>
  <c r="U59" i="34"/>
  <c r="U78" i="34"/>
  <c r="S87" i="34"/>
  <c r="Y102" i="34"/>
  <c r="L102" i="34"/>
  <c r="T107" i="34"/>
  <c r="U120" i="34"/>
  <c r="U16" i="34"/>
  <c r="N20" i="34"/>
  <c r="N23" i="34"/>
  <c r="N26" i="34"/>
  <c r="N29" i="34"/>
  <c r="Y33" i="34"/>
  <c r="M37" i="34"/>
  <c r="K38" i="34"/>
  <c r="Y42" i="34"/>
  <c r="U43" i="34"/>
  <c r="S44" i="34"/>
  <c r="M46" i="34"/>
  <c r="K47" i="34"/>
  <c r="K48" i="34"/>
  <c r="Y49" i="34"/>
  <c r="AA56" i="34"/>
  <c r="R61" i="34"/>
  <c r="L63" i="34"/>
  <c r="N103" i="34"/>
  <c r="T113" i="34"/>
  <c r="R14" i="34"/>
  <c r="Y16" i="34"/>
  <c r="R17" i="34"/>
  <c r="Y19" i="34"/>
  <c r="K21" i="34"/>
  <c r="Y22" i="34"/>
  <c r="K24" i="34"/>
  <c r="Y25" i="34"/>
  <c r="K27" i="34"/>
  <c r="Y28" i="34"/>
  <c r="K30" i="34"/>
  <c r="AA33" i="34"/>
  <c r="Y34" i="34"/>
  <c r="N37" i="34"/>
  <c r="L38" i="34"/>
  <c r="K39" i="34"/>
  <c r="AA42" i="34"/>
  <c r="Y43" i="34"/>
  <c r="U44" i="34"/>
  <c r="N46" i="34"/>
  <c r="L47" i="34"/>
  <c r="L48" i="34"/>
  <c r="AA49" i="34"/>
  <c r="K51" i="34"/>
  <c r="R55" i="34"/>
  <c r="S61" i="34"/>
  <c r="K65" i="34"/>
  <c r="U83" i="34"/>
  <c r="T108" i="34"/>
  <c r="U113" i="34"/>
  <c r="AA93" i="34"/>
  <c r="AA114" i="34"/>
  <c r="T14" i="34"/>
  <c r="T17" i="34"/>
  <c r="M21" i="34"/>
  <c r="M24" i="34"/>
  <c r="M27" i="34"/>
  <c r="N30" i="34"/>
  <c r="L31" i="34"/>
  <c r="AA35" i="34"/>
  <c r="N39" i="34"/>
  <c r="AA44" i="34"/>
  <c r="T58" i="34"/>
  <c r="Y63" i="34"/>
  <c r="T67" i="34"/>
  <c r="U69" i="34"/>
  <c r="U75" i="34"/>
  <c r="Y109" i="34"/>
  <c r="S115" i="34"/>
  <c r="U14" i="34"/>
  <c r="U17" i="34"/>
  <c r="N21" i="34"/>
  <c r="N24" i="34"/>
  <c r="N27" i="34"/>
  <c r="M31" i="34"/>
  <c r="K32" i="34"/>
  <c r="Y36" i="34"/>
  <c r="Y45" i="34"/>
  <c r="AA48" i="34"/>
  <c r="L50" i="34"/>
  <c r="Y51" i="34"/>
  <c r="S54" i="34"/>
  <c r="Y58" i="34"/>
  <c r="AA63" i="34"/>
  <c r="Y65" i="34"/>
  <c r="AA67" i="34"/>
  <c r="T80" i="34"/>
  <c r="T84" i="34"/>
  <c r="U72" i="34"/>
  <c r="R110" i="34"/>
  <c r="AA14" i="34"/>
  <c r="S15" i="34"/>
  <c r="AA17" i="34"/>
  <c r="S18" i="34"/>
  <c r="L19" i="34"/>
  <c r="AA20" i="34"/>
  <c r="L22" i="34"/>
  <c r="AA23" i="34"/>
  <c r="L25" i="34"/>
  <c r="AA26" i="34"/>
  <c r="L28" i="34"/>
  <c r="AA29" i="34"/>
  <c r="N32" i="34"/>
  <c r="L33" i="34"/>
  <c r="K34" i="34"/>
  <c r="AA37" i="34"/>
  <c r="Y38" i="34"/>
  <c r="R40" i="34"/>
  <c r="AA46" i="34"/>
  <c r="Y47" i="34"/>
  <c r="L53" i="34"/>
  <c r="Y54" i="34"/>
  <c r="U60" i="34"/>
  <c r="K64" i="34"/>
  <c r="AA72" i="34"/>
  <c r="T90" i="34"/>
  <c r="T95" i="34"/>
  <c r="AA105" i="34"/>
  <c r="Y117" i="34"/>
  <c r="S126" i="34"/>
  <c r="M28" i="34"/>
  <c r="M53" i="34"/>
  <c r="AA54" i="34"/>
  <c r="R57" i="34"/>
  <c r="AA60" i="34"/>
  <c r="S62" i="34"/>
  <c r="M64" i="34"/>
  <c r="R70" i="34"/>
  <c r="M73" i="34"/>
  <c r="R118" i="34"/>
  <c r="AF121" i="34" l="1"/>
  <c r="AB13" i="34"/>
  <c r="Y13" i="34"/>
  <c r="B13" i="34" a="1"/>
  <c r="B13" i="34" s="1"/>
  <c r="AD110" i="34"/>
  <c r="AF41" i="34"/>
  <c r="AF71" i="34"/>
  <c r="AD98" i="34"/>
  <c r="AF126" i="34"/>
  <c r="AF86" i="34"/>
  <c r="AD70" i="34"/>
  <c r="V44" i="34"/>
  <c r="W44" i="34" s="1"/>
  <c r="X44" i="34" s="1"/>
  <c r="AF91" i="34"/>
  <c r="AD114" i="34"/>
  <c r="AF114" i="34"/>
  <c r="AD82" i="34"/>
  <c r="V55" i="34"/>
  <c r="W55" i="34" s="1"/>
  <c r="X55" i="34" s="1"/>
  <c r="AF61" i="34"/>
  <c r="AF110" i="34"/>
  <c r="AF62" i="34"/>
  <c r="AF124" i="34"/>
  <c r="AF116" i="34"/>
  <c r="V70" i="34"/>
  <c r="W70" i="34" s="1"/>
  <c r="X70" i="34" s="1"/>
  <c r="O119" i="34"/>
  <c r="P119" i="34" s="1"/>
  <c r="Q119" i="34" s="1"/>
  <c r="O101" i="34"/>
  <c r="P101" i="34" s="1"/>
  <c r="Q101" i="34" s="1"/>
  <c r="AD90" i="34"/>
  <c r="AF77" i="34"/>
  <c r="V86" i="34"/>
  <c r="W86" i="34" s="1"/>
  <c r="X86" i="34" s="1"/>
  <c r="O45" i="34"/>
  <c r="P45" i="34" s="1"/>
  <c r="Q45" i="34" s="1"/>
  <c r="AF59" i="34"/>
  <c r="O48" i="34"/>
  <c r="P48" i="34" s="1"/>
  <c r="Q48" i="34" s="1"/>
  <c r="O52" i="34"/>
  <c r="P52" i="34" s="1"/>
  <c r="Q52" i="34" s="1"/>
  <c r="AF66" i="34"/>
  <c r="AD111" i="34"/>
  <c r="O49" i="34"/>
  <c r="P49" i="34" s="1"/>
  <c r="Q49" i="34" s="1"/>
  <c r="AD43" i="34"/>
  <c r="AF99" i="34"/>
  <c r="AF111" i="34"/>
  <c r="V62" i="34"/>
  <c r="W62" i="34" s="1"/>
  <c r="X62" i="34" s="1"/>
  <c r="AF72" i="34"/>
  <c r="AD126" i="34"/>
  <c r="V42" i="34"/>
  <c r="W42" i="34" s="1"/>
  <c r="X42" i="34" s="1"/>
  <c r="V76" i="34"/>
  <c r="W76" i="34" s="1"/>
  <c r="X76" i="34" s="1"/>
  <c r="AD121" i="34"/>
  <c r="AD105" i="34"/>
  <c r="AD79" i="34"/>
  <c r="O51" i="34"/>
  <c r="P51" i="34" s="1"/>
  <c r="Q51" i="34" s="1"/>
  <c r="V56" i="34"/>
  <c r="W56" i="34" s="1"/>
  <c r="X56" i="34" s="1"/>
  <c r="AF90" i="34"/>
  <c r="V89" i="34"/>
  <c r="W89" i="34" s="1"/>
  <c r="X89" i="34" s="1"/>
  <c r="AF81" i="34"/>
  <c r="O47" i="34"/>
  <c r="P47" i="34" s="1"/>
  <c r="Q47" i="34" s="1"/>
  <c r="AD40" i="34"/>
  <c r="V121" i="34"/>
  <c r="W121" i="34" s="1"/>
  <c r="X121" i="34" s="1"/>
  <c r="AD117" i="34"/>
  <c r="V122" i="34"/>
  <c r="W122" i="34" s="1"/>
  <c r="X122" i="34" s="1"/>
  <c r="AD91" i="34"/>
  <c r="AF107" i="34"/>
  <c r="V72" i="34"/>
  <c r="W72" i="34" s="1"/>
  <c r="X72" i="34" s="1"/>
  <c r="AD67" i="34"/>
  <c r="V95" i="34"/>
  <c r="W95" i="34" s="1"/>
  <c r="X95" i="34" s="1"/>
  <c r="AF125" i="34"/>
  <c r="AD97" i="34"/>
  <c r="AF112" i="34"/>
  <c r="V104" i="34"/>
  <c r="W104" i="34" s="1"/>
  <c r="X104" i="34" s="1"/>
  <c r="AD113" i="34"/>
  <c r="AD124" i="34"/>
  <c r="AF96" i="34"/>
  <c r="AF108" i="34"/>
  <c r="V117" i="34"/>
  <c r="W117" i="34" s="1"/>
  <c r="X117" i="34" s="1"/>
  <c r="V82" i="34"/>
  <c r="W82" i="34" s="1"/>
  <c r="X82" i="34" s="1"/>
  <c r="AF43" i="34"/>
  <c r="AF44" i="34"/>
  <c r="V105" i="34"/>
  <c r="W105" i="34" s="1"/>
  <c r="X105" i="34" s="1"/>
  <c r="V77" i="34"/>
  <c r="W77" i="34" s="1"/>
  <c r="X77" i="34" s="1"/>
  <c r="AD106" i="34"/>
  <c r="AD107" i="34"/>
  <c r="V113" i="34"/>
  <c r="W113" i="34" s="1"/>
  <c r="X113" i="34" s="1"/>
  <c r="AF118" i="34"/>
  <c r="AF115" i="34"/>
  <c r="AD78" i="34"/>
  <c r="V125" i="34"/>
  <c r="W125" i="34" s="1"/>
  <c r="X125" i="34" s="1"/>
  <c r="V43" i="34"/>
  <c r="W43" i="34" s="1"/>
  <c r="X43" i="34" s="1"/>
  <c r="V54" i="34"/>
  <c r="W54" i="34" s="1"/>
  <c r="X54" i="34" s="1"/>
  <c r="V66" i="34"/>
  <c r="W66" i="34" s="1"/>
  <c r="X66" i="34" s="1"/>
  <c r="V116" i="34"/>
  <c r="W116" i="34" s="1"/>
  <c r="X116" i="34" s="1"/>
  <c r="AF98" i="34"/>
  <c r="AD116" i="34"/>
  <c r="AF80" i="34"/>
  <c r="AF84" i="34"/>
  <c r="AF68" i="34"/>
  <c r="AD61" i="34"/>
  <c r="AD85" i="34"/>
  <c r="AF79" i="34"/>
  <c r="O100" i="34"/>
  <c r="P100" i="34" s="1"/>
  <c r="Q100" i="34" s="1"/>
  <c r="V90" i="34"/>
  <c r="W90" i="34" s="1"/>
  <c r="X90" i="34" s="1"/>
  <c r="V110" i="34"/>
  <c r="W110" i="34" s="1"/>
  <c r="X110" i="34" s="1"/>
  <c r="AF109" i="34"/>
  <c r="AD44" i="34"/>
  <c r="AD88" i="34"/>
  <c r="AD94" i="34"/>
  <c r="V127" i="34"/>
  <c r="W127" i="34" s="1"/>
  <c r="X127" i="34" s="1"/>
  <c r="O123" i="34"/>
  <c r="P123" i="34" s="1"/>
  <c r="Q123" i="34" s="1"/>
  <c r="AF42" i="34"/>
  <c r="AF105" i="34"/>
  <c r="AD76" i="34"/>
  <c r="V120" i="34"/>
  <c r="W120" i="34" s="1"/>
  <c r="X120" i="34" s="1"/>
  <c r="V99" i="34"/>
  <c r="W99" i="34" s="1"/>
  <c r="X99" i="34" s="1"/>
  <c r="AF85" i="34"/>
  <c r="V58" i="34"/>
  <c r="W58" i="34" s="1"/>
  <c r="X58" i="34" s="1"/>
  <c r="AF70" i="34"/>
  <c r="V96" i="34"/>
  <c r="W96" i="34" s="1"/>
  <c r="X96" i="34" s="1"/>
  <c r="AF40" i="34"/>
  <c r="V59" i="34"/>
  <c r="W59" i="34" s="1"/>
  <c r="X59" i="34" s="1"/>
  <c r="AD69" i="34"/>
  <c r="V94" i="34"/>
  <c r="W94" i="34" s="1"/>
  <c r="X94" i="34" s="1"/>
  <c r="AD81" i="34"/>
  <c r="V114" i="34"/>
  <c r="W114" i="34" s="1"/>
  <c r="X114" i="34" s="1"/>
  <c r="AF113" i="34"/>
  <c r="AF93" i="34"/>
  <c r="AD99" i="34"/>
  <c r="AD115" i="34"/>
  <c r="AD86" i="34"/>
  <c r="O64" i="34"/>
  <c r="P64" i="34" s="1"/>
  <c r="Q64" i="34" s="1"/>
  <c r="AD66" i="34"/>
  <c r="V60" i="34"/>
  <c r="W60" i="34" s="1"/>
  <c r="X60" i="34" s="1"/>
  <c r="AD92" i="34"/>
  <c r="AD68" i="34"/>
  <c r="AF127" i="34"/>
  <c r="AF97" i="34"/>
  <c r="AD125" i="34"/>
  <c r="AD42" i="34"/>
  <c r="O65" i="34"/>
  <c r="P65" i="34" s="1"/>
  <c r="Q65" i="34" s="1"/>
  <c r="V67" i="34"/>
  <c r="W67" i="34" s="1"/>
  <c r="X67" i="34" s="1"/>
  <c r="AF83" i="34"/>
  <c r="V119" i="34"/>
  <c r="W119" i="34" s="1"/>
  <c r="X119" i="34" s="1"/>
  <c r="AD84" i="34"/>
  <c r="AF87" i="34"/>
  <c r="AF106" i="34"/>
  <c r="AD112" i="34"/>
  <c r="V78" i="34"/>
  <c r="W78" i="34" s="1"/>
  <c r="X78" i="34" s="1"/>
  <c r="V118" i="34"/>
  <c r="W118" i="34" s="1"/>
  <c r="X118" i="34" s="1"/>
  <c r="V108" i="34"/>
  <c r="W108" i="34" s="1"/>
  <c r="X108" i="34" s="1"/>
  <c r="O50" i="34"/>
  <c r="P50" i="34" s="1"/>
  <c r="V124" i="34"/>
  <c r="W124" i="34" s="1"/>
  <c r="X124" i="34" s="1"/>
  <c r="AF122" i="34"/>
  <c r="V88" i="34"/>
  <c r="W88" i="34" s="1"/>
  <c r="X88" i="34" s="1"/>
  <c r="AF104" i="34"/>
  <c r="AD41" i="34"/>
  <c r="V83" i="34"/>
  <c r="W83" i="34" s="1"/>
  <c r="X83" i="34" s="1"/>
  <c r="AD75" i="34"/>
  <c r="V79" i="34"/>
  <c r="W79" i="34" s="1"/>
  <c r="AF78" i="34"/>
  <c r="AF117" i="34"/>
  <c r="V98" i="34"/>
  <c r="W98" i="34" s="1"/>
  <c r="X98" i="34" s="1"/>
  <c r="O103" i="34"/>
  <c r="P103" i="34" s="1"/>
  <c r="V91" i="34"/>
  <c r="W91" i="34" s="1"/>
  <c r="X91" i="34" s="1"/>
  <c r="AD118" i="34"/>
  <c r="V71" i="34"/>
  <c r="W71" i="34" s="1"/>
  <c r="X71" i="34" s="1"/>
  <c r="V111" i="34"/>
  <c r="W111" i="34" s="1"/>
  <c r="X111" i="34" s="1"/>
  <c r="AF94" i="34"/>
  <c r="AF88" i="34"/>
  <c r="V107" i="34"/>
  <c r="W107" i="34" s="1"/>
  <c r="X107" i="34" s="1"/>
  <c r="AF82" i="34"/>
  <c r="V109" i="34"/>
  <c r="W109" i="34" s="1"/>
  <c r="X109" i="34" s="1"/>
  <c r="AF76" i="34"/>
  <c r="AD108" i="34"/>
  <c r="V40" i="34"/>
  <c r="W40" i="34" s="1"/>
  <c r="X40" i="34" s="1"/>
  <c r="V61" i="34"/>
  <c r="W61" i="34" s="1"/>
  <c r="X61" i="34" s="1"/>
  <c r="V75" i="34"/>
  <c r="W75" i="34" s="1"/>
  <c r="AF75" i="34"/>
  <c r="V84" i="34"/>
  <c r="W84" i="34" s="1"/>
  <c r="X84" i="34" s="1"/>
  <c r="O53" i="34"/>
  <c r="P53" i="34" s="1"/>
  <c r="Q53" i="34" s="1"/>
  <c r="AF58" i="34"/>
  <c r="AD58" i="34"/>
  <c r="V69" i="34"/>
  <c r="W69" i="34" s="1"/>
  <c r="X69" i="34" s="1"/>
  <c r="V80" i="34"/>
  <c r="W80" i="34" s="1"/>
  <c r="X80" i="34" s="1"/>
  <c r="AF89" i="34"/>
  <c r="AD89" i="34"/>
  <c r="AD122" i="34"/>
  <c r="AD93" i="34"/>
  <c r="AF67" i="34"/>
  <c r="AD87" i="34"/>
  <c r="O46" i="34"/>
  <c r="P46" i="34" s="1"/>
  <c r="Q46" i="34" s="1"/>
  <c r="AD60" i="34"/>
  <c r="AF60" i="34"/>
  <c r="V93" i="34"/>
  <c r="W93" i="34" s="1"/>
  <c r="X93" i="34" s="1"/>
  <c r="V115" i="34"/>
  <c r="W115" i="34" s="1"/>
  <c r="X115" i="34" s="1"/>
  <c r="V106" i="34"/>
  <c r="W106" i="34" s="1"/>
  <c r="X106" i="34" s="1"/>
  <c r="O120" i="34"/>
  <c r="P120" i="34" s="1"/>
  <c r="Q120" i="34" s="1"/>
  <c r="AF54" i="34"/>
  <c r="AD54" i="34"/>
  <c r="AD55" i="34"/>
  <c r="AF55" i="34"/>
  <c r="V57" i="34"/>
  <c r="W57" i="34" s="1"/>
  <c r="X57" i="34" s="1"/>
  <c r="O102" i="34"/>
  <c r="P102" i="34" s="1"/>
  <c r="Q102" i="34" s="1"/>
  <c r="AD57" i="34"/>
  <c r="AF57" i="34"/>
  <c r="AD77" i="34"/>
  <c r="AF95" i="34"/>
  <c r="AD95" i="34"/>
  <c r="V112" i="34"/>
  <c r="W112" i="34" s="1"/>
  <c r="X112" i="34" s="1"/>
  <c r="AD109" i="34"/>
  <c r="AD104" i="34"/>
  <c r="AD83" i="34"/>
  <c r="V68" i="34"/>
  <c r="W68" i="34" s="1"/>
  <c r="X68" i="34" s="1"/>
  <c r="AF69" i="34"/>
  <c r="V87" i="34"/>
  <c r="W87" i="34" s="1"/>
  <c r="X87" i="34" s="1"/>
  <c r="V126" i="34"/>
  <c r="W126" i="34" s="1"/>
  <c r="X126" i="34" s="1"/>
  <c r="AD59" i="34"/>
  <c r="AF92" i="34"/>
  <c r="V97" i="34"/>
  <c r="W97" i="34" s="1"/>
  <c r="X97" i="34" s="1"/>
  <c r="U13" i="34"/>
  <c r="T13" i="34"/>
  <c r="R13" i="34"/>
  <c r="AA13" i="34"/>
  <c r="S13" i="34"/>
  <c r="AD127" i="34"/>
  <c r="V92" i="34"/>
  <c r="W92" i="34" s="1"/>
  <c r="X92" i="34" s="1"/>
  <c r="AD71" i="34"/>
  <c r="AD80" i="34"/>
  <c r="AD72" i="34"/>
  <c r="O63" i="34"/>
  <c r="P63" i="34" s="1"/>
  <c r="Q63" i="34" s="1"/>
  <c r="AF56" i="34"/>
  <c r="AD56" i="34"/>
  <c r="V81" i="34"/>
  <c r="W81" i="34" s="1"/>
  <c r="X81" i="34" s="1"/>
  <c r="AD96" i="34"/>
  <c r="V85" i="34"/>
  <c r="W85" i="34" s="1"/>
  <c r="X85" i="34" s="1"/>
  <c r="AD62" i="34"/>
  <c r="V41" i="34"/>
  <c r="W41" i="34" s="1"/>
  <c r="X41" i="34" s="1"/>
  <c r="O73" i="34"/>
  <c r="P73" i="34" s="1"/>
  <c r="O38" i="34"/>
  <c r="P38" i="34" s="1"/>
  <c r="O24" i="34"/>
  <c r="P24" i="34" s="1"/>
  <c r="Q24" i="34" s="1"/>
  <c r="O30" i="34"/>
  <c r="P30" i="34" s="1"/>
  <c r="Q30" i="34" s="1"/>
  <c r="O36" i="34"/>
  <c r="P36" i="34" s="1"/>
  <c r="Q36" i="34" s="1"/>
  <c r="AD17" i="34"/>
  <c r="AF17" i="34"/>
  <c r="O37" i="34"/>
  <c r="P37" i="34" s="1"/>
  <c r="Q37" i="34" s="1"/>
  <c r="O25" i="34"/>
  <c r="P25" i="34" s="1"/>
  <c r="Q25" i="34" s="1"/>
  <c r="AF15" i="34"/>
  <c r="AD15" i="34"/>
  <c r="O20" i="34"/>
  <c r="P20" i="34" s="1"/>
  <c r="Q20" i="34" s="1"/>
  <c r="O39" i="34"/>
  <c r="P39" i="34" s="1"/>
  <c r="O26" i="34"/>
  <c r="P26" i="34" s="1"/>
  <c r="O35" i="34"/>
  <c r="P35" i="34" s="1"/>
  <c r="Q35" i="34" s="1"/>
  <c r="O32" i="34"/>
  <c r="P32" i="34" s="1"/>
  <c r="Q32" i="34" s="1"/>
  <c r="O27" i="34"/>
  <c r="P27" i="34" s="1"/>
  <c r="Q27" i="34" s="1"/>
  <c r="O21" i="34"/>
  <c r="P21" i="34" s="1"/>
  <c r="Q21" i="34" s="1"/>
  <c r="O34" i="34"/>
  <c r="P34" i="34" s="1"/>
  <c r="Q34" i="34" s="1"/>
  <c r="V18" i="34"/>
  <c r="W18" i="34" s="1"/>
  <c r="X18" i="34" s="1"/>
  <c r="O28" i="34"/>
  <c r="P28" i="34" s="1"/>
  <c r="Q28" i="34" s="1"/>
  <c r="O19" i="34"/>
  <c r="P19" i="34" s="1"/>
  <c r="Q19" i="34" s="1"/>
  <c r="AF14" i="34"/>
  <c r="AD14" i="34"/>
  <c r="O22" i="34"/>
  <c r="P22" i="34" s="1"/>
  <c r="Q22" i="34" s="1"/>
  <c r="O23" i="34"/>
  <c r="P23" i="34" s="1"/>
  <c r="Q23" i="34" s="1"/>
  <c r="V14" i="34"/>
  <c r="W14" i="34" s="1"/>
  <c r="X14" i="34" s="1"/>
  <c r="AD16" i="34"/>
  <c r="AF16" i="34"/>
  <c r="V16" i="34"/>
  <c r="W16" i="34" s="1"/>
  <c r="X16" i="34" s="1"/>
  <c r="AF18" i="34"/>
  <c r="AD18" i="34"/>
  <c r="O29" i="34"/>
  <c r="P29" i="34" s="1"/>
  <c r="Q29" i="34" s="1"/>
  <c r="O33" i="34"/>
  <c r="P33" i="34" s="1"/>
  <c r="Q33" i="34" s="1"/>
  <c r="O31" i="34"/>
  <c r="P31" i="34" s="1"/>
  <c r="Q31" i="34" s="1"/>
  <c r="V17" i="34"/>
  <c r="W17" i="34" s="1"/>
  <c r="X17" i="34" s="1"/>
  <c r="V15" i="34"/>
  <c r="W15" i="34" s="1"/>
  <c r="V13" i="34" l="1"/>
  <c r="W13" i="34" s="1"/>
  <c r="X13" i="34" s="1"/>
  <c r="Q73" i="34"/>
  <c r="Q103" i="34"/>
  <c r="AK119" i="34"/>
  <c r="Q50" i="34"/>
  <c r="X75" i="34"/>
  <c r="X79" i="34"/>
  <c r="AK120" i="34"/>
  <c r="Q39" i="34"/>
  <c r="Q26" i="34"/>
  <c r="X15" i="34"/>
  <c r="Q38" i="34"/>
  <c r="AF13" i="34"/>
  <c r="AD13" i="34"/>
  <c r="M5" i="33" l="1"/>
  <c r="N5" i="33" s="1"/>
  <c r="M4" i="33"/>
  <c r="K6" i="33"/>
  <c r="L5" i="33"/>
  <c r="L4" i="33"/>
  <c r="L6" i="33" s="1"/>
  <c r="O5" i="33" l="1"/>
  <c r="M6" i="33"/>
  <c r="N4" i="33"/>
  <c r="N6" i="33" s="1"/>
  <c r="O4" i="33" l="1"/>
  <c r="O6" i="33" s="1"/>
  <c r="AV20" i="1" l="1"/>
  <c r="H5" i="33"/>
  <c r="H6" i="33"/>
  <c r="H4" i="33"/>
  <c r="Z12" i="28" l="1"/>
  <c r="Z14" i="28"/>
  <c r="AF20" i="1" l="1"/>
  <c r="AJ20" i="1"/>
  <c r="AK20" i="1" l="1"/>
  <c r="AG20" i="1"/>
  <c r="AH20" i="1" s="1"/>
  <c r="Z13" i="34" s="1"/>
  <c r="BD20" i="1"/>
  <c r="CH20" i="1" a="1"/>
  <c r="D13" i="34" l="1"/>
  <c r="K13" i="34"/>
  <c r="CH20" i="1"/>
  <c r="CN20" i="1" s="1"/>
  <c r="CM43" i="1"/>
  <c r="CM37" i="1"/>
  <c r="CM34" i="1"/>
  <c r="CM33" i="1"/>
  <c r="CM39" i="1"/>
  <c r="CM41" i="1"/>
  <c r="AU20" i="1"/>
  <c r="G10" i="32"/>
  <c r="G9" i="32"/>
  <c r="G8" i="32"/>
  <c r="G7" i="32"/>
  <c r="G6" i="32"/>
  <c r="G4" i="32"/>
  <c r="G5" i="32"/>
  <c r="AL13" i="34" l="1"/>
  <c r="AF85" i="28"/>
  <c r="D21" i="1" l="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20" i="1"/>
  <c r="Y47" i="28" a="1"/>
  <c r="Y47" i="28" s="1"/>
  <c r="E13" i="34" l="1"/>
  <c r="AC183" i="1"/>
  <c r="AD183" i="1" s="1" a="1"/>
  <c r="AD183" i="1" s="1"/>
  <c r="AE183" i="1"/>
  <c r="CY183" i="1" s="1"/>
  <c r="AF183" i="1"/>
  <c r="AJ183" i="1"/>
  <c r="AL183" i="1"/>
  <c r="CA183" i="1" s="1"/>
  <c r="AM183" i="1"/>
  <c r="BG183" i="1" s="1" a="1"/>
  <c r="BG183" i="1" s="1"/>
  <c r="AO183" i="1"/>
  <c r="AP183" i="1"/>
  <c r="AQ183" i="1"/>
  <c r="AR183" i="1"/>
  <c r="AS183" i="1"/>
  <c r="AT183" i="1"/>
  <c r="AV183" i="1"/>
  <c r="BY183" i="1"/>
  <c r="CC183" i="1"/>
  <c r="CD183" i="1"/>
  <c r="AC184" i="1"/>
  <c r="AD184" i="1" s="1" a="1"/>
  <c r="AD184" i="1" s="1"/>
  <c r="AE184" i="1"/>
  <c r="AF184" i="1"/>
  <c r="AJ184" i="1"/>
  <c r="AL184" i="1"/>
  <c r="BZ184" i="1" s="1"/>
  <c r="AM184" i="1"/>
  <c r="BG184" i="1" s="1" a="1"/>
  <c r="BG184" i="1" s="1"/>
  <c r="AO184" i="1"/>
  <c r="AP184" i="1"/>
  <c r="AQ184" i="1"/>
  <c r="AR184" i="1"/>
  <c r="AS184" i="1"/>
  <c r="AT184" i="1"/>
  <c r="AU184" i="1"/>
  <c r="AC185" i="1"/>
  <c r="AD185" i="1" s="1" a="1"/>
  <c r="AD185" i="1" s="1"/>
  <c r="AE185" i="1"/>
  <c r="AF185" i="1"/>
  <c r="AJ185" i="1"/>
  <c r="AL185" i="1"/>
  <c r="AM185" i="1"/>
  <c r="BG185" i="1" s="1" a="1"/>
  <c r="BG185" i="1" s="1"/>
  <c r="AO185" i="1"/>
  <c r="AP185" i="1"/>
  <c r="AQ185" i="1"/>
  <c r="AR185" i="1"/>
  <c r="AS185" i="1"/>
  <c r="AT185" i="1"/>
  <c r="AU185" i="1"/>
  <c r="BP185" i="1"/>
  <c r="AC186" i="1"/>
  <c r="AD186" i="1" s="1" a="1"/>
  <c r="AD186" i="1" s="1"/>
  <c r="AE186" i="1"/>
  <c r="AF186" i="1"/>
  <c r="AJ186" i="1"/>
  <c r="AL186" i="1"/>
  <c r="CA186" i="1" s="1"/>
  <c r="AM186" i="1"/>
  <c r="BG186" i="1" s="1" a="1"/>
  <c r="BG186" i="1" s="1"/>
  <c r="AO186" i="1"/>
  <c r="AP186" i="1"/>
  <c r="AQ186" i="1"/>
  <c r="AR186" i="1"/>
  <c r="AS186" i="1"/>
  <c r="AT186" i="1"/>
  <c r="AU186" i="1"/>
  <c r="BP186" i="1"/>
  <c r="AC187" i="1"/>
  <c r="AD187" i="1" s="1" a="1"/>
  <c r="AD187" i="1" s="1"/>
  <c r="AE187" i="1"/>
  <c r="AF187" i="1"/>
  <c r="AJ187" i="1"/>
  <c r="AL187" i="1"/>
  <c r="CA187" i="1" s="1"/>
  <c r="AM187" i="1"/>
  <c r="BG187" i="1" s="1" a="1"/>
  <c r="BG187" i="1" s="1"/>
  <c r="AO187" i="1"/>
  <c r="AP187" i="1"/>
  <c r="AQ187" i="1"/>
  <c r="AR187" i="1"/>
  <c r="AS187" i="1"/>
  <c r="AT187" i="1"/>
  <c r="AU187" i="1"/>
  <c r="BP187" i="1"/>
  <c r="AC188" i="1"/>
  <c r="AD188" i="1" s="1" a="1"/>
  <c r="AD188" i="1" s="1"/>
  <c r="AE188" i="1"/>
  <c r="AF188" i="1"/>
  <c r="AJ188" i="1"/>
  <c r="AL188" i="1"/>
  <c r="CA188" i="1" s="1"/>
  <c r="AM188" i="1"/>
  <c r="BG188" i="1" s="1" a="1"/>
  <c r="BG188" i="1" s="1"/>
  <c r="AO188" i="1"/>
  <c r="AP188" i="1"/>
  <c r="AQ188" i="1"/>
  <c r="AR188" i="1"/>
  <c r="AS188" i="1"/>
  <c r="AT188" i="1"/>
  <c r="AU188" i="1"/>
  <c r="BP188" i="1"/>
  <c r="P182" i="1"/>
  <c r="P183" i="1"/>
  <c r="CR183" i="1" s="1"/>
  <c r="P184" i="1"/>
  <c r="P185" i="1"/>
  <c r="P186" i="1"/>
  <c r="P187" i="1"/>
  <c r="P188" i="1"/>
  <c r="P181" i="1"/>
  <c r="BC188" i="1" l="1"/>
  <c r="G127" i="34"/>
  <c r="M127" i="34"/>
  <c r="AG188" i="1"/>
  <c r="AH188" i="1" s="1"/>
  <c r="BD188" i="1"/>
  <c r="AG183" i="1"/>
  <c r="AH183" i="1" s="1"/>
  <c r="BD183" i="1"/>
  <c r="AG187" i="1"/>
  <c r="AH187" i="1" s="1"/>
  <c r="BD187" i="1"/>
  <c r="G124" i="34"/>
  <c r="M124" i="34"/>
  <c r="M125" i="34"/>
  <c r="G125" i="34"/>
  <c r="AG186" i="1"/>
  <c r="AH186" i="1" s="1"/>
  <c r="BD186" i="1"/>
  <c r="T123" i="34"/>
  <c r="G123" i="34"/>
  <c r="AG185" i="1"/>
  <c r="AH185" i="1" s="1"/>
  <c r="BD185" i="1"/>
  <c r="M126" i="34"/>
  <c r="G126" i="34"/>
  <c r="AG184" i="1"/>
  <c r="AH184" i="1" s="1"/>
  <c r="BD184" i="1"/>
  <c r="M122" i="34"/>
  <c r="G122" i="34"/>
  <c r="AK185" i="1"/>
  <c r="AK188" i="1"/>
  <c r="AK183" i="1"/>
  <c r="AK186" i="1"/>
  <c r="AZ183" i="1"/>
  <c r="CB186" i="1"/>
  <c r="CB188" i="1"/>
  <c r="DA188" i="1"/>
  <c r="AZ187" i="1"/>
  <c r="AK187" i="1"/>
  <c r="CT185" i="1"/>
  <c r="CS184" i="1"/>
  <c r="AZ184" i="1"/>
  <c r="BZ183" i="1"/>
  <c r="CV183" i="1"/>
  <c r="CB184" i="1"/>
  <c r="AZ188" i="1"/>
  <c r="CW183" i="1"/>
  <c r="CU186" i="1"/>
  <c r="CU185" i="1"/>
  <c r="CU183" i="1"/>
  <c r="CT186" i="1"/>
  <c r="CT183" i="1"/>
  <c r="CT188" i="1"/>
  <c r="DB188" i="1"/>
  <c r="CU187" i="1"/>
  <c r="DA183" i="1"/>
  <c r="CT187" i="1"/>
  <c r="DB186" i="1"/>
  <c r="DB184" i="1"/>
  <c r="CZ183" i="1"/>
  <c r="AZ185" i="1"/>
  <c r="CS183" i="1"/>
  <c r="DD183" i="1"/>
  <c r="CU188" i="1"/>
  <c r="BC187" i="1"/>
  <c r="AZ186" i="1"/>
  <c r="DA187" i="1"/>
  <c r="DC183" i="1"/>
  <c r="CB183" i="1"/>
  <c r="DB183" i="1"/>
  <c r="BC184" i="1"/>
  <c r="DA186" i="1"/>
  <c r="DB187" i="1"/>
  <c r="CB187" i="1"/>
  <c r="CU184" i="1"/>
  <c r="BC183" i="1"/>
  <c r="BC185" i="1"/>
  <c r="AK184" i="1"/>
  <c r="BC186" i="1"/>
  <c r="DB185" i="1"/>
  <c r="CB185" i="1"/>
  <c r="CZ184" i="1"/>
  <c r="DA185" i="1"/>
  <c r="CA185" i="1"/>
  <c r="B7" i="28" a="1"/>
  <c r="Z123" i="34" l="1"/>
  <c r="E123" i="34"/>
  <c r="E124" i="34"/>
  <c r="Z124" i="34"/>
  <c r="Z126" i="34"/>
  <c r="E126" i="34"/>
  <c r="AF123" i="34"/>
  <c r="AD123" i="34"/>
  <c r="DD185" i="1"/>
  <c r="D124" i="34"/>
  <c r="K124" i="34"/>
  <c r="AL124" i="34"/>
  <c r="AV185" i="1"/>
  <c r="AY185" i="1" s="1"/>
  <c r="CR186" i="1"/>
  <c r="D125" i="34"/>
  <c r="K125" i="34"/>
  <c r="AL125" i="34"/>
  <c r="AV186" i="1"/>
  <c r="AY186" i="1" s="1"/>
  <c r="E122" i="34"/>
  <c r="Z122" i="34"/>
  <c r="DA184" i="1"/>
  <c r="R123" i="34"/>
  <c r="D123" i="34"/>
  <c r="AL123" i="34"/>
  <c r="AV184" i="1"/>
  <c r="AY184" i="1" s="1"/>
  <c r="E125" i="34"/>
  <c r="Z125" i="34"/>
  <c r="AU183" i="1"/>
  <c r="AY183" i="1" s="1"/>
  <c r="BW183" i="1" s="1"/>
  <c r="K122" i="34"/>
  <c r="D122" i="34"/>
  <c r="AL122" i="34"/>
  <c r="CS188" i="1"/>
  <c r="D127" i="34"/>
  <c r="K127" i="34"/>
  <c r="AL127" i="34"/>
  <c r="AV188" i="1"/>
  <c r="AY188" i="1" s="1"/>
  <c r="Z127" i="34"/>
  <c r="E127" i="34"/>
  <c r="CS187" i="1"/>
  <c r="K126" i="34"/>
  <c r="D126" i="34"/>
  <c r="AL126" i="34"/>
  <c r="AV187" i="1"/>
  <c r="AY187" i="1" s="1"/>
  <c r="BB187" i="1" s="1"/>
  <c r="BF187" i="1" s="1"/>
  <c r="CZ188" i="1"/>
  <c r="BZ185" i="1"/>
  <c r="CS185" i="1"/>
  <c r="CY185" i="1"/>
  <c r="CR185" i="1"/>
  <c r="CD185" i="1"/>
  <c r="CZ185" i="1"/>
  <c r="T41" i="28" a="1"/>
  <c r="T41" i="28" s="1"/>
  <c r="T51" i="28" a="1"/>
  <c r="T51" i="28" s="1"/>
  <c r="T61" i="28" a="1"/>
  <c r="T61" i="28" s="1"/>
  <c r="T86" i="28" a="1"/>
  <c r="T86" i="28" s="1"/>
  <c r="T95" i="28" a="1"/>
  <c r="T95" i="28" s="1"/>
  <c r="T104" i="28" a="1"/>
  <c r="T104" i="28" s="1"/>
  <c r="T113" i="28" a="1"/>
  <c r="T113" i="28" s="1"/>
  <c r="T121" i="28" a="1"/>
  <c r="T121" i="28" s="1"/>
  <c r="T129" i="28" a="1"/>
  <c r="T129" i="28" s="1"/>
  <c r="T137" i="28" a="1"/>
  <c r="T137" i="28" s="1"/>
  <c r="T145" i="28" a="1"/>
  <c r="T145" i="28" s="1"/>
  <c r="T154" i="28" a="1"/>
  <c r="T154" i="28" s="1"/>
  <c r="T163" i="28" a="1"/>
  <c r="T163" i="28" s="1"/>
  <c r="T172" i="28" a="1"/>
  <c r="T172" i="28" s="1"/>
  <c r="T188" i="28" a="1"/>
  <c r="T188" i="28" s="1"/>
  <c r="T105" i="28" a="1"/>
  <c r="T105" i="28" s="1"/>
  <c r="T138" i="28" a="1"/>
  <c r="T138" i="28" s="1"/>
  <c r="T155" i="28" a="1"/>
  <c r="T155" i="28" s="1"/>
  <c r="T173" i="28" a="1"/>
  <c r="T173" i="28" s="1"/>
  <c r="T189" i="28" a="1"/>
  <c r="T189" i="28" s="1"/>
  <c r="T147" i="28" a="1"/>
  <c r="T147" i="28" s="1"/>
  <c r="T165" i="28" a="1"/>
  <c r="T165" i="28" s="1"/>
  <c r="T115" i="28" a="1"/>
  <c r="T115" i="28" s="1"/>
  <c r="T131" i="28" a="1"/>
  <c r="T131" i="28" s="1"/>
  <c r="T156" i="28" a="1"/>
  <c r="T156" i="28" s="1"/>
  <c r="T182" i="28" a="1"/>
  <c r="T182" i="28" s="1"/>
  <c r="T191" i="28" a="1"/>
  <c r="T191" i="28" s="1"/>
  <c r="T124" i="28" a="1"/>
  <c r="T124" i="28" s="1"/>
  <c r="T157" i="28" a="1"/>
  <c r="T157" i="28" s="1"/>
  <c r="T183" i="28" a="1"/>
  <c r="T183" i="28" s="1"/>
  <c r="T176" i="28" a="1"/>
  <c r="T176" i="28" s="1"/>
  <c r="T158" i="28" a="1"/>
  <c r="T158" i="28" s="1"/>
  <c r="T177" i="28" a="1"/>
  <c r="T177" i="28" s="1"/>
  <c r="T83" i="28" a="1"/>
  <c r="T83" i="28" s="1"/>
  <c r="T159" i="28" a="1"/>
  <c r="T159" i="28" s="1"/>
  <c r="T126" i="28" a="1"/>
  <c r="T126" i="28" s="1"/>
  <c r="T160" i="28" a="1"/>
  <c r="T160" i="28" s="1"/>
  <c r="T8" i="28" a="1"/>
  <c r="T8" i="28" s="1"/>
  <c r="T17" i="28" a="1"/>
  <c r="T17" i="28" s="1"/>
  <c r="T25" i="28" a="1"/>
  <c r="T25" i="28" s="1"/>
  <c r="T34" i="28" a="1"/>
  <c r="T34" i="28" s="1"/>
  <c r="T42" i="28" a="1"/>
  <c r="T42" i="28" s="1"/>
  <c r="T52" i="28" a="1"/>
  <c r="T52" i="28" s="1"/>
  <c r="T70" i="28" a="1"/>
  <c r="T70" i="28" s="1"/>
  <c r="T78" i="28" a="1"/>
  <c r="T78" i="28" s="1"/>
  <c r="T87" i="28" a="1"/>
  <c r="T87" i="28" s="1"/>
  <c r="T96" i="28" a="1"/>
  <c r="T96" i="28" s="1"/>
  <c r="Z13" i="28" s="1"/>
  <c r="T107" i="28" a="1"/>
  <c r="T107" i="28" s="1"/>
  <c r="T140" i="28" a="1"/>
  <c r="T140" i="28" s="1"/>
  <c r="T193" i="28" a="1"/>
  <c r="T193" i="28" s="1"/>
  <c r="T9" i="28" a="1"/>
  <c r="T9" i="28" s="1"/>
  <c r="T18" i="28" a="1"/>
  <c r="T18" i="28" s="1"/>
  <c r="T35" i="28" a="1"/>
  <c r="T35" i="28" s="1"/>
  <c r="T53" i="28" a="1"/>
  <c r="T53" i="28" s="1"/>
  <c r="T62" i="28" a="1"/>
  <c r="T62" i="28" s="1"/>
  <c r="T79" i="28" a="1"/>
  <c r="T79" i="28" s="1"/>
  <c r="T88" i="28" a="1"/>
  <c r="T88" i="28" s="1"/>
  <c r="T106" i="28" a="1"/>
  <c r="T106" i="28" s="1"/>
  <c r="T122" i="28" a="1"/>
  <c r="T122" i="28" s="1"/>
  <c r="T166" i="28" a="1"/>
  <c r="T166" i="28" s="1"/>
  <c r="T150" i="28" a="1"/>
  <c r="T150" i="28" s="1"/>
  <c r="T185" i="28" a="1"/>
  <c r="T185" i="28" s="1"/>
  <c r="T10" i="28" a="1"/>
  <c r="T10" i="28" s="1"/>
  <c r="T26" i="28" a="1"/>
  <c r="T26" i="28" s="1"/>
  <c r="T43" i="28" a="1"/>
  <c r="T43" i="28" s="1"/>
  <c r="T54" i="28" a="1"/>
  <c r="T54" i="28" s="1"/>
  <c r="T63" i="28" a="1"/>
  <c r="T63" i="28" s="1"/>
  <c r="T71" i="28" a="1"/>
  <c r="T71" i="28" s="1"/>
  <c r="T80" i="28" a="1"/>
  <c r="T80" i="28" s="1"/>
  <c r="T97" i="28" a="1"/>
  <c r="T97" i="28" s="1"/>
  <c r="T19" i="28" a="1"/>
  <c r="T19" i="28" s="1"/>
  <c r="T27" i="28" a="1"/>
  <c r="T27" i="28" s="1"/>
  <c r="T36" i="28" a="1"/>
  <c r="T36" i="28" s="1"/>
  <c r="T44" i="28" a="1"/>
  <c r="T44" i="28" s="1"/>
  <c r="T55" i="28" a="1"/>
  <c r="T55" i="28" s="1"/>
  <c r="T64" i="28" a="1"/>
  <c r="T64" i="28" s="1"/>
  <c r="T72" i="28" a="1"/>
  <c r="T72" i="28" s="1"/>
  <c r="T81" i="28" a="1"/>
  <c r="T81" i="28" s="1"/>
  <c r="T89" i="28" a="1"/>
  <c r="T89" i="28" s="1"/>
  <c r="T98" i="28" a="1"/>
  <c r="T98" i="28" s="1"/>
  <c r="T192" i="28" a="1"/>
  <c r="T192" i="28" s="1"/>
  <c r="T92" i="28" a="1"/>
  <c r="T92" i="28" s="1"/>
  <c r="T11" i="28" a="1"/>
  <c r="T11" i="28" s="1"/>
  <c r="T28" i="28" a="1"/>
  <c r="T28" i="28" s="1"/>
  <c r="T37" i="28" a="1"/>
  <c r="T37" i="28" s="1"/>
  <c r="T45" i="28" a="1"/>
  <c r="T45" i="28" s="1"/>
  <c r="T65" i="28" a="1"/>
  <c r="T65" i="28" s="1"/>
  <c r="T90" i="28" a="1"/>
  <c r="T90" i="28" s="1"/>
  <c r="T99" i="28" a="1"/>
  <c r="T99" i="28" s="1"/>
  <c r="T108" i="28" a="1"/>
  <c r="T108" i="28" s="1"/>
  <c r="T117" i="28" a="1"/>
  <c r="T117" i="28" s="1"/>
  <c r="T132" i="28" a="1"/>
  <c r="T132" i="28" s="1"/>
  <c r="T141" i="28" a="1"/>
  <c r="T141" i="28" s="1"/>
  <c r="T149" i="28" a="1"/>
  <c r="T149" i="28" s="1"/>
  <c r="T20" i="28" a="1"/>
  <c r="T20" i="28" s="1"/>
  <c r="T29" i="28" a="1"/>
  <c r="T29" i="28" s="1"/>
  <c r="T46" i="28" a="1"/>
  <c r="T46" i="28" s="1"/>
  <c r="T56" i="28" a="1"/>
  <c r="T56" i="28" s="1"/>
  <c r="T73" i="28" a="1"/>
  <c r="T73" i="28" s="1"/>
  <c r="T82" i="28" a="1"/>
  <c r="T82" i="28" s="1"/>
  <c r="T91" i="28" a="1"/>
  <c r="T91" i="28" s="1"/>
  <c r="T100" i="28" a="1"/>
  <c r="T100" i="28" s="1"/>
  <c r="T109" i="28" a="1"/>
  <c r="T109" i="28" s="1"/>
  <c r="T125" i="28" a="1"/>
  <c r="T125" i="28" s="1"/>
  <c r="T133" i="28" a="1"/>
  <c r="T133" i="28" s="1"/>
  <c r="T151" i="28" a="1"/>
  <c r="T151" i="28" s="1"/>
  <c r="T12" i="28" a="1"/>
  <c r="T12" i="28" s="1"/>
  <c r="T21" i="28" a="1"/>
  <c r="T21" i="28" s="1"/>
  <c r="T38" i="28" a="1"/>
  <c r="T38" i="28" s="1"/>
  <c r="T47" i="28" a="1"/>
  <c r="T47" i="28" s="1"/>
  <c r="T57" i="28" a="1"/>
  <c r="T57" i="28" s="1"/>
  <c r="T66" i="28" a="1"/>
  <c r="T66" i="28" s="1"/>
  <c r="T74" i="28" a="1"/>
  <c r="T74" i="28" s="1"/>
  <c r="T13" i="28" a="1"/>
  <c r="T13" i="28" s="1"/>
  <c r="T22" i="28" a="1"/>
  <c r="T22" i="28" s="1"/>
  <c r="T30" i="28" a="1"/>
  <c r="T30" i="28" s="1"/>
  <c r="T39" i="28" a="1"/>
  <c r="T39" i="28" s="1"/>
  <c r="T48" i="28" a="1"/>
  <c r="T48" i="28" s="1"/>
  <c r="T75" i="28" a="1"/>
  <c r="T75" i="28" s="1"/>
  <c r="T169" i="28" a="1"/>
  <c r="T169" i="28" s="1"/>
  <c r="T14" i="28" a="1"/>
  <c r="T14" i="28" s="1"/>
  <c r="T31" i="28" a="1"/>
  <c r="T31" i="28" s="1"/>
  <c r="T58" i="28" a="1"/>
  <c r="T58" i="28" s="1"/>
  <c r="T67" i="28" a="1"/>
  <c r="T67" i="28" s="1"/>
  <c r="T84" i="28" a="1"/>
  <c r="T84" i="28" s="1"/>
  <c r="T93" i="28" a="1"/>
  <c r="T93" i="28" s="1"/>
  <c r="T102" i="28" a="1"/>
  <c r="T102" i="28" s="1"/>
  <c r="T111" i="28" a="1"/>
  <c r="T111" i="28" s="1"/>
  <c r="T119" i="28" a="1"/>
  <c r="T119" i="28" s="1"/>
  <c r="T127" i="28" a="1"/>
  <c r="T127" i="28" s="1"/>
  <c r="T135" i="28" a="1"/>
  <c r="T135" i="28" s="1"/>
  <c r="T143" i="28" a="1"/>
  <c r="T143" i="28" s="1"/>
  <c r="T152" i="28" a="1"/>
  <c r="T152" i="28" s="1"/>
  <c r="T179" i="28" a="1"/>
  <c r="T179" i="28" s="1"/>
  <c r="T186" i="28" a="1"/>
  <c r="T186" i="28" s="1"/>
  <c r="T15" i="28" a="1"/>
  <c r="T15" i="28" s="1"/>
  <c r="T23" i="28" a="1"/>
  <c r="T23" i="28" s="1"/>
  <c r="T32" i="28" a="1"/>
  <c r="T32" i="28" s="1"/>
  <c r="T40" i="28" a="1"/>
  <c r="T40" i="28" s="1"/>
  <c r="T49" i="28" a="1"/>
  <c r="T49" i="28" s="1"/>
  <c r="T59" i="28" a="1"/>
  <c r="T59" i="28" s="1"/>
  <c r="T68" i="28" a="1"/>
  <c r="T68" i="28" s="1"/>
  <c r="T76" i="28" a="1"/>
  <c r="T76" i="28" s="1"/>
  <c r="T94" i="28" a="1"/>
  <c r="T94" i="28" s="1"/>
  <c r="T103" i="28" a="1"/>
  <c r="T103" i="28" s="1"/>
  <c r="T120" i="28" a="1"/>
  <c r="T120" i="28" s="1"/>
  <c r="T136" i="28" a="1"/>
  <c r="T136" i="28" s="1"/>
  <c r="T153" i="28" a="1"/>
  <c r="T153" i="28" s="1"/>
  <c r="T161" i="28" a="1"/>
  <c r="T161" i="28" s="1"/>
  <c r="T170" i="28" a="1"/>
  <c r="T170" i="28" s="1"/>
  <c r="T101" i="28" a="1"/>
  <c r="T101" i="28" s="1"/>
  <c r="T142" i="28" a="1"/>
  <c r="T142" i="28" s="1"/>
  <c r="T134" i="28" a="1"/>
  <c r="T134" i="28" s="1"/>
  <c r="T16" i="28" a="1"/>
  <c r="T16" i="28" s="1"/>
  <c r="T24" i="28" a="1"/>
  <c r="T24" i="28" s="1"/>
  <c r="T33" i="28" a="1"/>
  <c r="T33" i="28" s="1"/>
  <c r="T50" i="28" a="1"/>
  <c r="T50" i="28" s="1"/>
  <c r="T60" i="28" a="1"/>
  <c r="T60" i="28" s="1"/>
  <c r="T69" i="28" a="1"/>
  <c r="T69" i="28" s="1"/>
  <c r="T77" i="28" a="1"/>
  <c r="T77" i="28" s="1"/>
  <c r="T85" i="28" a="1"/>
  <c r="T85" i="28" s="1"/>
  <c r="T112" i="28" a="1"/>
  <c r="T112" i="28" s="1"/>
  <c r="T128" i="28" a="1"/>
  <c r="T128" i="28" s="1"/>
  <c r="T144" i="28" a="1"/>
  <c r="T144" i="28" s="1"/>
  <c r="T162" i="28" a="1"/>
  <c r="T162" i="28" s="1"/>
  <c r="T171" i="28" a="1"/>
  <c r="T171" i="28" s="1"/>
  <c r="T180" i="28" a="1"/>
  <c r="T180" i="28" s="1"/>
  <c r="T187" i="28" a="1"/>
  <c r="T187" i="28" s="1"/>
  <c r="T114" i="28" a="1"/>
  <c r="T114" i="28" s="1"/>
  <c r="T146" i="28" a="1"/>
  <c r="T146" i="28" s="1"/>
  <c r="T164" i="28" a="1"/>
  <c r="T164" i="28" s="1"/>
  <c r="T181" i="28" a="1"/>
  <c r="T181" i="28" s="1"/>
  <c r="T130" i="28" a="1"/>
  <c r="T130" i="28" s="1"/>
  <c r="T190" i="28" a="1"/>
  <c r="T190" i="28" s="1"/>
  <c r="T123" i="28" a="1"/>
  <c r="T123" i="28" s="1"/>
  <c r="T139" i="28" a="1"/>
  <c r="T139" i="28" s="1"/>
  <c r="T174" i="28" a="1"/>
  <c r="T174" i="28" s="1"/>
  <c r="T116" i="28" a="1"/>
  <c r="T116" i="28" s="1"/>
  <c r="T148" i="28" a="1"/>
  <c r="T148" i="28" s="1"/>
  <c r="T175" i="28" a="1"/>
  <c r="T175" i="28" s="1"/>
  <c r="T167" i="28" a="1"/>
  <c r="T167" i="28" s="1"/>
  <c r="T168" i="28" a="1"/>
  <c r="T168" i="28" s="1"/>
  <c r="T184" i="28" a="1"/>
  <c r="T184" i="28" s="1"/>
  <c r="T118" i="28" a="1"/>
  <c r="T118" i="28" s="1"/>
  <c r="T110" i="28" a="1"/>
  <c r="T110" i="28" s="1"/>
  <c r="T178" i="28" a="1"/>
  <c r="T178" i="28" s="1"/>
  <c r="X58" i="28" a="1"/>
  <c r="X58" i="28" s="1"/>
  <c r="CS186" i="1"/>
  <c r="CW188" i="1"/>
  <c r="BZ188" i="1"/>
  <c r="BY186" i="1"/>
  <c r="CD186" i="1"/>
  <c r="CD188" i="1"/>
  <c r="DD186" i="1"/>
  <c r="DD188" i="1"/>
  <c r="CR188" i="1"/>
  <c r="CY186" i="1"/>
  <c r="BZ186" i="1"/>
  <c r="BY185" i="1"/>
  <c r="CW186" i="1"/>
  <c r="CY188" i="1"/>
  <c r="CZ186" i="1"/>
  <c r="CW185" i="1"/>
  <c r="J185" i="28" a="1"/>
  <c r="J185" i="28" s="1"/>
  <c r="BY188" i="1"/>
  <c r="CW187" i="1"/>
  <c r="CZ187" i="1"/>
  <c r="BB185" i="1"/>
  <c r="BF185" i="1" s="1"/>
  <c r="I124" i="34" s="1"/>
  <c r="BR185" i="1"/>
  <c r="CY187" i="1"/>
  <c r="DD187" i="1"/>
  <c r="CD187" i="1"/>
  <c r="CR187" i="1"/>
  <c r="CA184" i="1"/>
  <c r="BY187" i="1"/>
  <c r="BZ187" i="1"/>
  <c r="BB186" i="1"/>
  <c r="BF186" i="1" s="1"/>
  <c r="BW186" i="1"/>
  <c r="K175" i="28" a="1"/>
  <c r="K175" i="28" s="1"/>
  <c r="H192" i="28" a="1"/>
  <c r="H192" i="28" s="1"/>
  <c r="J150" i="28" a="1"/>
  <c r="J150" i="28" s="1"/>
  <c r="H188" i="28" a="1"/>
  <c r="H188" i="28" s="1"/>
  <c r="K142" i="28" a="1"/>
  <c r="K142" i="28" s="1"/>
  <c r="K43" i="28" a="1"/>
  <c r="K43" i="28" s="1"/>
  <c r="R183" i="28" a="1"/>
  <c r="R183" i="28" s="1"/>
  <c r="H183" i="28" a="1"/>
  <c r="H183" i="28" s="1"/>
  <c r="K33" i="28" a="1"/>
  <c r="K33" i="28" s="1"/>
  <c r="J116" i="28" a="1"/>
  <c r="J116" i="28" s="1"/>
  <c r="I178" i="28" a="1"/>
  <c r="I178" i="28" s="1"/>
  <c r="J24" i="28" a="1"/>
  <c r="J24" i="28" s="1"/>
  <c r="J107" i="28" a="1"/>
  <c r="J107" i="28" s="1"/>
  <c r="J88" i="28" a="1"/>
  <c r="J88" i="28" s="1"/>
  <c r="J72" i="28" a="1"/>
  <c r="J72" i="28" s="1"/>
  <c r="J62" i="28" a="1"/>
  <c r="J62" i="28" s="1"/>
  <c r="J166" i="28" a="1"/>
  <c r="J166" i="28" s="1"/>
  <c r="K61" i="28" a="1"/>
  <c r="K61" i="28" s="1"/>
  <c r="J158" i="28" a="1"/>
  <c r="J158" i="28" s="1"/>
  <c r="K52" i="28" a="1"/>
  <c r="K52" i="28" s="1"/>
  <c r="J52" i="28" a="1"/>
  <c r="J52" i="28" s="1"/>
  <c r="R187" i="28" a="1"/>
  <c r="R187" i="28" s="1"/>
  <c r="J134" i="28" a="1"/>
  <c r="J134" i="28" s="1"/>
  <c r="J43" i="28" a="1"/>
  <c r="J43" i="28" s="1"/>
  <c r="J124" i="28" a="1"/>
  <c r="J124" i="28" s="1"/>
  <c r="I174" i="28" a="1"/>
  <c r="I174" i="28" s="1"/>
  <c r="J14" i="28" a="1"/>
  <c r="J14" i="28" s="1"/>
  <c r="J98" i="28" a="1"/>
  <c r="J98" i="28" s="1"/>
  <c r="H174" i="28" a="1"/>
  <c r="H174" i="28" s="1"/>
  <c r="K72" i="28" a="1"/>
  <c r="K72" i="28" s="1"/>
  <c r="K80" i="28" a="1"/>
  <c r="K80" i="28" s="1"/>
  <c r="G184" i="28" a="1"/>
  <c r="G184" i="28" s="1"/>
  <c r="G172" i="28" a="1"/>
  <c r="G172" i="28" s="1"/>
  <c r="G160" i="28" a="1"/>
  <c r="G160" i="28" s="1"/>
  <c r="G148" i="28" a="1"/>
  <c r="G148" i="28" s="1"/>
  <c r="G136" i="28" a="1"/>
  <c r="G136" i="28" s="1"/>
  <c r="G124" i="28" a="1"/>
  <c r="G124" i="28" s="1"/>
  <c r="G112" i="28" a="1"/>
  <c r="G112" i="28" s="1"/>
  <c r="G100" i="28" a="1"/>
  <c r="G100" i="28" s="1"/>
  <c r="G87" i="28" a="1"/>
  <c r="G87" i="28" s="1"/>
  <c r="G74" i="28" a="1"/>
  <c r="G74" i="28" s="1"/>
  <c r="G62" i="28" a="1"/>
  <c r="G62" i="28" s="1"/>
  <c r="G183" i="28" a="1"/>
  <c r="G183" i="28" s="1"/>
  <c r="G171" i="28" a="1"/>
  <c r="G171" i="28" s="1"/>
  <c r="G159" i="28" a="1"/>
  <c r="G159" i="28" s="1"/>
  <c r="G147" i="28" a="1"/>
  <c r="G147" i="28" s="1"/>
  <c r="G135" i="28" a="1"/>
  <c r="G135" i="28" s="1"/>
  <c r="G123" i="28" a="1"/>
  <c r="G123" i="28" s="1"/>
  <c r="G111" i="28" a="1"/>
  <c r="G111" i="28" s="1"/>
  <c r="G99" i="28" a="1"/>
  <c r="G99" i="28" s="1"/>
  <c r="G86" i="28" a="1"/>
  <c r="G86" i="28" s="1"/>
  <c r="G73" i="28" a="1"/>
  <c r="G73" i="28" s="1"/>
  <c r="G61" i="28" a="1"/>
  <c r="G61" i="28" s="1"/>
  <c r="G50" i="28" a="1"/>
  <c r="G50" i="28" s="1"/>
  <c r="G38" i="28" a="1"/>
  <c r="G38" i="28" s="1"/>
  <c r="G26" i="28" a="1"/>
  <c r="G26" i="28" s="1"/>
  <c r="G15" i="28" a="1"/>
  <c r="G15" i="28" s="1"/>
  <c r="G182" i="28" a="1"/>
  <c r="G182" i="28" s="1"/>
  <c r="G170" i="28" a="1"/>
  <c r="G170" i="28" s="1"/>
  <c r="G158" i="28" a="1"/>
  <c r="G158" i="28" s="1"/>
  <c r="G146" i="28" a="1"/>
  <c r="G146" i="28" s="1"/>
  <c r="G134" i="28" a="1"/>
  <c r="G134" i="28" s="1"/>
  <c r="G122" i="28" a="1"/>
  <c r="G122" i="28" s="1"/>
  <c r="G110" i="28" a="1"/>
  <c r="G110" i="28" s="1"/>
  <c r="G98" i="28" a="1"/>
  <c r="G98" i="28" s="1"/>
  <c r="G85" i="28" a="1"/>
  <c r="G85" i="28" s="1"/>
  <c r="G72" i="28" a="1"/>
  <c r="G72" i="28" s="1"/>
  <c r="G60" i="28" a="1"/>
  <c r="G60" i="28" s="1"/>
  <c r="G49" i="28" a="1"/>
  <c r="G49" i="28" s="1"/>
  <c r="G37" i="28" a="1"/>
  <c r="G37" i="28" s="1"/>
  <c r="G25" i="28" a="1"/>
  <c r="G25" i="28" s="1"/>
  <c r="G14" i="28" a="1"/>
  <c r="G14" i="28" s="1"/>
  <c r="G82" i="28" a="1"/>
  <c r="G82" i="28" s="1"/>
  <c r="G22" i="28" a="1"/>
  <c r="G22" i="28" s="1"/>
  <c r="G190" i="28" a="1"/>
  <c r="G190" i="28" s="1"/>
  <c r="G142" i="28" a="1"/>
  <c r="G142" i="28" s="1"/>
  <c r="G118" i="28" a="1"/>
  <c r="G118" i="28" s="1"/>
  <c r="G81" i="28" a="1"/>
  <c r="G81" i="28" s="1"/>
  <c r="G56" i="28" a="1"/>
  <c r="G56" i="28" s="1"/>
  <c r="G33" i="28" a="1"/>
  <c r="G33" i="28" s="1"/>
  <c r="G10" i="28" a="1"/>
  <c r="G10" i="28" s="1"/>
  <c r="G177" i="28" a="1"/>
  <c r="G177" i="28" s="1"/>
  <c r="G141" i="28" a="1"/>
  <c r="G141" i="28" s="1"/>
  <c r="G105" i="28" a="1"/>
  <c r="G105" i="28" s="1"/>
  <c r="G67" i="28" a="1"/>
  <c r="G67" i="28" s="1"/>
  <c r="G32" i="28" a="1"/>
  <c r="G32" i="28" s="1"/>
  <c r="G9" i="28" a="1"/>
  <c r="G9" i="28" s="1"/>
  <c r="G176" i="28" a="1"/>
  <c r="G176" i="28" s="1"/>
  <c r="G140" i="28" a="1"/>
  <c r="G140" i="28" s="1"/>
  <c r="G116" i="28" a="1"/>
  <c r="G116" i="28" s="1"/>
  <c r="G79" i="28" a="1"/>
  <c r="G79" i="28" s="1"/>
  <c r="G54" i="28" a="1"/>
  <c r="G54" i="28" s="1"/>
  <c r="G19" i="28" a="1"/>
  <c r="G19" i="28" s="1"/>
  <c r="G175" i="28" a="1"/>
  <c r="G175" i="28" s="1"/>
  <c r="G151" i="28" a="1"/>
  <c r="G151" i="28" s="1"/>
  <c r="G127" i="28" a="1"/>
  <c r="G127" i="28" s="1"/>
  <c r="G103" i="28" a="1"/>
  <c r="G103" i="28" s="1"/>
  <c r="G78" i="28" a="1"/>
  <c r="G78" i="28" s="1"/>
  <c r="G53" i="28" a="1"/>
  <c r="G53" i="28" s="1"/>
  <c r="G18" i="28" a="1"/>
  <c r="G18" i="28" s="1"/>
  <c r="G186" i="28" a="1"/>
  <c r="G186" i="28" s="1"/>
  <c r="G162" i="28" a="1"/>
  <c r="G162" i="28" s="1"/>
  <c r="G138" i="28" a="1"/>
  <c r="G138" i="28" s="1"/>
  <c r="G126" i="28" a="1"/>
  <c r="G126" i="28" s="1"/>
  <c r="G77" i="28" a="1"/>
  <c r="G77" i="28" s="1"/>
  <c r="G163" i="28" a="1"/>
  <c r="G163" i="28" s="1"/>
  <c r="G114" i="28" a="1"/>
  <c r="G114" i="28" s="1"/>
  <c r="G193" i="28" a="1"/>
  <c r="G193" i="28" s="1"/>
  <c r="G181" i="28" a="1"/>
  <c r="G181" i="28" s="1"/>
  <c r="G169" i="28" a="1"/>
  <c r="G169" i="28" s="1"/>
  <c r="G157" i="28" a="1"/>
  <c r="G157" i="28" s="1"/>
  <c r="G145" i="28" a="1"/>
  <c r="G145" i="28" s="1"/>
  <c r="G133" i="28" a="1"/>
  <c r="G133" i="28" s="1"/>
  <c r="G121" i="28" a="1"/>
  <c r="G121" i="28" s="1"/>
  <c r="G109" i="28" a="1"/>
  <c r="G109" i="28" s="1"/>
  <c r="G96" i="28" a="1"/>
  <c r="G96" i="28" s="1"/>
  <c r="G84" i="28" a="1"/>
  <c r="G84" i="28" s="1"/>
  <c r="G71" i="28" a="1"/>
  <c r="G71" i="28" s="1"/>
  <c r="G59" i="28" a="1"/>
  <c r="G59" i="28" s="1"/>
  <c r="G48" i="28" a="1"/>
  <c r="G48" i="28" s="1"/>
  <c r="G36" i="28" a="1"/>
  <c r="G36" i="28" s="1"/>
  <c r="G24" i="28" a="1"/>
  <c r="G24" i="28" s="1"/>
  <c r="G13" i="28" a="1"/>
  <c r="G13" i="28" s="1"/>
  <c r="G192" i="28" a="1"/>
  <c r="G192" i="28" s="1"/>
  <c r="G180" i="28" a="1"/>
  <c r="G180" i="28" s="1"/>
  <c r="G168" i="28" a="1"/>
  <c r="G168" i="28" s="1"/>
  <c r="G156" i="28" a="1"/>
  <c r="G156" i="28" s="1"/>
  <c r="G144" i="28" a="1"/>
  <c r="G144" i="28" s="1"/>
  <c r="G132" i="28" a="1"/>
  <c r="G132" i="28" s="1"/>
  <c r="G120" i="28" a="1"/>
  <c r="G120" i="28" s="1"/>
  <c r="G108" i="28" a="1"/>
  <c r="G108" i="28" s="1"/>
  <c r="G95" i="28" a="1"/>
  <c r="G95" i="28" s="1"/>
  <c r="G83" i="28" a="1"/>
  <c r="G83" i="28" s="1"/>
  <c r="G70" i="28" a="1"/>
  <c r="G70" i="28" s="1"/>
  <c r="G58" i="28" a="1"/>
  <c r="G58" i="28" s="1"/>
  <c r="G35" i="28" a="1"/>
  <c r="G35" i="28" s="1"/>
  <c r="G23" i="28" a="1"/>
  <c r="G23" i="28" s="1"/>
  <c r="G12" i="28" a="1"/>
  <c r="G12" i="28" s="1"/>
  <c r="G191" i="28" a="1"/>
  <c r="G191" i="28" s="1"/>
  <c r="G179" i="28" a="1"/>
  <c r="G179" i="28" s="1"/>
  <c r="G167" i="28" a="1"/>
  <c r="G167" i="28" s="1"/>
  <c r="G155" i="28" a="1"/>
  <c r="G155" i="28" s="1"/>
  <c r="G143" i="28" a="1"/>
  <c r="G143" i="28" s="1"/>
  <c r="G131" i="28" a="1"/>
  <c r="G131" i="28" s="1"/>
  <c r="G119" i="28" a="1"/>
  <c r="G119" i="28" s="1"/>
  <c r="G107" i="28" a="1"/>
  <c r="G107" i="28" s="1"/>
  <c r="G94" i="28" a="1"/>
  <c r="G94" i="28" s="1"/>
  <c r="G69" i="28" a="1"/>
  <c r="G69" i="28" s="1"/>
  <c r="G57" i="28" a="1"/>
  <c r="G57" i="28" s="1"/>
  <c r="G34" i="28" a="1"/>
  <c r="G34" i="28" s="1"/>
  <c r="G11" i="28" a="1"/>
  <c r="G11" i="28" s="1"/>
  <c r="G178" i="28" a="1"/>
  <c r="G178" i="28" s="1"/>
  <c r="G166" i="28" a="1"/>
  <c r="G166" i="28" s="1"/>
  <c r="G154" i="28" a="1"/>
  <c r="G154" i="28" s="1"/>
  <c r="G130" i="28" a="1"/>
  <c r="G130" i="28" s="1"/>
  <c r="G106" i="28" a="1"/>
  <c r="G106" i="28" s="1"/>
  <c r="G93" i="28" a="1"/>
  <c r="G93" i="28" s="1"/>
  <c r="G68" i="28" a="1"/>
  <c r="G68" i="28" s="1"/>
  <c r="G21" i="28" a="1"/>
  <c r="G21" i="28" s="1"/>
  <c r="G189" i="28" a="1"/>
  <c r="G189" i="28" s="1"/>
  <c r="G165" i="28" a="1"/>
  <c r="G165" i="28" s="1"/>
  <c r="G153" i="28" a="1"/>
  <c r="G153" i="28" s="1"/>
  <c r="G129" i="28" a="1"/>
  <c r="G129" i="28" s="1"/>
  <c r="G117" i="28" a="1"/>
  <c r="G117" i="28" s="1"/>
  <c r="G92" i="28" a="1"/>
  <c r="G92" i="28" s="1"/>
  <c r="G80" i="28" a="1"/>
  <c r="G80" i="28" s="1"/>
  <c r="G55" i="28" a="1"/>
  <c r="G55" i="28" s="1"/>
  <c r="G44" i="28" a="1"/>
  <c r="G44" i="28" s="1"/>
  <c r="G20" i="28" a="1"/>
  <c r="G20" i="28" s="1"/>
  <c r="G188" i="28" a="1"/>
  <c r="G188" i="28" s="1"/>
  <c r="G164" i="28" a="1"/>
  <c r="G164" i="28" s="1"/>
  <c r="G152" i="28" a="1"/>
  <c r="G152" i="28" s="1"/>
  <c r="G128" i="28" a="1"/>
  <c r="G128" i="28" s="1"/>
  <c r="G104" i="28" a="1"/>
  <c r="G104" i="28" s="1"/>
  <c r="G91" i="28" a="1"/>
  <c r="G91" i="28" s="1"/>
  <c r="G66" i="28" a="1"/>
  <c r="G66" i="28" s="1"/>
  <c r="G43" i="28" a="1"/>
  <c r="G43" i="28" s="1"/>
  <c r="G31" i="28" a="1"/>
  <c r="G31" i="28" s="1"/>
  <c r="G8" i="28" a="1"/>
  <c r="G8" i="28" s="1"/>
  <c r="G187" i="28" a="1"/>
  <c r="G187" i="28" s="1"/>
  <c r="G139" i="28" a="1"/>
  <c r="G139" i="28" s="1"/>
  <c r="G115" i="28" a="1"/>
  <c r="G115" i="28" s="1"/>
  <c r="G90" i="28" a="1"/>
  <c r="G90" i="28" s="1"/>
  <c r="G65" i="28" a="1"/>
  <c r="G65" i="28" s="1"/>
  <c r="G42" i="28" a="1"/>
  <c r="G42" i="28" s="1"/>
  <c r="G30" i="28" a="1"/>
  <c r="G30" i="28" s="1"/>
  <c r="G174" i="28" a="1"/>
  <c r="G174" i="28" s="1"/>
  <c r="G150" i="28" a="1"/>
  <c r="G150" i="28" s="1"/>
  <c r="G102" i="28" a="1"/>
  <c r="G102" i="28" s="1"/>
  <c r="G173" i="28" a="1"/>
  <c r="G173" i="28" s="1"/>
  <c r="G52" i="28" a="1"/>
  <c r="G52" i="28" s="1"/>
  <c r="G149" i="28" a="1"/>
  <c r="G149" i="28" s="1"/>
  <c r="G137" i="28" a="1"/>
  <c r="G137" i="28" s="1"/>
  <c r="G125" i="28" a="1"/>
  <c r="G125" i="28" s="1"/>
  <c r="G101" i="28" a="1"/>
  <c r="G101" i="28" s="1"/>
  <c r="G28" i="28" a="1"/>
  <c r="G28" i="28" s="1"/>
  <c r="G75" i="28" a="1"/>
  <c r="G75" i="28" s="1"/>
  <c r="G161" i="28" a="1"/>
  <c r="G161" i="28" s="1"/>
  <c r="G51" i="28" a="1"/>
  <c r="G51" i="28" s="1"/>
  <c r="G41" i="28" a="1"/>
  <c r="G41" i="28" s="1"/>
  <c r="G40" i="28" a="1"/>
  <c r="G40" i="28" s="1"/>
  <c r="G113" i="28" a="1"/>
  <c r="G113" i="28" s="1"/>
  <c r="G39" i="28" a="1"/>
  <c r="G39" i="28" s="1"/>
  <c r="G29" i="28" a="1"/>
  <c r="G29" i="28" s="1"/>
  <c r="G89" i="28" a="1"/>
  <c r="G89" i="28" s="1"/>
  <c r="G88" i="28" a="1"/>
  <c r="G88" i="28" s="1"/>
  <c r="G27" i="28" a="1"/>
  <c r="G27" i="28" s="1"/>
  <c r="G17" i="28" a="1"/>
  <c r="G17" i="28" s="1"/>
  <c r="G64" i="28" a="1"/>
  <c r="G64" i="28" s="1"/>
  <c r="G16" i="28" a="1"/>
  <c r="G16" i="28" s="1"/>
  <c r="G185" i="28" a="1"/>
  <c r="G185" i="28" s="1"/>
  <c r="G63" i="28" a="1"/>
  <c r="G63" i="28" s="1"/>
  <c r="CW184" i="1"/>
  <c r="BY184" i="1"/>
  <c r="CY184" i="1"/>
  <c r="CR184" i="1"/>
  <c r="BB184" i="1"/>
  <c r="BF184" i="1" s="1"/>
  <c r="I123" i="34" s="1"/>
  <c r="CD184" i="1"/>
  <c r="DD184" i="1"/>
  <c r="CT184" i="1"/>
  <c r="K13" i="28" a="1"/>
  <c r="K13" i="28" s="1"/>
  <c r="K114" i="28" a="1"/>
  <c r="K114" i="28" s="1"/>
  <c r="J71" i="28" a="1"/>
  <c r="J71" i="28" s="1"/>
  <c r="K183" i="28" a="1"/>
  <c r="K183" i="28" s="1"/>
  <c r="J133" i="28" a="1"/>
  <c r="J133" i="28" s="1"/>
  <c r="J50" i="28" a="1"/>
  <c r="J50" i="28" s="1"/>
  <c r="K172" i="28" a="1"/>
  <c r="K172" i="28" s="1"/>
  <c r="K122" i="28" a="1"/>
  <c r="K122" i="28" s="1"/>
  <c r="I182" i="28" a="1"/>
  <c r="I182" i="28" s="1"/>
  <c r="J69" i="28" a="1"/>
  <c r="J69" i="28" s="1"/>
  <c r="J59" i="28" a="1"/>
  <c r="J59" i="28" s="1"/>
  <c r="K49" i="28" a="1"/>
  <c r="K49" i="28" s="1"/>
  <c r="J40" i="28" a="1"/>
  <c r="J40" i="28" s="1"/>
  <c r="K30" i="28" a="1"/>
  <c r="K30" i="28" s="1"/>
  <c r="J20" i="28" a="1"/>
  <c r="J20" i="28" s="1"/>
  <c r="J12" i="28" a="1"/>
  <c r="J12" i="28" s="1"/>
  <c r="J192" i="28" a="1"/>
  <c r="J192" i="28" s="1"/>
  <c r="J182" i="28" a="1"/>
  <c r="J182" i="28" s="1"/>
  <c r="J172" i="28" a="1"/>
  <c r="J172" i="28" s="1"/>
  <c r="J163" i="28" a="1"/>
  <c r="J163" i="28" s="1"/>
  <c r="K155" i="28" a="1"/>
  <c r="K155" i="28" s="1"/>
  <c r="J147" i="28" a="1"/>
  <c r="J147" i="28" s="1"/>
  <c r="K139" i="28" a="1"/>
  <c r="K139" i="28" s="1"/>
  <c r="K130" i="28" a="1"/>
  <c r="K130" i="28" s="1"/>
  <c r="J121" i="28" a="1"/>
  <c r="J121" i="28" s="1"/>
  <c r="J113" i="28" a="1"/>
  <c r="J113" i="28" s="1"/>
  <c r="J104" i="28" a="1"/>
  <c r="J104" i="28" s="1"/>
  <c r="K94" i="28" a="1"/>
  <c r="K94" i="28" s="1"/>
  <c r="K84" i="28" a="1"/>
  <c r="K84" i="28" s="1"/>
  <c r="K184" i="28" a="1"/>
  <c r="K184" i="28" s="1"/>
  <c r="K123" i="28" a="1"/>
  <c r="K123" i="28" s="1"/>
  <c r="J61" i="28" a="1"/>
  <c r="J61" i="28" s="1"/>
  <c r="J173" i="28" a="1"/>
  <c r="J173" i="28" s="1"/>
  <c r="J114" i="28" a="1"/>
  <c r="J114" i="28" s="1"/>
  <c r="H191" i="28" a="1"/>
  <c r="H191" i="28" s="1"/>
  <c r="R173" i="28" a="1"/>
  <c r="R173" i="28" s="1"/>
  <c r="J22" i="28" a="1"/>
  <c r="J22" i="28" s="1"/>
  <c r="K163" i="28" a="1"/>
  <c r="K163" i="28" s="1"/>
  <c r="K104" i="28" a="1"/>
  <c r="K104" i="28" s="1"/>
  <c r="J68" i="28" a="1"/>
  <c r="J68" i="28" s="1"/>
  <c r="K58" i="28" a="1"/>
  <c r="K58" i="28" s="1"/>
  <c r="J49" i="28" a="1"/>
  <c r="J49" i="28" s="1"/>
  <c r="K39" i="28" a="1"/>
  <c r="K39" i="28" s="1"/>
  <c r="J30" i="28" a="1"/>
  <c r="J30" i="28" s="1"/>
  <c r="K19" i="28" a="1"/>
  <c r="K19" i="28" s="1"/>
  <c r="K10" i="28" a="1"/>
  <c r="K10" i="28" s="1"/>
  <c r="J191" i="28" a="1"/>
  <c r="J191" i="28" s="1"/>
  <c r="K181" i="28" a="1"/>
  <c r="K181" i="28" s="1"/>
  <c r="K171" i="28" a="1"/>
  <c r="K171" i="28" s="1"/>
  <c r="K162" i="28" a="1"/>
  <c r="K162" i="28" s="1"/>
  <c r="J155" i="28" a="1"/>
  <c r="J155" i="28" s="1"/>
  <c r="K146" i="28" a="1"/>
  <c r="K146" i="28" s="1"/>
  <c r="J139" i="28" a="1"/>
  <c r="J139" i="28" s="1"/>
  <c r="J130" i="28" a="1"/>
  <c r="J130" i="28" s="1"/>
  <c r="K120" i="28" a="1"/>
  <c r="K120" i="28" s="1"/>
  <c r="K112" i="28" a="1"/>
  <c r="K112" i="28" s="1"/>
  <c r="K103" i="28" a="1"/>
  <c r="K103" i="28" s="1"/>
  <c r="J94" i="28" a="1"/>
  <c r="J94" i="28" s="1"/>
  <c r="J84" i="28" a="1"/>
  <c r="J84" i="28" s="1"/>
  <c r="J175" i="28" a="1"/>
  <c r="J175" i="28" s="1"/>
  <c r="J157" i="28" a="1"/>
  <c r="J157" i="28" s="1"/>
  <c r="K97" i="28" a="1"/>
  <c r="K97" i="28" s="1"/>
  <c r="K42" i="28" a="1"/>
  <c r="K42" i="28" s="1"/>
  <c r="J13" i="28" a="1"/>
  <c r="J13" i="28" s="1"/>
  <c r="K156" i="28" a="1"/>
  <c r="K156" i="28" s="1"/>
  <c r="J123" i="28" a="1"/>
  <c r="J123" i="28" s="1"/>
  <c r="J87" i="28" a="1"/>
  <c r="J87" i="28" s="1"/>
  <c r="R182" i="28" a="1"/>
  <c r="R182" i="28" s="1"/>
  <c r="J42" i="28" a="1"/>
  <c r="J42" i="28" s="1"/>
  <c r="K192" i="28" a="1"/>
  <c r="K192" i="28" s="1"/>
  <c r="J140" i="28" a="1"/>
  <c r="J140" i="28" s="1"/>
  <c r="K96" i="28" a="1"/>
  <c r="K96" i="28" s="1"/>
  <c r="H186" i="28" a="1"/>
  <c r="H186" i="28" s="1"/>
  <c r="R181" i="28" a="1"/>
  <c r="R181" i="28" s="1"/>
  <c r="R176" i="28" a="1"/>
  <c r="R176" i="28" s="1"/>
  <c r="R172" i="28" a="1"/>
  <c r="R172" i="28" s="1"/>
  <c r="K67" i="28" a="1"/>
  <c r="K67" i="28" s="1"/>
  <c r="J58" i="28" a="1"/>
  <c r="J58" i="28" s="1"/>
  <c r="K48" i="28" a="1"/>
  <c r="K48" i="28" s="1"/>
  <c r="J39" i="28" a="1"/>
  <c r="J39" i="28" s="1"/>
  <c r="J29" i="28" a="1"/>
  <c r="J29" i="28" s="1"/>
  <c r="J19" i="28" a="1"/>
  <c r="J19" i="28" s="1"/>
  <c r="J10" i="28" a="1"/>
  <c r="J10" i="28" s="1"/>
  <c r="J190" i="28" a="1"/>
  <c r="J190" i="28" s="1"/>
  <c r="J180" i="28" a="1"/>
  <c r="J180" i="28" s="1"/>
  <c r="J170" i="28" a="1"/>
  <c r="J170" i="28" s="1"/>
  <c r="J162" i="28" a="1"/>
  <c r="J162" i="28" s="1"/>
  <c r="K153" i="28" a="1"/>
  <c r="K153" i="28" s="1"/>
  <c r="J146" i="28" a="1"/>
  <c r="J146" i="28" s="1"/>
  <c r="K138" i="28" a="1"/>
  <c r="K138" i="28" s="1"/>
  <c r="K129" i="28" a="1"/>
  <c r="K129" i="28" s="1"/>
  <c r="J120" i="28" a="1"/>
  <c r="J120" i="28" s="1"/>
  <c r="J111" i="28" a="1"/>
  <c r="J111" i="28" s="1"/>
  <c r="J103" i="28" a="1"/>
  <c r="J103" i="28" s="1"/>
  <c r="K93" i="28" a="1"/>
  <c r="K93" i="28" s="1"/>
  <c r="K83" i="28" a="1"/>
  <c r="K83" i="28" s="1"/>
  <c r="K193" i="28" a="1"/>
  <c r="K193" i="28" s="1"/>
  <c r="K165" i="28" a="1"/>
  <c r="K165" i="28" s="1"/>
  <c r="K149" i="28" a="1"/>
  <c r="K149" i="28" s="1"/>
  <c r="K106" i="28" a="1"/>
  <c r="K106" i="28" s="1"/>
  <c r="K87" i="28" a="1"/>
  <c r="K87" i="28" s="1"/>
  <c r="R191" i="28" a="1"/>
  <c r="R191" i="28" s="1"/>
  <c r="K51" i="28" a="1"/>
  <c r="K51" i="28" s="1"/>
  <c r="K22" i="28" a="1"/>
  <c r="K22" i="28" s="1"/>
  <c r="J193" i="28" a="1"/>
  <c r="J193" i="28" s="1"/>
  <c r="J165" i="28" a="1"/>
  <c r="J165" i="28" s="1"/>
  <c r="J149" i="28" a="1"/>
  <c r="J149" i="28" s="1"/>
  <c r="K140" i="28" a="1"/>
  <c r="K140" i="28" s="1"/>
  <c r="J106" i="28" a="1"/>
  <c r="J106" i="28" s="1"/>
  <c r="J97" i="28" a="1"/>
  <c r="J97" i="28" s="1"/>
  <c r="H187" i="28" a="1"/>
  <c r="H187" i="28" s="1"/>
  <c r="K69" i="28" a="1"/>
  <c r="K69" i="28" s="1"/>
  <c r="J60" i="28" a="1"/>
  <c r="J60" i="28" s="1"/>
  <c r="K31" i="28" a="1"/>
  <c r="K31" i="28" s="1"/>
  <c r="K12" i="28" a="1"/>
  <c r="K12" i="28" s="1"/>
  <c r="J183" i="28" a="1"/>
  <c r="J183" i="28" s="1"/>
  <c r="J156" i="28" a="1"/>
  <c r="J156" i="28" s="1"/>
  <c r="K148" i="28" a="1"/>
  <c r="K148" i="28" s="1"/>
  <c r="K132" i="28" a="1"/>
  <c r="K132" i="28" s="1"/>
  <c r="K113" i="28" a="1"/>
  <c r="K113" i="28" s="1"/>
  <c r="K86" i="28" a="1"/>
  <c r="K86" i="28" s="1"/>
  <c r="H177" i="28" a="1"/>
  <c r="H177" i="28" s="1"/>
  <c r="H173" i="28" a="1"/>
  <c r="H173" i="28" s="1"/>
  <c r="R190" i="28" a="1"/>
  <c r="R190" i="28" s="1"/>
  <c r="H190" i="28" a="1"/>
  <c r="H190" i="28" s="1"/>
  <c r="R193" i="28" a="1"/>
  <c r="R193" i="28" s="1"/>
  <c r="R185" i="28" a="1"/>
  <c r="R185" i="28" s="1"/>
  <c r="K66" i="28" a="1"/>
  <c r="K66" i="28" s="1"/>
  <c r="J56" i="28" a="1"/>
  <c r="J56" i="28" s="1"/>
  <c r="J48" i="28" a="1"/>
  <c r="J48" i="28" s="1"/>
  <c r="J38" i="28" a="1"/>
  <c r="J38" i="28" s="1"/>
  <c r="K28" i="28" a="1"/>
  <c r="K28" i="28" s="1"/>
  <c r="K18" i="28" a="1"/>
  <c r="K18" i="28" s="1"/>
  <c r="K9" i="28" a="1"/>
  <c r="K9" i="28" s="1"/>
  <c r="K189" i="28" a="1"/>
  <c r="K189" i="28" s="1"/>
  <c r="J179" i="28" a="1"/>
  <c r="J179" i="28" s="1"/>
  <c r="K169" i="28" a="1"/>
  <c r="K169" i="28" s="1"/>
  <c r="K161" i="28" a="1"/>
  <c r="K161" i="28" s="1"/>
  <c r="J153" i="28" a="1"/>
  <c r="J153" i="28" s="1"/>
  <c r="K145" i="28" a="1"/>
  <c r="K145" i="28" s="1"/>
  <c r="K137" i="28" a="1"/>
  <c r="K137" i="28" s="1"/>
  <c r="J129" i="28" a="1"/>
  <c r="J129" i="28" s="1"/>
  <c r="K119" i="28" a="1"/>
  <c r="K119" i="28" s="1"/>
  <c r="K110" i="28" a="1"/>
  <c r="K110" i="28" s="1"/>
  <c r="K101" i="28" a="1"/>
  <c r="K101" i="28" s="1"/>
  <c r="J93" i="28" a="1"/>
  <c r="J93" i="28" s="1"/>
  <c r="K82" i="28" a="1"/>
  <c r="K82" i="28" s="1"/>
  <c r="I193" i="28" a="1"/>
  <c r="I193" i="28" s="1"/>
  <c r="R189" i="28" a="1"/>
  <c r="R189" i="28" s="1"/>
  <c r="I185" i="28" a="1"/>
  <c r="I185" i="28" s="1"/>
  <c r="I180" i="28" a="1"/>
  <c r="I180" i="28" s="1"/>
  <c r="R175" i="28" a="1"/>
  <c r="R175" i="28" s="1"/>
  <c r="K75" i="28" a="1"/>
  <c r="K75" i="28" s="1"/>
  <c r="J66" i="28" a="1"/>
  <c r="J66" i="28" s="1"/>
  <c r="K55" i="28" a="1"/>
  <c r="K55" i="28" s="1"/>
  <c r="K46" i="28" a="1"/>
  <c r="K46" i="28" s="1"/>
  <c r="J37" i="28" a="1"/>
  <c r="J37" i="28" s="1"/>
  <c r="J27" i="28" a="1"/>
  <c r="J27" i="28" s="1"/>
  <c r="J17" i="28" a="1"/>
  <c r="J17" i="28" s="1"/>
  <c r="J9" i="28" a="1"/>
  <c r="J9" i="28" s="1"/>
  <c r="J189" i="28" a="1"/>
  <c r="J189" i="28" s="1"/>
  <c r="K178" i="28" a="1"/>
  <c r="K178" i="28" s="1"/>
  <c r="J169" i="28" a="1"/>
  <c r="J169" i="28" s="1"/>
  <c r="J160" i="28" a="1"/>
  <c r="J160" i="28" s="1"/>
  <c r="K152" i="28" a="1"/>
  <c r="K152" i="28" s="1"/>
  <c r="J145" i="28" a="1"/>
  <c r="J145" i="28" s="1"/>
  <c r="J137" i="28" a="1"/>
  <c r="J137" i="28" s="1"/>
  <c r="K127" i="28" a="1"/>
  <c r="K127" i="28" s="1"/>
  <c r="J119" i="28" a="1"/>
  <c r="J119" i="28" s="1"/>
  <c r="J110" i="28" a="1"/>
  <c r="J110" i="28" s="1"/>
  <c r="J101" i="28" a="1"/>
  <c r="J101" i="28" s="1"/>
  <c r="K91" i="28" a="1"/>
  <c r="K91" i="28" s="1"/>
  <c r="J81" i="28" a="1"/>
  <c r="J81" i="28" s="1"/>
  <c r="J33" i="28" a="1"/>
  <c r="J33" i="28" s="1"/>
  <c r="J142" i="28" a="1"/>
  <c r="J142" i="28" s="1"/>
  <c r="I187" i="28" a="1"/>
  <c r="I187" i="28" s="1"/>
  <c r="J32" i="28" a="1"/>
  <c r="J32" i="28" s="1"/>
  <c r="H180" i="28" a="1"/>
  <c r="H180" i="28" s="1"/>
  <c r="J75" i="28" a="1"/>
  <c r="J75" i="28" s="1"/>
  <c r="J55" i="28" a="1"/>
  <c r="J55" i="28" s="1"/>
  <c r="K36" i="28" a="1"/>
  <c r="K36" i="28" s="1"/>
  <c r="J26" i="28" a="1"/>
  <c r="J26" i="28" s="1"/>
  <c r="K16" i="28" a="1"/>
  <c r="K16" i="28" s="1"/>
  <c r="J188" i="28" a="1"/>
  <c r="J188" i="28" s="1"/>
  <c r="J178" i="28" a="1"/>
  <c r="J178" i="28" s="1"/>
  <c r="K168" i="28" a="1"/>
  <c r="K168" i="28" s="1"/>
  <c r="K159" i="28" a="1"/>
  <c r="K159" i="28" s="1"/>
  <c r="J152" i="28" a="1"/>
  <c r="J152" i="28" s="1"/>
  <c r="J144" i="28" a="1"/>
  <c r="J144" i="28" s="1"/>
  <c r="K136" i="28" a="1"/>
  <c r="K136" i="28" s="1"/>
  <c r="J127" i="28" a="1"/>
  <c r="J127" i="28" s="1"/>
  <c r="K117" i="28" a="1"/>
  <c r="K117" i="28" s="1"/>
  <c r="K109" i="28" a="1"/>
  <c r="K109" i="28" s="1"/>
  <c r="K100" i="28" a="1"/>
  <c r="K100" i="28" s="1"/>
  <c r="J91" i="28" a="1"/>
  <c r="J91" i="28" s="1"/>
  <c r="J78" i="28" a="1"/>
  <c r="J78" i="28" s="1"/>
  <c r="L8" i="28" a="1"/>
  <c r="L8" i="28" s="1"/>
  <c r="L20" i="28" a="1"/>
  <c r="L20" i="28" s="1"/>
  <c r="L32" i="28" a="1"/>
  <c r="L32" i="28" s="1"/>
  <c r="L44" i="28" a="1"/>
  <c r="L44" i="28" s="1"/>
  <c r="L56" i="28" a="1"/>
  <c r="L56" i="28" s="1"/>
  <c r="L68" i="28" a="1"/>
  <c r="L68" i="28" s="1"/>
  <c r="L80" i="28" a="1"/>
  <c r="L80" i="28" s="1"/>
  <c r="L92" i="28" a="1"/>
  <c r="L92" i="28" s="1"/>
  <c r="L104" i="28" a="1"/>
  <c r="L104" i="28" s="1"/>
  <c r="L116" i="28" a="1"/>
  <c r="L116" i="28" s="1"/>
  <c r="L128" i="28" a="1"/>
  <c r="L128" i="28" s="1"/>
  <c r="L140" i="28" a="1"/>
  <c r="L140" i="28" s="1"/>
  <c r="L152" i="28" a="1"/>
  <c r="L152" i="28" s="1"/>
  <c r="L164" i="28" a="1"/>
  <c r="L164" i="28" s="1"/>
  <c r="L176" i="28" a="1"/>
  <c r="L176" i="28" s="1"/>
  <c r="L188" i="28" a="1"/>
  <c r="L188" i="28" s="1"/>
  <c r="L156" i="28" a="1"/>
  <c r="L156" i="28" s="1"/>
  <c r="L15" i="28" a="1"/>
  <c r="L15" i="28" s="1"/>
  <c r="L111" i="28" a="1"/>
  <c r="L111" i="28" s="1"/>
  <c r="L16" i="28" a="1"/>
  <c r="L16" i="28" s="1"/>
  <c r="L100" i="28" a="1"/>
  <c r="L100" i="28" s="1"/>
  <c r="L172" i="28" a="1"/>
  <c r="L172" i="28" s="1"/>
  <c r="L29" i="28" a="1"/>
  <c r="L29" i="28" s="1"/>
  <c r="L101" i="28" a="1"/>
  <c r="L101" i="28" s="1"/>
  <c r="L173" i="28" a="1"/>
  <c r="L173" i="28" s="1"/>
  <c r="L54" i="28" a="1"/>
  <c r="L54" i="28" s="1"/>
  <c r="L9" i="28" a="1"/>
  <c r="L9" i="28" s="1"/>
  <c r="L21" i="28" a="1"/>
  <c r="L21" i="28" s="1"/>
  <c r="L33" i="28" a="1"/>
  <c r="L33" i="28" s="1"/>
  <c r="L45" i="28" a="1"/>
  <c r="L45" i="28" s="1"/>
  <c r="L57" i="28" a="1"/>
  <c r="L57" i="28" s="1"/>
  <c r="L69" i="28" a="1"/>
  <c r="L69" i="28" s="1"/>
  <c r="L81" i="28" a="1"/>
  <c r="L81" i="28" s="1"/>
  <c r="L93" i="28" a="1"/>
  <c r="L93" i="28" s="1"/>
  <c r="L105" i="28" a="1"/>
  <c r="L105" i="28" s="1"/>
  <c r="L117" i="28" a="1"/>
  <c r="L117" i="28" s="1"/>
  <c r="L129" i="28" a="1"/>
  <c r="L129" i="28" s="1"/>
  <c r="L141" i="28" a="1"/>
  <c r="L141" i="28" s="1"/>
  <c r="L153" i="28" a="1"/>
  <c r="L153" i="28" s="1"/>
  <c r="L165" i="28" a="1"/>
  <c r="L165" i="28" s="1"/>
  <c r="L177" i="28" a="1"/>
  <c r="L177" i="28" s="1"/>
  <c r="L189" i="28" a="1"/>
  <c r="L189" i="28" s="1"/>
  <c r="L130" i="28" a="1"/>
  <c r="L130" i="28" s="1"/>
  <c r="L166" i="28" a="1"/>
  <c r="L166" i="28" s="1"/>
  <c r="L190" i="28" a="1"/>
  <c r="L190" i="28" s="1"/>
  <c r="L84" i="28" a="1"/>
  <c r="L84" i="28" s="1"/>
  <c r="L132" i="28" a="1"/>
  <c r="L132" i="28" s="1"/>
  <c r="L180" i="28" a="1"/>
  <c r="L180" i="28" s="1"/>
  <c r="L193" i="28" a="1"/>
  <c r="L193" i="28" s="1"/>
  <c r="L39" i="28" a="1"/>
  <c r="L39" i="28" s="1"/>
  <c r="L99" i="28" a="1"/>
  <c r="L99" i="28" s="1"/>
  <c r="L147" i="28" a="1"/>
  <c r="L147" i="28" s="1"/>
  <c r="L52" i="28" a="1"/>
  <c r="L52" i="28" s="1"/>
  <c r="L138" i="28" a="1"/>
  <c r="L138" i="28" s="1"/>
  <c r="L162" i="28" a="1"/>
  <c r="L162" i="28" s="1"/>
  <c r="L19" i="28" a="1"/>
  <c r="L19" i="28" s="1"/>
  <c r="L67" i="28" a="1"/>
  <c r="L67" i="28" s="1"/>
  <c r="L103" i="28" a="1"/>
  <c r="L103" i="28" s="1"/>
  <c r="L151" i="28" a="1"/>
  <c r="L151" i="28" s="1"/>
  <c r="L187" i="28" a="1"/>
  <c r="L187" i="28" s="1"/>
  <c r="L10" i="28" a="1"/>
  <c r="L10" i="28" s="1"/>
  <c r="L22" i="28" a="1"/>
  <c r="L22" i="28" s="1"/>
  <c r="L34" i="28" a="1"/>
  <c r="L34" i="28" s="1"/>
  <c r="L46" i="28" a="1"/>
  <c r="L46" i="28" s="1"/>
  <c r="L58" i="28" a="1"/>
  <c r="L58" i="28" s="1"/>
  <c r="L70" i="28" a="1"/>
  <c r="L70" i="28" s="1"/>
  <c r="L82" i="28" a="1"/>
  <c r="L82" i="28" s="1"/>
  <c r="L94" i="28" a="1"/>
  <c r="L94" i="28" s="1"/>
  <c r="L106" i="28" a="1"/>
  <c r="L106" i="28" s="1"/>
  <c r="L118" i="28" a="1"/>
  <c r="L118" i="28" s="1"/>
  <c r="L142" i="28" a="1"/>
  <c r="L142" i="28" s="1"/>
  <c r="L154" i="28" a="1"/>
  <c r="L154" i="28" s="1"/>
  <c r="L178" i="28" a="1"/>
  <c r="L178" i="28" s="1"/>
  <c r="L108" i="28" a="1"/>
  <c r="L108" i="28" s="1"/>
  <c r="L168" i="28" a="1"/>
  <c r="L168" i="28" s="1"/>
  <c r="L27" i="28" a="1"/>
  <c r="L27" i="28" s="1"/>
  <c r="L123" i="28" a="1"/>
  <c r="L123" i="28" s="1"/>
  <c r="L40" i="28" a="1"/>
  <c r="L40" i="28" s="1"/>
  <c r="L124" i="28" a="1"/>
  <c r="L124" i="28" s="1"/>
  <c r="L65" i="28" a="1"/>
  <c r="L65" i="28" s="1"/>
  <c r="L149" i="28" a="1"/>
  <c r="L149" i="28" s="1"/>
  <c r="L18" i="28" a="1"/>
  <c r="L18" i="28" s="1"/>
  <c r="L114" i="28" a="1"/>
  <c r="L114" i="28" s="1"/>
  <c r="L31" i="28" a="1"/>
  <c r="L31" i="28" s="1"/>
  <c r="L127" i="28" a="1"/>
  <c r="L127" i="28" s="1"/>
  <c r="L11" i="28" a="1"/>
  <c r="L11" i="28" s="1"/>
  <c r="L23" i="28" a="1"/>
  <c r="L23" i="28" s="1"/>
  <c r="L35" i="28" a="1"/>
  <c r="L35" i="28" s="1"/>
  <c r="L47" i="28" a="1"/>
  <c r="L47" i="28" s="1"/>
  <c r="L59" i="28" a="1"/>
  <c r="L59" i="28" s="1"/>
  <c r="L71" i="28" a="1"/>
  <c r="L71" i="28" s="1"/>
  <c r="L83" i="28" a="1"/>
  <c r="L83" i="28" s="1"/>
  <c r="L95" i="28" a="1"/>
  <c r="L95" i="28" s="1"/>
  <c r="L107" i="28" a="1"/>
  <c r="L107" i="28" s="1"/>
  <c r="L119" i="28" a="1"/>
  <c r="L119" i="28" s="1"/>
  <c r="L131" i="28" a="1"/>
  <c r="L131" i="28" s="1"/>
  <c r="L143" i="28" a="1"/>
  <c r="L143" i="28" s="1"/>
  <c r="L155" i="28" a="1"/>
  <c r="L155" i="28" s="1"/>
  <c r="L167" i="28" a="1"/>
  <c r="L167" i="28" s="1"/>
  <c r="L179" i="28" a="1"/>
  <c r="L179" i="28" s="1"/>
  <c r="L191" i="28" a="1"/>
  <c r="L191" i="28" s="1"/>
  <c r="L12" i="28" a="1"/>
  <c r="L12" i="28" s="1"/>
  <c r="L24" i="28" a="1"/>
  <c r="L24" i="28" s="1"/>
  <c r="L36" i="28" a="1"/>
  <c r="L36" i="28" s="1"/>
  <c r="L48" i="28" a="1"/>
  <c r="L48" i="28" s="1"/>
  <c r="L60" i="28" a="1"/>
  <c r="L60" i="28" s="1"/>
  <c r="L72" i="28" a="1"/>
  <c r="L72" i="28" s="1"/>
  <c r="L96" i="28" a="1"/>
  <c r="L96" i="28" s="1"/>
  <c r="L120" i="28" a="1"/>
  <c r="L120" i="28" s="1"/>
  <c r="L144" i="28" a="1"/>
  <c r="L144" i="28" s="1"/>
  <c r="L192" i="28" a="1"/>
  <c r="L192" i="28" s="1"/>
  <c r="L51" i="28" a="1"/>
  <c r="L51" i="28" s="1"/>
  <c r="L87" i="28" a="1"/>
  <c r="L87" i="28" s="1"/>
  <c r="L135" i="28" a="1"/>
  <c r="L135" i="28" s="1"/>
  <c r="L183" i="28" a="1"/>
  <c r="L183" i="28" s="1"/>
  <c r="L28" i="28" a="1"/>
  <c r="L28" i="28" s="1"/>
  <c r="L76" i="28" a="1"/>
  <c r="L76" i="28" s="1"/>
  <c r="L112" i="28" a="1"/>
  <c r="L112" i="28" s="1"/>
  <c r="L136" i="28" a="1"/>
  <c r="L136" i="28" s="1"/>
  <c r="L184" i="28" a="1"/>
  <c r="L184" i="28" s="1"/>
  <c r="L17" i="28" a="1"/>
  <c r="L17" i="28" s="1"/>
  <c r="L77" i="28" a="1"/>
  <c r="L77" i="28" s="1"/>
  <c r="L89" i="28" a="1"/>
  <c r="L89" i="28" s="1"/>
  <c r="L113" i="28" a="1"/>
  <c r="L113" i="28" s="1"/>
  <c r="L161" i="28" a="1"/>
  <c r="L161" i="28" s="1"/>
  <c r="L185" i="28" a="1"/>
  <c r="L185" i="28" s="1"/>
  <c r="L42" i="28" a="1"/>
  <c r="L42" i="28" s="1"/>
  <c r="L66" i="28" a="1"/>
  <c r="L66" i="28" s="1"/>
  <c r="L78" i="28" a="1"/>
  <c r="L78" i="28" s="1"/>
  <c r="L126" i="28" a="1"/>
  <c r="L126" i="28" s="1"/>
  <c r="L150" i="28" a="1"/>
  <c r="L150" i="28" s="1"/>
  <c r="L186" i="28" a="1"/>
  <c r="L186" i="28" s="1"/>
  <c r="L55" i="28" a="1"/>
  <c r="L55" i="28" s="1"/>
  <c r="L91" i="28" a="1"/>
  <c r="L91" i="28" s="1"/>
  <c r="L139" i="28" a="1"/>
  <c r="L139" i="28" s="1"/>
  <c r="L163" i="28" a="1"/>
  <c r="L163" i="28" s="1"/>
  <c r="L13" i="28" a="1"/>
  <c r="L13" i="28" s="1"/>
  <c r="L25" i="28" a="1"/>
  <c r="L25" i="28" s="1"/>
  <c r="L37" i="28" a="1"/>
  <c r="L37" i="28" s="1"/>
  <c r="L49" i="28" a="1"/>
  <c r="L49" i="28" s="1"/>
  <c r="L61" i="28" a="1"/>
  <c r="L61" i="28" s="1"/>
  <c r="L73" i="28" a="1"/>
  <c r="L73" i="28" s="1"/>
  <c r="L85" i="28" a="1"/>
  <c r="L85" i="28" s="1"/>
  <c r="L97" i="28" a="1"/>
  <c r="L97" i="28" s="1"/>
  <c r="L109" i="28" a="1"/>
  <c r="L109" i="28" s="1"/>
  <c r="L121" i="28" a="1"/>
  <c r="L121" i="28" s="1"/>
  <c r="L133" i="28" a="1"/>
  <c r="L133" i="28" s="1"/>
  <c r="L145" i="28" a="1"/>
  <c r="L145" i="28" s="1"/>
  <c r="L157" i="28" a="1"/>
  <c r="L157" i="28" s="1"/>
  <c r="L169" i="28" a="1"/>
  <c r="L169" i="28" s="1"/>
  <c r="L181" i="28" a="1"/>
  <c r="L181" i="28" s="1"/>
  <c r="L75" i="28" a="1"/>
  <c r="L75" i="28" s="1"/>
  <c r="L159" i="28" a="1"/>
  <c r="L159" i="28" s="1"/>
  <c r="L64" i="28" a="1"/>
  <c r="L64" i="28" s="1"/>
  <c r="L148" i="28" a="1"/>
  <c r="L148" i="28" s="1"/>
  <c r="L53" i="28" a="1"/>
  <c r="L53" i="28" s="1"/>
  <c r="L137" i="28" a="1"/>
  <c r="L137" i="28" s="1"/>
  <c r="L30" i="28" a="1"/>
  <c r="L30" i="28" s="1"/>
  <c r="L90" i="28" a="1"/>
  <c r="L90" i="28" s="1"/>
  <c r="L174" i="28" a="1"/>
  <c r="L174" i="28" s="1"/>
  <c r="L79" i="28" a="1"/>
  <c r="L79" i="28" s="1"/>
  <c r="L175" i="28" a="1"/>
  <c r="L175" i="28" s="1"/>
  <c r="L14" i="28" a="1"/>
  <c r="L14" i="28" s="1"/>
  <c r="L26" i="28" a="1"/>
  <c r="L26" i="28" s="1"/>
  <c r="L38" i="28" a="1"/>
  <c r="L38" i="28" s="1"/>
  <c r="L50" i="28" a="1"/>
  <c r="L50" i="28" s="1"/>
  <c r="L62" i="28" a="1"/>
  <c r="L62" i="28" s="1"/>
  <c r="L74" i="28" a="1"/>
  <c r="L74" i="28" s="1"/>
  <c r="L86" i="28" a="1"/>
  <c r="L86" i="28" s="1"/>
  <c r="L98" i="28" a="1"/>
  <c r="L98" i="28" s="1"/>
  <c r="L110" i="28" a="1"/>
  <c r="L110" i="28" s="1"/>
  <c r="L122" i="28" a="1"/>
  <c r="L122" i="28" s="1"/>
  <c r="L134" i="28" a="1"/>
  <c r="L134" i="28" s="1"/>
  <c r="L146" i="28" a="1"/>
  <c r="L146" i="28" s="1"/>
  <c r="L158" i="28" a="1"/>
  <c r="L158" i="28" s="1"/>
  <c r="L170" i="28" a="1"/>
  <c r="L170" i="28" s="1"/>
  <c r="L182" i="28" a="1"/>
  <c r="L182" i="28" s="1"/>
  <c r="L63" i="28" a="1"/>
  <c r="L63" i="28" s="1"/>
  <c r="L171" i="28" a="1"/>
  <c r="L171" i="28" s="1"/>
  <c r="L88" i="28" a="1"/>
  <c r="L88" i="28" s="1"/>
  <c r="L160" i="28" a="1"/>
  <c r="L160" i="28" s="1"/>
  <c r="L41" i="28" a="1"/>
  <c r="L41" i="28" s="1"/>
  <c r="L125" i="28" a="1"/>
  <c r="L125" i="28" s="1"/>
  <c r="L102" i="28" a="1"/>
  <c r="L102" i="28" s="1"/>
  <c r="L43" i="28" a="1"/>
  <c r="L43" i="28" s="1"/>
  <c r="L115" i="28" a="1"/>
  <c r="L115" i="28" s="1"/>
  <c r="R192" i="28" a="1"/>
  <c r="R192" i="28" s="1"/>
  <c r="R188" i="28" a="1"/>
  <c r="R188" i="28" s="1"/>
  <c r="I184" i="28" a="1"/>
  <c r="I184" i="28" s="1"/>
  <c r="I179" i="28" a="1"/>
  <c r="I179" i="28" s="1"/>
  <c r="H175" i="28" a="1"/>
  <c r="H175" i="28" s="1"/>
  <c r="J74" i="28" a="1"/>
  <c r="J74" i="28" s="1"/>
  <c r="K64" i="28" a="1"/>
  <c r="K64" i="28" s="1"/>
  <c r="K54" i="28" a="1"/>
  <c r="K54" i="28" s="1"/>
  <c r="K45" i="28" a="1"/>
  <c r="K45" i="28" s="1"/>
  <c r="J36" i="28" a="1"/>
  <c r="J36" i="28" s="1"/>
  <c r="K25" i="28" a="1"/>
  <c r="K25" i="28" s="1"/>
  <c r="J16" i="28" a="1"/>
  <c r="J16" i="28" s="1"/>
  <c r="K186" i="28" a="1"/>
  <c r="K186" i="28" s="1"/>
  <c r="J177" i="28" a="1"/>
  <c r="J177" i="28" s="1"/>
  <c r="J168" i="28" a="1"/>
  <c r="J168" i="28" s="1"/>
  <c r="J159" i="28" a="1"/>
  <c r="J159" i="28" s="1"/>
  <c r="K151" i="28" a="1"/>
  <c r="K151" i="28" s="1"/>
  <c r="K143" i="28" a="1"/>
  <c r="K143" i="28" s="1"/>
  <c r="J136" i="28" a="1"/>
  <c r="J136" i="28" s="1"/>
  <c r="K126" i="28" a="1"/>
  <c r="K126" i="28" s="1"/>
  <c r="J117" i="28" a="1"/>
  <c r="J117" i="28" s="1"/>
  <c r="J108" i="28" a="1"/>
  <c r="J108" i="28" s="1"/>
  <c r="J100" i="28" a="1"/>
  <c r="J100" i="28" s="1"/>
  <c r="K90" i="28" a="1"/>
  <c r="K90" i="28" s="1"/>
  <c r="K79" i="28" a="1"/>
  <c r="K79" i="28" s="1"/>
  <c r="J23" i="28" a="1"/>
  <c r="J23" i="28" s="1"/>
  <c r="K133" i="28" a="1"/>
  <c r="K133" i="28" s="1"/>
  <c r="H178" i="28" a="1"/>
  <c r="H178" i="28" s="1"/>
  <c r="H193" i="28" a="1"/>
  <c r="H193" i="28" s="1"/>
  <c r="R184" i="28" a="1"/>
  <c r="R184" i="28" s="1"/>
  <c r="I175" i="28" a="1"/>
  <c r="I175" i="28" s="1"/>
  <c r="J65" i="28" a="1"/>
  <c r="J65" i="28" s="1"/>
  <c r="J46" i="28" a="1"/>
  <c r="J46" i="28" s="1"/>
  <c r="I192" i="28" a="1"/>
  <c r="I192" i="28" s="1"/>
  <c r="I188" i="28" a="1"/>
  <c r="I188" i="28" s="1"/>
  <c r="H184" i="28" a="1"/>
  <c r="H184" i="28" s="1"/>
  <c r="H179" i="28" a="1"/>
  <c r="H179" i="28" s="1"/>
  <c r="J73" i="28" a="1"/>
  <c r="J73" i="28" s="1"/>
  <c r="J63" i="28" a="1"/>
  <c r="J63" i="28" s="1"/>
  <c r="J53" i="28" a="1"/>
  <c r="J53" i="28" s="1"/>
  <c r="J45" i="28" a="1"/>
  <c r="J45" i="28" s="1"/>
  <c r="J35" i="28" a="1"/>
  <c r="J35" i="28" s="1"/>
  <c r="J25" i="28" a="1"/>
  <c r="J25" i="28" s="1"/>
  <c r="K15" i="28" a="1"/>
  <c r="K15" i="28" s="1"/>
  <c r="J186" i="28" a="1"/>
  <c r="J186" i="28" s="1"/>
  <c r="J176" i="28" a="1"/>
  <c r="J176" i="28" s="1"/>
  <c r="K166" i="28" a="1"/>
  <c r="K166" i="28" s="1"/>
  <c r="K158" i="28" a="1"/>
  <c r="K158" i="28" s="1"/>
  <c r="K150" i="28" a="1"/>
  <c r="K150" i="28" s="1"/>
  <c r="J143" i="28" a="1"/>
  <c r="J143" i="28" s="1"/>
  <c r="K135" i="28" a="1"/>
  <c r="K135" i="28" s="1"/>
  <c r="J126" i="28" a="1"/>
  <c r="J126" i="28" s="1"/>
  <c r="K116" i="28" a="1"/>
  <c r="K116" i="28" s="1"/>
  <c r="K107" i="28" a="1"/>
  <c r="K107" i="28" s="1"/>
  <c r="K99" i="28" a="1"/>
  <c r="K99" i="28" s="1"/>
  <c r="J90" i="28" a="1"/>
  <c r="J90" i="28" s="1"/>
  <c r="J79" i="28" a="1"/>
  <c r="J79" i="28" s="1"/>
  <c r="J132" i="28" a="1"/>
  <c r="J132" i="28" s="1"/>
  <c r="K125" i="28" a="1"/>
  <c r="K125" i="28" s="1"/>
  <c r="J122" i="28" a="1"/>
  <c r="J122" i="28" s="1"/>
  <c r="K115" i="28" a="1"/>
  <c r="K115" i="28" s="1"/>
  <c r="J109" i="28" a="1"/>
  <c r="J109" i="28" s="1"/>
  <c r="K102" i="28" a="1"/>
  <c r="K102" i="28" s="1"/>
  <c r="J96" i="28" a="1"/>
  <c r="J96" i="28" s="1"/>
  <c r="K89" i="28" a="1"/>
  <c r="K89" i="28" s="1"/>
  <c r="K85" i="28" a="1"/>
  <c r="K85" i="28" s="1"/>
  <c r="J82" i="28" a="1"/>
  <c r="J82" i="28" s="1"/>
  <c r="K78" i="28" a="1"/>
  <c r="K78" i="28" s="1"/>
  <c r="I189" i="28" a="1"/>
  <c r="I189" i="28" s="1"/>
  <c r="H185" i="28" a="1"/>
  <c r="H185" i="28" s="1"/>
  <c r="I181" i="28" a="1"/>
  <c r="I181" i="28" s="1"/>
  <c r="R178" i="28" a="1"/>
  <c r="R178" i="28" s="1"/>
  <c r="R177" i="28" a="1"/>
  <c r="R177" i="28" s="1"/>
  <c r="I176" i="28" a="1"/>
  <c r="I176" i="28" s="1"/>
  <c r="I172" i="28" a="1"/>
  <c r="I172" i="28" s="1"/>
  <c r="K70" i="28" a="1"/>
  <c r="K70" i="28" s="1"/>
  <c r="J64" i="28" a="1"/>
  <c r="J64" i="28" s="1"/>
  <c r="K57" i="28" a="1"/>
  <c r="K57" i="28" s="1"/>
  <c r="J51" i="28" a="1"/>
  <c r="J51" i="28" s="1"/>
  <c r="J41" i="28" a="1"/>
  <c r="J41" i="28" s="1"/>
  <c r="K34" i="28" a="1"/>
  <c r="K34" i="28" s="1"/>
  <c r="J28" i="28" a="1"/>
  <c r="J28" i="28" s="1"/>
  <c r="K21" i="28" a="1"/>
  <c r="K21" i="28" s="1"/>
  <c r="J15" i="28" a="1"/>
  <c r="J15" i="28" s="1"/>
  <c r="K187" i="28" a="1"/>
  <c r="K187" i="28" s="1"/>
  <c r="J181" i="28" a="1"/>
  <c r="J181" i="28" s="1"/>
  <c r="K174" i="28" a="1"/>
  <c r="K174" i="28" s="1"/>
  <c r="K164" i="28" a="1"/>
  <c r="K164" i="28" s="1"/>
  <c r="J161" i="28" a="1"/>
  <c r="J161" i="28" s="1"/>
  <c r="K154" i="28" a="1"/>
  <c r="K154" i="28" s="1"/>
  <c r="J148" i="28" a="1"/>
  <c r="J148" i="28" s="1"/>
  <c r="K141" i="28" a="1"/>
  <c r="K141" i="28" s="1"/>
  <c r="J135" i="28" a="1"/>
  <c r="J135" i="28" s="1"/>
  <c r="K128" i="28" a="1"/>
  <c r="K128" i="28" s="1"/>
  <c r="J125" i="28" a="1"/>
  <c r="J125" i="28" s="1"/>
  <c r="K118" i="28" a="1"/>
  <c r="K118" i="28" s="1"/>
  <c r="J112" i="28" a="1"/>
  <c r="J112" i="28" s="1"/>
  <c r="K105" i="28" a="1"/>
  <c r="K105" i="28" s="1"/>
  <c r="J99" i="28" a="1"/>
  <c r="J99" i="28" s="1"/>
  <c r="K92" i="28" a="1"/>
  <c r="K92" i="28" s="1"/>
  <c r="H189" i="28" a="1"/>
  <c r="H189" i="28" s="1"/>
  <c r="I173" i="28" a="1"/>
  <c r="I173" i="28" s="1"/>
  <c r="K73" i="28" a="1"/>
  <c r="K73" i="28" s="1"/>
  <c r="J67" i="28" a="1"/>
  <c r="J67" i="28" s="1"/>
  <c r="K60" i="28" a="1"/>
  <c r="K60" i="28" s="1"/>
  <c r="J54" i="28" a="1"/>
  <c r="J54" i="28" s="1"/>
  <c r="J44" i="28" a="1"/>
  <c r="J44" i="28" s="1"/>
  <c r="K37" i="28" a="1"/>
  <c r="K37" i="28" s="1"/>
  <c r="J31" i="28" a="1"/>
  <c r="J31" i="28" s="1"/>
  <c r="K24" i="28" a="1"/>
  <c r="K24" i="28" s="1"/>
  <c r="J18" i="28" a="1"/>
  <c r="J18" i="28" s="1"/>
  <c r="J8" i="28" a="1"/>
  <c r="J8" i="28" s="1"/>
  <c r="K190" i="28" a="1"/>
  <c r="K190" i="28" s="1"/>
  <c r="J184" i="28" a="1"/>
  <c r="J184" i="28" s="1"/>
  <c r="K177" i="28" a="1"/>
  <c r="K177" i="28" s="1"/>
  <c r="J171" i="28" a="1"/>
  <c r="J171" i="28" s="1"/>
  <c r="K167" i="28" a="1"/>
  <c r="K167" i="28" s="1"/>
  <c r="J164" i="28" a="1"/>
  <c r="J164" i="28" s="1"/>
  <c r="K157" i="28" a="1"/>
  <c r="K157" i="28" s="1"/>
  <c r="J151" i="28" a="1"/>
  <c r="J151" i="28" s="1"/>
  <c r="K144" i="28" a="1"/>
  <c r="K144" i="28" s="1"/>
  <c r="J138" i="28" a="1"/>
  <c r="J138" i="28" s="1"/>
  <c r="K131" i="28" a="1"/>
  <c r="K131" i="28" s="1"/>
  <c r="J128" i="28" a="1"/>
  <c r="J128" i="28" s="1"/>
  <c r="K121" i="28" a="1"/>
  <c r="K121" i="28" s="1"/>
  <c r="J115" i="28" a="1"/>
  <c r="J115" i="28" s="1"/>
  <c r="K108" i="28" a="1"/>
  <c r="K108" i="28" s="1"/>
  <c r="J102" i="28" a="1"/>
  <c r="J102" i="28" s="1"/>
  <c r="K95" i="28" a="1"/>
  <c r="K95" i="28" s="1"/>
  <c r="J92" i="28" a="1"/>
  <c r="J92" i="28" s="1"/>
  <c r="K88" i="28" a="1"/>
  <c r="K88" i="28" s="1"/>
  <c r="J85" i="28" a="1"/>
  <c r="J85" i="28" s="1"/>
  <c r="K81" i="28" a="1"/>
  <c r="K81" i="28" s="1"/>
  <c r="B7" i="28"/>
  <c r="T7" i="28" s="1" a="1"/>
  <c r="T7" i="28" s="1"/>
  <c r="J77" i="28" a="1"/>
  <c r="J77" i="28" s="1"/>
  <c r="J80" i="28" a="1"/>
  <c r="J80" i="28" s="1"/>
  <c r="J83" i="28" a="1"/>
  <c r="J83" i="28" s="1"/>
  <c r="J86" i="28" a="1"/>
  <c r="J86" i="28" s="1"/>
  <c r="J89" i="28" a="1"/>
  <c r="J89" i="28" s="1"/>
  <c r="K170" i="28" a="1"/>
  <c r="K170" i="28" s="1"/>
  <c r="K173" i="28" a="1"/>
  <c r="K173" i="28" s="1"/>
  <c r="K176" i="28" a="1"/>
  <c r="K176" i="28" s="1"/>
  <c r="K179" i="28" a="1"/>
  <c r="K179" i="28" s="1"/>
  <c r="K182" i="28" a="1"/>
  <c r="K182" i="28" s="1"/>
  <c r="K185" i="28" a="1"/>
  <c r="K185" i="28" s="1"/>
  <c r="K188" i="28" a="1"/>
  <c r="K188" i="28" s="1"/>
  <c r="K191" i="28" a="1"/>
  <c r="K191" i="28" s="1"/>
  <c r="K8" i="28" a="1"/>
  <c r="K8" i="28" s="1"/>
  <c r="K11" i="28" a="1"/>
  <c r="K11" i="28" s="1"/>
  <c r="K14" i="28" a="1"/>
  <c r="K14" i="28" s="1"/>
  <c r="K17" i="28" a="1"/>
  <c r="K17" i="28" s="1"/>
  <c r="K20" i="28" a="1"/>
  <c r="K20" i="28" s="1"/>
  <c r="K23" i="28" a="1"/>
  <c r="K23" i="28" s="1"/>
  <c r="K26" i="28" a="1"/>
  <c r="K26" i="28" s="1"/>
  <c r="K29" i="28" a="1"/>
  <c r="K29" i="28" s="1"/>
  <c r="K32" i="28" a="1"/>
  <c r="K32" i="28" s="1"/>
  <c r="K35" i="28" a="1"/>
  <c r="K35" i="28" s="1"/>
  <c r="K38" i="28" a="1"/>
  <c r="K38" i="28" s="1"/>
  <c r="K41" i="28" a="1"/>
  <c r="K41" i="28" s="1"/>
  <c r="K44" i="28" a="1"/>
  <c r="K44" i="28" s="1"/>
  <c r="K47" i="28" a="1"/>
  <c r="K47" i="28" s="1"/>
  <c r="K50" i="28" a="1"/>
  <c r="K50" i="28" s="1"/>
  <c r="K53" i="28" a="1"/>
  <c r="K53" i="28" s="1"/>
  <c r="K56" i="28" a="1"/>
  <c r="K56" i="28" s="1"/>
  <c r="K59" i="28" a="1"/>
  <c r="K59" i="28" s="1"/>
  <c r="K62" i="28" a="1"/>
  <c r="K62" i="28" s="1"/>
  <c r="K65" i="28" a="1"/>
  <c r="K65" i="28" s="1"/>
  <c r="K68" i="28" a="1"/>
  <c r="K68" i="28" s="1"/>
  <c r="K71" i="28" a="1"/>
  <c r="K71" i="28" s="1"/>
  <c r="K74" i="28" a="1"/>
  <c r="K74" i="28" s="1"/>
  <c r="R174" i="28" a="1"/>
  <c r="R174" i="28" s="1"/>
  <c r="H176" i="28" a="1"/>
  <c r="H176" i="28" s="1"/>
  <c r="I177" i="28" a="1"/>
  <c r="I177" i="28" s="1"/>
  <c r="R180" i="28" a="1"/>
  <c r="R180" i="28" s="1"/>
  <c r="H182" i="28" a="1"/>
  <c r="H182" i="28" s="1"/>
  <c r="I183" i="28" a="1"/>
  <c r="I183" i="28" s="1"/>
  <c r="R186" i="28" a="1"/>
  <c r="R186" i="28" s="1"/>
  <c r="I190" i="28" a="1"/>
  <c r="I190" i="28" s="1"/>
  <c r="I191" i="28" a="1"/>
  <c r="I191" i="28" s="1"/>
  <c r="K77" i="28" a="1"/>
  <c r="K77" i="28" s="1"/>
  <c r="I186" i="28" a="1"/>
  <c r="I186" i="28" s="1"/>
  <c r="H181" i="28" a="1"/>
  <c r="H181" i="28" s="1"/>
  <c r="R179" i="28" a="1"/>
  <c r="R179" i="28" s="1"/>
  <c r="H172" i="28" a="1"/>
  <c r="H172" i="28" s="1"/>
  <c r="J70" i="28" a="1"/>
  <c r="J70" i="28" s="1"/>
  <c r="K63" i="28" a="1"/>
  <c r="K63" i="28" s="1"/>
  <c r="J57" i="28" a="1"/>
  <c r="J57" i="28" s="1"/>
  <c r="J47" i="28" a="1"/>
  <c r="J47" i="28" s="1"/>
  <c r="K40" i="28" a="1"/>
  <c r="K40" i="28" s="1"/>
  <c r="J34" i="28" a="1"/>
  <c r="J34" i="28" s="1"/>
  <c r="K27" i="28" a="1"/>
  <c r="K27" i="28" s="1"/>
  <c r="J21" i="28" a="1"/>
  <c r="J21" i="28" s="1"/>
  <c r="J11" i="28" a="1"/>
  <c r="J11" i="28" s="1"/>
  <c r="J187" i="28" a="1"/>
  <c r="J187" i="28" s="1"/>
  <c r="K180" i="28" a="1"/>
  <c r="K180" i="28" s="1"/>
  <c r="J174" i="28" a="1"/>
  <c r="J174" i="28" s="1"/>
  <c r="J167" i="28" a="1"/>
  <c r="J167" i="28" s="1"/>
  <c r="K160" i="28" a="1"/>
  <c r="K160" i="28" s="1"/>
  <c r="J154" i="28" a="1"/>
  <c r="J154" i="28" s="1"/>
  <c r="K147" i="28" a="1"/>
  <c r="K147" i="28" s="1"/>
  <c r="J141" i="28" a="1"/>
  <c r="J141" i="28" s="1"/>
  <c r="K134" i="28" a="1"/>
  <c r="K134" i="28" s="1"/>
  <c r="J131" i="28" a="1"/>
  <c r="J131" i="28" s="1"/>
  <c r="K124" i="28" a="1"/>
  <c r="K124" i="28" s="1"/>
  <c r="J118" i="28" a="1"/>
  <c r="J118" i="28" s="1"/>
  <c r="K111" i="28" a="1"/>
  <c r="K111" i="28" s="1"/>
  <c r="J105" i="28" a="1"/>
  <c r="J105" i="28" s="1"/>
  <c r="K98" i="28" a="1"/>
  <c r="K98" i="28" s="1"/>
  <c r="J95" i="28" a="1"/>
  <c r="J95" i="28" s="1"/>
  <c r="S184" i="1"/>
  <c r="S185" i="1"/>
  <c r="S186" i="1"/>
  <c r="S187" i="1"/>
  <c r="S188" i="1"/>
  <c r="S183" i="1"/>
  <c r="A183" i="1"/>
  <c r="AN183" i="1" s="1"/>
  <c r="A184" i="1"/>
  <c r="A185" i="1"/>
  <c r="A186" i="1"/>
  <c r="A187" i="1"/>
  <c r="A188" i="1"/>
  <c r="BB183" i="1" l="1"/>
  <c r="BF183" i="1" s="1"/>
  <c r="I122" i="34" s="1"/>
  <c r="J122" i="34" s="1"/>
  <c r="J123" i="34"/>
  <c r="F127" i="34"/>
  <c r="L127" i="34"/>
  <c r="BW188" i="1"/>
  <c r="J124" i="34"/>
  <c r="BT187" i="1"/>
  <c r="I126" i="34"/>
  <c r="J126" i="34" s="1"/>
  <c r="BB188" i="1"/>
  <c r="BF188" i="1" s="1"/>
  <c r="BH188" i="1" s="1"/>
  <c r="BT186" i="1"/>
  <c r="I125" i="34"/>
  <c r="J125" i="34" s="1"/>
  <c r="BR188" i="1"/>
  <c r="L126" i="34"/>
  <c r="F126" i="34"/>
  <c r="BW187" i="1"/>
  <c r="L125" i="34"/>
  <c r="F125" i="34"/>
  <c r="BR187" i="1"/>
  <c r="L122" i="34"/>
  <c r="F122" i="34"/>
  <c r="BR186" i="1"/>
  <c r="F123" i="34"/>
  <c r="S123" i="34"/>
  <c r="BW184" i="1"/>
  <c r="F124" i="34"/>
  <c r="L124" i="34"/>
  <c r="BW185" i="1"/>
  <c r="Z10" i="28"/>
  <c r="I7" i="28" a="1"/>
  <c r="I7" i="28" s="1"/>
  <c r="H7" i="28" a="1"/>
  <c r="H7" i="28" s="1"/>
  <c r="BT185" i="1"/>
  <c r="BH185" i="1"/>
  <c r="P192" i="28"/>
  <c r="P174" i="28"/>
  <c r="P193" i="28"/>
  <c r="BH187" i="1"/>
  <c r="P178" i="28"/>
  <c r="P175" i="28"/>
  <c r="P179" i="28"/>
  <c r="P182" i="28"/>
  <c r="BH186" i="1"/>
  <c r="P184" i="28"/>
  <c r="L7" i="28" a="1"/>
  <c r="L7" i="28" s="1"/>
  <c r="G7" i="28" a="1"/>
  <c r="G7" i="28" s="1"/>
  <c r="P187" i="28"/>
  <c r="P181" i="28"/>
  <c r="BH183" i="1"/>
  <c r="BT184" i="1"/>
  <c r="BH184" i="1"/>
  <c r="U123" i="34" s="1"/>
  <c r="P180" i="28"/>
  <c r="P185" i="28"/>
  <c r="P188" i="28"/>
  <c r="P176" i="28"/>
  <c r="P189" i="28"/>
  <c r="P190" i="28"/>
  <c r="K7" i="28" a="1"/>
  <c r="K7" i="28" s="1"/>
  <c r="J7" i="28" a="1"/>
  <c r="J7" i="28" s="1"/>
  <c r="P177" i="28"/>
  <c r="P183" i="28"/>
  <c r="P186" i="28"/>
  <c r="P172" i="28"/>
  <c r="P191" i="28"/>
  <c r="P173" i="28"/>
  <c r="BT183" i="1" l="1"/>
  <c r="Z11" i="28"/>
  <c r="V123" i="34"/>
  <c r="W123" i="34" s="1"/>
  <c r="X123" i="34" s="1"/>
  <c r="BI186" i="1"/>
  <c r="BJ186" i="1" s="1"/>
  <c r="BL186" i="1" s="1"/>
  <c r="N125" i="34"/>
  <c r="BT188" i="1"/>
  <c r="I127" i="34"/>
  <c r="J127" i="34" s="1"/>
  <c r="BI188" i="1"/>
  <c r="BJ188" i="1" s="1"/>
  <c r="BL188" i="1" s="1"/>
  <c r="BU188" i="1" s="1"/>
  <c r="N127" i="34"/>
  <c r="BI187" i="1"/>
  <c r="BJ187" i="1" s="1"/>
  <c r="BL187" i="1" s="1"/>
  <c r="BU187" i="1" s="1"/>
  <c r="N126" i="34"/>
  <c r="O126" i="34" s="1"/>
  <c r="P126" i="34" s="1"/>
  <c r="Q126" i="34" s="1"/>
  <c r="BI183" i="1"/>
  <c r="BJ183" i="1" s="1"/>
  <c r="BK183" i="1" s="1"/>
  <c r="N122" i="34"/>
  <c r="BI185" i="1"/>
  <c r="BJ185" i="1" s="1"/>
  <c r="BK185" i="1" s="1"/>
  <c r="CM46" i="1" s="1"/>
  <c r="N124" i="34"/>
  <c r="BI184"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CY88" i="1" s="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C181" i="1"/>
  <c r="AD181" i="1" s="1" a="1"/>
  <c r="AD181" i="1" s="1"/>
  <c r="AF181" i="1"/>
  <c r="AJ181" i="1"/>
  <c r="AL181" i="1"/>
  <c r="CA181" i="1" s="1"/>
  <c r="AM181" i="1"/>
  <c r="BG181" i="1" s="1" a="1"/>
  <c r="BG181" i="1" s="1"/>
  <c r="AO181" i="1"/>
  <c r="AP181" i="1"/>
  <c r="AQ181" i="1"/>
  <c r="AS181" i="1"/>
  <c r="AT181" i="1"/>
  <c r="AU181" i="1"/>
  <c r="AV181" i="1"/>
  <c r="AC182" i="1"/>
  <c r="AD182" i="1" s="1" a="1"/>
  <c r="AD182" i="1" s="1"/>
  <c r="AF182" i="1"/>
  <c r="AJ182" i="1"/>
  <c r="AL182" i="1"/>
  <c r="AM182" i="1"/>
  <c r="BG182" i="1" s="1" a="1"/>
  <c r="BG182" i="1" s="1"/>
  <c r="AO182" i="1"/>
  <c r="AP182" i="1"/>
  <c r="AQ182" i="1"/>
  <c r="AS182" i="1"/>
  <c r="AT182" i="1"/>
  <c r="AU182" i="1"/>
  <c r="AV182" i="1"/>
  <c r="BL185" i="1" l="1"/>
  <c r="BQ185" i="1"/>
  <c r="AK123" i="34"/>
  <c r="AM123" i="34" s="1"/>
  <c r="CV185" i="1"/>
  <c r="DC185" i="1"/>
  <c r="CC185" i="1"/>
  <c r="BV185" i="1"/>
  <c r="CV187" i="1"/>
  <c r="BK187" i="1"/>
  <c r="BV187" i="1" s="1"/>
  <c r="CC187" i="1"/>
  <c r="CC188" i="1"/>
  <c r="CV188" i="1"/>
  <c r="BK188" i="1"/>
  <c r="BV188" i="1" s="1"/>
  <c r="DC187" i="1"/>
  <c r="BC181" i="1"/>
  <c r="M121" i="34"/>
  <c r="G121" i="34"/>
  <c r="AG181" i="1"/>
  <c r="AH181" i="1" s="1"/>
  <c r="BD181" i="1"/>
  <c r="AG182" i="1"/>
  <c r="AH182" i="1" s="1"/>
  <c r="BD182" i="1"/>
  <c r="O125" i="34"/>
  <c r="P125" i="34" s="1"/>
  <c r="Q125" i="34" s="1"/>
  <c r="O127" i="34"/>
  <c r="P127" i="34" s="1"/>
  <c r="Q127" i="34" s="1"/>
  <c r="O122" i="34"/>
  <c r="P122" i="34" s="1"/>
  <c r="Q122" i="34" s="1"/>
  <c r="DC188" i="1"/>
  <c r="AK126" i="34"/>
  <c r="AM126" i="34" s="1"/>
  <c r="O124" i="34"/>
  <c r="P124" i="34" s="1"/>
  <c r="Q124" i="34" s="1"/>
  <c r="AK182" i="1"/>
  <c r="BY182" i="1" s="1"/>
  <c r="BV183" i="1"/>
  <c r="BN186" i="1"/>
  <c r="BO186" i="1"/>
  <c r="BU186" i="1"/>
  <c r="BN188" i="1"/>
  <c r="BO188" i="1"/>
  <c r="BN187" i="1"/>
  <c r="BO187" i="1"/>
  <c r="DC186" i="1"/>
  <c r="CV186" i="1"/>
  <c r="CC186" i="1"/>
  <c r="BK186" i="1"/>
  <c r="BL183" i="1"/>
  <c r="BN185" i="1"/>
  <c r="BO185" i="1"/>
  <c r="BU185" i="1"/>
  <c r="BJ184" i="1"/>
  <c r="BL184" i="1" s="1"/>
  <c r="DA182" i="1"/>
  <c r="AZ182" i="1"/>
  <c r="CB182" i="1"/>
  <c r="CA182" i="1"/>
  <c r="DB182" i="1"/>
  <c r="BC182" i="1"/>
  <c r="AZ181" i="1"/>
  <c r="AK181" i="1"/>
  <c r="DB181" i="1"/>
  <c r="CB181" i="1"/>
  <c r="DA181" i="1"/>
  <c r="CD182" i="1" l="1"/>
  <c r="AK127" i="34"/>
  <c r="AM127" i="34" s="1"/>
  <c r="DD181" i="1"/>
  <c r="D121" i="34"/>
  <c r="K121" i="34"/>
  <c r="Z121" i="34"/>
  <c r="E121" i="34"/>
  <c r="AK125" i="34"/>
  <c r="AM125" i="34" s="1"/>
  <c r="AK122" i="34"/>
  <c r="AM122" i="34" s="1"/>
  <c r="CY182" i="1"/>
  <c r="AR182" i="1"/>
  <c r="AK124" i="34"/>
  <c r="AM124" i="34" s="1"/>
  <c r="BZ182" i="1"/>
  <c r="DD182" i="1"/>
  <c r="CZ182" i="1"/>
  <c r="BP184" i="1"/>
  <c r="BU184" i="1"/>
  <c r="BQ187" i="1"/>
  <c r="BQ186" i="1"/>
  <c r="BQ188" i="1"/>
  <c r="BV186" i="1"/>
  <c r="BU183" i="1"/>
  <c r="DC184" i="1"/>
  <c r="CC184" i="1"/>
  <c r="CV184" i="1"/>
  <c r="BK184" i="1"/>
  <c r="CD181" i="1"/>
  <c r="BY181" i="1"/>
  <c r="CY181" i="1"/>
  <c r="BZ181" i="1"/>
  <c r="AR181" i="1"/>
  <c r="CZ181" i="1"/>
  <c r="AL121" i="34" l="1"/>
  <c r="AY181" i="1"/>
  <c r="BW181" i="1" s="1"/>
  <c r="AY182" i="1"/>
  <c r="BB182" i="1" s="1"/>
  <c r="BF182" i="1" s="1"/>
  <c r="BT182" i="1" s="1"/>
  <c r="BV184" i="1"/>
  <c r="BH182" i="1" l="1"/>
  <c r="BI182" i="1" s="1"/>
  <c r="BJ182" i="1" s="1"/>
  <c r="BK182" i="1" s="1"/>
  <c r="BV182" i="1" s="1"/>
  <c r="BW182" i="1"/>
  <c r="L121" i="34"/>
  <c r="F121" i="34"/>
  <c r="BB181" i="1"/>
  <c r="BF181" i="1" s="1"/>
  <c r="A181" i="1"/>
  <c r="A182" i="1"/>
  <c r="CV182" i="1" l="1"/>
  <c r="BL182" i="1"/>
  <c r="BU182" i="1" s="1"/>
  <c r="DC182" i="1"/>
  <c r="CC182" i="1"/>
  <c r="I121" i="34"/>
  <c r="J121" i="34" s="1"/>
  <c r="BH181" i="1"/>
  <c r="BT181" i="1"/>
  <c r="CT181" i="1"/>
  <c r="CU181" i="1"/>
  <c r="CR181" i="1"/>
  <c r="CS181" i="1"/>
  <c r="CW181" i="1"/>
  <c r="CT182" i="1"/>
  <c r="CU182" i="1"/>
  <c r="CS182" i="1"/>
  <c r="CR182" i="1"/>
  <c r="CW182" i="1"/>
  <c r="AA178" i="1"/>
  <c r="AA177" i="1"/>
  <c r="AA176" i="1"/>
  <c r="AA175" i="1"/>
  <c r="AA174" i="1"/>
  <c r="AA173" i="1"/>
  <c r="AA172" i="1"/>
  <c r="AA171" i="1"/>
  <c r="AA170" i="1"/>
  <c r="AA169" i="1"/>
  <c r="AA168" i="1"/>
  <c r="AA167" i="1"/>
  <c r="AA157" i="1"/>
  <c r="AA156" i="1"/>
  <c r="AA129" i="1"/>
  <c r="AA128" i="1"/>
  <c r="AA88" i="1"/>
  <c r="BI181" i="1" l="1"/>
  <c r="N121" i="34"/>
  <c r="O121" i="34" s="1"/>
  <c r="P121" i="34" s="1"/>
  <c r="Q121" i="34" s="1"/>
  <c r="M60" i="1"/>
  <c r="G47" i="28" s="1" a="1"/>
  <c r="G47" i="28" s="1"/>
  <c r="M59" i="1"/>
  <c r="G46" i="28" s="1" a="1"/>
  <c r="G46" i="28" s="1"/>
  <c r="M58" i="1"/>
  <c r="G45" i="28" s="1" a="1"/>
  <c r="G45" i="28" s="1"/>
  <c r="AK121" i="34" l="1"/>
  <c r="AM121" i="34" s="1"/>
  <c r="BJ181" i="1"/>
  <c r="BL181" i="1" s="1"/>
  <c r="J76" i="28" a="1"/>
  <c r="J76" i="28" s="1"/>
  <c r="I169" i="28" a="1"/>
  <c r="I169" i="28" s="1"/>
  <c r="I171" i="28" a="1"/>
  <c r="I171" i="28" s="1"/>
  <c r="K76" i="28" a="1"/>
  <c r="K76" i="28" s="1"/>
  <c r="I168" i="28" a="1"/>
  <c r="I168" i="28" s="1"/>
  <c r="I170" i="28" a="1"/>
  <c r="I170" i="28" s="1"/>
  <c r="AC162" i="1"/>
  <c r="AD162" i="1" s="1" a="1"/>
  <c r="AD162" i="1" s="1"/>
  <c r="DC162" i="1"/>
  <c r="AF162" i="1"/>
  <c r="AJ162" i="1"/>
  <c r="AL162" i="1"/>
  <c r="AM162" i="1"/>
  <c r="BG162" i="1" s="1" a="1"/>
  <c r="BG162" i="1" s="1"/>
  <c r="AO162" i="1"/>
  <c r="AP162" i="1"/>
  <c r="AQ162" i="1"/>
  <c r="AR162" i="1"/>
  <c r="AS162" i="1"/>
  <c r="AT162" i="1"/>
  <c r="AU162" i="1"/>
  <c r="BP162" i="1"/>
  <c r="BY162" i="1"/>
  <c r="CC162" i="1"/>
  <c r="CD162" i="1"/>
  <c r="AC163" i="1"/>
  <c r="AD163" i="1" s="1" a="1"/>
  <c r="AD163" i="1" s="1"/>
  <c r="CY163" i="1"/>
  <c r="AF163" i="1"/>
  <c r="AJ163" i="1"/>
  <c r="AL163" i="1"/>
  <c r="CB163" i="1" s="1"/>
  <c r="AM163" i="1"/>
  <c r="BG163" i="1" s="1" a="1"/>
  <c r="BG163" i="1" s="1"/>
  <c r="AO163" i="1"/>
  <c r="AP163" i="1"/>
  <c r="AQ163" i="1"/>
  <c r="AR163" i="1"/>
  <c r="AS163" i="1"/>
  <c r="AT163" i="1"/>
  <c r="AU163" i="1"/>
  <c r="BP163" i="1"/>
  <c r="BY163" i="1"/>
  <c r="CC163" i="1"/>
  <c r="CD163" i="1"/>
  <c r="AC164" i="1"/>
  <c r="AD164" i="1" s="1" a="1"/>
  <c r="AD164" i="1" s="1"/>
  <c r="AF164" i="1"/>
  <c r="AJ164" i="1"/>
  <c r="AL164" i="1"/>
  <c r="CA164" i="1" s="1"/>
  <c r="AM164" i="1"/>
  <c r="BG164" i="1" s="1" a="1"/>
  <c r="BG164" i="1" s="1"/>
  <c r="AO164" i="1"/>
  <c r="AP164" i="1"/>
  <c r="AQ164" i="1"/>
  <c r="AR164" i="1"/>
  <c r="AS164" i="1"/>
  <c r="AT164" i="1"/>
  <c r="AU164" i="1"/>
  <c r="AC165" i="1"/>
  <c r="AD165" i="1" s="1" a="1"/>
  <c r="AD165" i="1" s="1"/>
  <c r="AF165" i="1"/>
  <c r="BD165" i="1" s="1"/>
  <c r="AJ165" i="1"/>
  <c r="AL165" i="1"/>
  <c r="AM165" i="1"/>
  <c r="BG165" i="1" s="1" a="1"/>
  <c r="BG165" i="1" s="1"/>
  <c r="AO165" i="1"/>
  <c r="AP165" i="1"/>
  <c r="AQ165" i="1"/>
  <c r="AS165" i="1"/>
  <c r="AT165" i="1"/>
  <c r="AU165" i="1"/>
  <c r="AV165" i="1"/>
  <c r="AC166" i="1"/>
  <c r="AD166" i="1" s="1" a="1"/>
  <c r="AD166" i="1" s="1"/>
  <c r="AF166" i="1"/>
  <c r="AJ166" i="1"/>
  <c r="AL166" i="1"/>
  <c r="CB166" i="1" s="1"/>
  <c r="AM166" i="1"/>
  <c r="BG166" i="1" s="1" a="1"/>
  <c r="BG166" i="1" s="1"/>
  <c r="AO166" i="1"/>
  <c r="AP166" i="1"/>
  <c r="AQ166" i="1"/>
  <c r="AS166" i="1"/>
  <c r="AT166" i="1"/>
  <c r="AU166" i="1"/>
  <c r="AV166" i="1"/>
  <c r="AC167" i="1"/>
  <c r="AD167" i="1" s="1" a="1"/>
  <c r="AD167" i="1" s="1"/>
  <c r="AF167" i="1"/>
  <c r="AJ167" i="1"/>
  <c r="AL167" i="1"/>
  <c r="CB167" i="1" s="1"/>
  <c r="AM167" i="1"/>
  <c r="BG167" i="1" s="1" a="1"/>
  <c r="BG167" i="1" s="1"/>
  <c r="AO167" i="1"/>
  <c r="AP167" i="1"/>
  <c r="AQ167" i="1"/>
  <c r="AR167" i="1"/>
  <c r="AT167" i="1"/>
  <c r="AU167" i="1"/>
  <c r="AV167" i="1"/>
  <c r="BY167" i="1"/>
  <c r="CC167" i="1"/>
  <c r="CD167" i="1"/>
  <c r="AC168" i="1"/>
  <c r="AD168" i="1" s="1" a="1"/>
  <c r="AD168" i="1" s="1"/>
  <c r="CY168" i="1"/>
  <c r="AF168" i="1"/>
  <c r="AJ168" i="1"/>
  <c r="AL168" i="1"/>
  <c r="AM168" i="1"/>
  <c r="BG168" i="1" s="1" a="1"/>
  <c r="BG168" i="1" s="1"/>
  <c r="AO168" i="1"/>
  <c r="AP168" i="1"/>
  <c r="AQ168" i="1"/>
  <c r="AR168" i="1"/>
  <c r="AT168" i="1"/>
  <c r="AU168" i="1"/>
  <c r="AV168" i="1"/>
  <c r="BY168" i="1"/>
  <c r="CC168" i="1"/>
  <c r="CD168" i="1"/>
  <c r="AC169" i="1"/>
  <c r="AD169" i="1" s="1" a="1"/>
  <c r="AD169" i="1" s="1"/>
  <c r="CY169" i="1"/>
  <c r="AF169" i="1"/>
  <c r="AJ169" i="1"/>
  <c r="AL169" i="1"/>
  <c r="AM169" i="1"/>
  <c r="BG169" i="1" s="1" a="1"/>
  <c r="BG169" i="1" s="1"/>
  <c r="AO169" i="1"/>
  <c r="AP169" i="1"/>
  <c r="AQ169" i="1"/>
  <c r="AR169" i="1"/>
  <c r="AT169" i="1"/>
  <c r="AU169" i="1"/>
  <c r="AV169" i="1"/>
  <c r="BY169" i="1"/>
  <c r="CC169" i="1"/>
  <c r="CD169" i="1"/>
  <c r="AC170" i="1"/>
  <c r="AD170" i="1" s="1" a="1"/>
  <c r="AD170" i="1" s="1"/>
  <c r="CY170" i="1"/>
  <c r="AF170" i="1"/>
  <c r="AJ170" i="1"/>
  <c r="AL170" i="1"/>
  <c r="CA170" i="1" s="1"/>
  <c r="AM170" i="1"/>
  <c r="BG170" i="1" s="1" a="1"/>
  <c r="BG170" i="1" s="1"/>
  <c r="AO170" i="1"/>
  <c r="AP170" i="1"/>
  <c r="AQ170" i="1"/>
  <c r="AR170" i="1"/>
  <c r="AT170" i="1"/>
  <c r="AU170" i="1"/>
  <c r="AV170" i="1"/>
  <c r="BY170" i="1"/>
  <c r="CC170" i="1"/>
  <c r="CD170" i="1"/>
  <c r="AC171" i="1"/>
  <c r="AD171" i="1" s="1" a="1"/>
  <c r="AD171" i="1" s="1"/>
  <c r="AF171" i="1"/>
  <c r="AJ171" i="1"/>
  <c r="AL171" i="1"/>
  <c r="BZ171" i="1" s="1"/>
  <c r="AM171" i="1"/>
  <c r="BG171" i="1" s="1" a="1"/>
  <c r="BG171" i="1" s="1"/>
  <c r="AO171" i="1"/>
  <c r="AP171" i="1"/>
  <c r="AQ171" i="1"/>
  <c r="AR171" i="1"/>
  <c r="AT171" i="1"/>
  <c r="AU171" i="1"/>
  <c r="AV171" i="1"/>
  <c r="BY171" i="1"/>
  <c r="CC171" i="1"/>
  <c r="CD171" i="1"/>
  <c r="AC172" i="1"/>
  <c r="AD172" i="1" s="1" a="1"/>
  <c r="AD172" i="1" s="1"/>
  <c r="DC172" i="1"/>
  <c r="AF172" i="1"/>
  <c r="AJ172" i="1"/>
  <c r="AL172" i="1"/>
  <c r="BZ172" i="1" s="1"/>
  <c r="AM172" i="1"/>
  <c r="BG172" i="1" s="1" a="1"/>
  <c r="BG172" i="1" s="1"/>
  <c r="AO172" i="1"/>
  <c r="AP172" i="1"/>
  <c r="AQ172" i="1"/>
  <c r="AR172" i="1"/>
  <c r="AT172" i="1"/>
  <c r="AU172" i="1"/>
  <c r="AV172" i="1"/>
  <c r="BY172" i="1"/>
  <c r="CC172" i="1"/>
  <c r="CD172" i="1"/>
  <c r="AC173" i="1"/>
  <c r="AD173" i="1" s="1" a="1"/>
  <c r="AD173" i="1" s="1"/>
  <c r="DD173" i="1"/>
  <c r="AF173" i="1"/>
  <c r="AJ173" i="1"/>
  <c r="AL173" i="1"/>
  <c r="BZ173" i="1" s="1"/>
  <c r="AM173" i="1"/>
  <c r="BG173" i="1" s="1" a="1"/>
  <c r="BG173" i="1" s="1"/>
  <c r="AO173" i="1"/>
  <c r="AP173" i="1"/>
  <c r="AQ173" i="1"/>
  <c r="AR173" i="1"/>
  <c r="AT173" i="1"/>
  <c r="AU173" i="1"/>
  <c r="AV173" i="1"/>
  <c r="BY173" i="1"/>
  <c r="CC173" i="1"/>
  <c r="CD173" i="1"/>
  <c r="AC174" i="1"/>
  <c r="AD174" i="1" s="1" a="1"/>
  <c r="AD174" i="1" s="1"/>
  <c r="DC174" i="1"/>
  <c r="AF174" i="1"/>
  <c r="AJ174" i="1"/>
  <c r="AL174" i="1"/>
  <c r="BZ174" i="1" s="1"/>
  <c r="AM174" i="1"/>
  <c r="BG174" i="1" s="1" a="1"/>
  <c r="BG174" i="1" s="1"/>
  <c r="AO174" i="1"/>
  <c r="AP174" i="1"/>
  <c r="AQ174" i="1"/>
  <c r="AR174" i="1"/>
  <c r="AT174" i="1"/>
  <c r="AU174" i="1"/>
  <c r="AV174" i="1"/>
  <c r="BY174" i="1"/>
  <c r="CC174" i="1"/>
  <c r="CD174" i="1"/>
  <c r="AC175" i="1"/>
  <c r="AD175" i="1" s="1" a="1"/>
  <c r="AD175" i="1" s="1"/>
  <c r="CY175" i="1"/>
  <c r="AF175" i="1"/>
  <c r="AJ175" i="1"/>
  <c r="AL175" i="1"/>
  <c r="CA175" i="1" s="1"/>
  <c r="AM175" i="1"/>
  <c r="BG175" i="1" s="1" a="1"/>
  <c r="BG175" i="1" s="1"/>
  <c r="AO175" i="1"/>
  <c r="AP175" i="1"/>
  <c r="AQ175" i="1"/>
  <c r="AR175" i="1"/>
  <c r="AT175" i="1"/>
  <c r="AU175" i="1"/>
  <c r="AV175" i="1"/>
  <c r="BY175" i="1"/>
  <c r="CC175" i="1"/>
  <c r="CD175" i="1"/>
  <c r="AC176" i="1"/>
  <c r="AD176" i="1" a="1"/>
  <c r="AD176" i="1" s="1"/>
  <c r="CY176" i="1"/>
  <c r="AF176" i="1"/>
  <c r="AJ176" i="1"/>
  <c r="AL176" i="1"/>
  <c r="BZ176" i="1" s="1"/>
  <c r="AM176" i="1"/>
  <c r="BG176" i="1" s="1" a="1"/>
  <c r="BG176" i="1" s="1"/>
  <c r="AO176" i="1"/>
  <c r="AP176" i="1"/>
  <c r="AQ176" i="1"/>
  <c r="AR176" i="1"/>
  <c r="AT176" i="1"/>
  <c r="AU176" i="1"/>
  <c r="AV176" i="1"/>
  <c r="BY176" i="1"/>
  <c r="CC176" i="1"/>
  <c r="CD176" i="1"/>
  <c r="AC177" i="1"/>
  <c r="AD177" i="1" s="1" a="1"/>
  <c r="AD177" i="1" s="1"/>
  <c r="CY177" i="1"/>
  <c r="AF177" i="1"/>
  <c r="AJ177" i="1"/>
  <c r="AL177" i="1"/>
  <c r="AM177" i="1"/>
  <c r="BG177" i="1" s="1" a="1"/>
  <c r="BG177" i="1" s="1"/>
  <c r="AO177" i="1"/>
  <c r="AP177" i="1"/>
  <c r="AQ177" i="1"/>
  <c r="AR177" i="1"/>
  <c r="AT177" i="1"/>
  <c r="AU177" i="1"/>
  <c r="AV177" i="1"/>
  <c r="BY177" i="1"/>
  <c r="CC177" i="1"/>
  <c r="CD177" i="1"/>
  <c r="AC178" i="1"/>
  <c r="AD178" i="1" s="1" a="1"/>
  <c r="AD178" i="1" s="1"/>
  <c r="DD178" i="1"/>
  <c r="AF178" i="1"/>
  <c r="AJ178" i="1"/>
  <c r="AL178" i="1"/>
  <c r="BZ178" i="1" s="1"/>
  <c r="AM178" i="1"/>
  <c r="BG178" i="1" s="1" a="1"/>
  <c r="BG178" i="1" s="1"/>
  <c r="AO178" i="1"/>
  <c r="AP178" i="1"/>
  <c r="AQ178" i="1"/>
  <c r="AR178" i="1"/>
  <c r="AS178" i="1"/>
  <c r="AT178" i="1"/>
  <c r="AU178" i="1"/>
  <c r="BY178" i="1"/>
  <c r="CC178" i="1"/>
  <c r="CD178" i="1"/>
  <c r="AC179" i="1"/>
  <c r="AD179" i="1" s="1" a="1"/>
  <c r="AD179" i="1" s="1"/>
  <c r="AF179" i="1"/>
  <c r="AJ179" i="1"/>
  <c r="AL179" i="1"/>
  <c r="AM179" i="1"/>
  <c r="AO179" i="1"/>
  <c r="AB119" i="34" s="1"/>
  <c r="AP179" i="1"/>
  <c r="AQ179" i="1"/>
  <c r="AR179" i="1"/>
  <c r="AS179" i="1"/>
  <c r="AT179" i="1"/>
  <c r="AV179" i="1"/>
  <c r="BG179" i="1" a="1"/>
  <c r="BG179" i="1" s="1"/>
  <c r="BP179" i="1"/>
  <c r="BY179" i="1"/>
  <c r="CB179" i="1"/>
  <c r="CC179" i="1"/>
  <c r="CD179" i="1"/>
  <c r="AC180" i="1"/>
  <c r="AD180" i="1" s="1" a="1"/>
  <c r="AD180" i="1" s="1"/>
  <c r="CY180" i="1"/>
  <c r="AF180" i="1"/>
  <c r="AJ180" i="1"/>
  <c r="AL180" i="1"/>
  <c r="BZ180" i="1" s="1"/>
  <c r="AM180" i="1"/>
  <c r="AO180" i="1"/>
  <c r="AB120" i="34" s="1"/>
  <c r="AP180" i="1"/>
  <c r="AQ180" i="1"/>
  <c r="AR180" i="1"/>
  <c r="AS180" i="1"/>
  <c r="AT180" i="1"/>
  <c r="AV180" i="1"/>
  <c r="BG180" i="1" a="1"/>
  <c r="BG180" i="1" s="1"/>
  <c r="BP180" i="1"/>
  <c r="BY180" i="1"/>
  <c r="CA180" i="1"/>
  <c r="CC180" i="1"/>
  <c r="CD180" i="1"/>
  <c r="P162" i="1"/>
  <c r="CR162" i="1" s="1"/>
  <c r="S162" i="1"/>
  <c r="P163" i="1"/>
  <c r="CV163" i="1" s="1"/>
  <c r="S163" i="1"/>
  <c r="P164" i="1"/>
  <c r="S164" i="1"/>
  <c r="P165" i="1"/>
  <c r="S165" i="1"/>
  <c r="P166" i="1"/>
  <c r="S166" i="1"/>
  <c r="P167" i="1"/>
  <c r="S167" i="1"/>
  <c r="P168" i="1"/>
  <c r="CW168" i="1" s="1"/>
  <c r="S168" i="1"/>
  <c r="P169" i="1"/>
  <c r="CR169" i="1" s="1"/>
  <c r="S169" i="1"/>
  <c r="P170" i="1"/>
  <c r="CV170" i="1" s="1"/>
  <c r="S170" i="1"/>
  <c r="P171" i="1"/>
  <c r="CR171" i="1" s="1"/>
  <c r="S171" i="1"/>
  <c r="P172" i="1"/>
  <c r="CV172" i="1" s="1"/>
  <c r="S172" i="1"/>
  <c r="P173" i="1"/>
  <c r="CV173" i="1" s="1"/>
  <c r="S173" i="1"/>
  <c r="P174" i="1"/>
  <c r="CR174" i="1" s="1"/>
  <c r="S174" i="1"/>
  <c r="P175" i="1"/>
  <c r="CV175" i="1" s="1"/>
  <c r="S175" i="1"/>
  <c r="P176" i="1"/>
  <c r="S176" i="1"/>
  <c r="P177" i="1"/>
  <c r="CR177" i="1" s="1"/>
  <c r="S177" i="1"/>
  <c r="P178" i="1"/>
  <c r="CW178" i="1" s="1"/>
  <c r="S178" i="1"/>
  <c r="P179" i="1"/>
  <c r="CV179" i="1" s="1"/>
  <c r="S179" i="1"/>
  <c r="P180" i="1"/>
  <c r="CR180" i="1" s="1"/>
  <c r="S180" i="1"/>
  <c r="A161" i="1"/>
  <c r="A162" i="1"/>
  <c r="A163" i="1"/>
  <c r="A164" i="1"/>
  <c r="A165" i="1"/>
  <c r="A166" i="1"/>
  <c r="A167" i="1"/>
  <c r="A168" i="1"/>
  <c r="A169" i="1"/>
  <c r="A170" i="1"/>
  <c r="A171" i="1"/>
  <c r="A172" i="1"/>
  <c r="A173" i="1"/>
  <c r="A174" i="1"/>
  <c r="A175" i="1"/>
  <c r="A176" i="1"/>
  <c r="A177" i="1"/>
  <c r="A178" i="1"/>
  <c r="A179" i="1"/>
  <c r="A180" i="1"/>
  <c r="P59" i="1"/>
  <c r="AL20" i="1"/>
  <c r="AO20" i="1"/>
  <c r="AM20" i="1"/>
  <c r="BG20" i="1" s="1" a="1"/>
  <c r="BG20" i="1" s="1"/>
  <c r="AJ17" i="1"/>
  <c r="AK17" i="1"/>
  <c r="AJ161" i="1"/>
  <c r="AJ39" i="1"/>
  <c r="AC21" i="1"/>
  <c r="AD21" i="1" s="1" a="1"/>
  <c r="AD21" i="1" s="1"/>
  <c r="AC22" i="1"/>
  <c r="AD22" i="1" s="1" a="1"/>
  <c r="AD22" i="1" s="1"/>
  <c r="AC23" i="1"/>
  <c r="AD23" i="1" s="1" a="1"/>
  <c r="AD23" i="1" s="1"/>
  <c r="AC24" i="1"/>
  <c r="AD24" i="1" s="1" a="1"/>
  <c r="AD24" i="1" s="1"/>
  <c r="AC25" i="1"/>
  <c r="AD25" i="1" s="1" a="1"/>
  <c r="AD25" i="1" s="1"/>
  <c r="AC26" i="1"/>
  <c r="AD26" i="1" s="1" a="1"/>
  <c r="AD26" i="1" s="1"/>
  <c r="AC27" i="1"/>
  <c r="AD27" i="1" s="1" a="1"/>
  <c r="AD27" i="1" s="1"/>
  <c r="AC28" i="1"/>
  <c r="AD28" i="1" s="1" a="1"/>
  <c r="AD28" i="1" s="1"/>
  <c r="AC29" i="1"/>
  <c r="AD29" i="1" s="1" a="1"/>
  <c r="AD29" i="1" s="1"/>
  <c r="AC30" i="1"/>
  <c r="AD30" i="1" s="1" a="1"/>
  <c r="AD30" i="1" s="1"/>
  <c r="AC31" i="1"/>
  <c r="AD31" i="1" s="1" a="1"/>
  <c r="AD31" i="1" s="1"/>
  <c r="AC32" i="1"/>
  <c r="AD32" i="1" s="1" a="1"/>
  <c r="AD32" i="1" s="1"/>
  <c r="AC33" i="1"/>
  <c r="AD33" i="1" s="1" a="1"/>
  <c r="AD33" i="1" s="1"/>
  <c r="AC34" i="1"/>
  <c r="AD34" i="1" s="1" a="1"/>
  <c r="AD34" i="1" s="1"/>
  <c r="AC35" i="1"/>
  <c r="AD35" i="1" s="1" a="1"/>
  <c r="AD35" i="1" s="1"/>
  <c r="AC36" i="1"/>
  <c r="AD36" i="1" s="1" a="1"/>
  <c r="AD36" i="1" s="1"/>
  <c r="AC37" i="1"/>
  <c r="AD37" i="1" s="1" a="1"/>
  <c r="AD37" i="1" s="1"/>
  <c r="AC38" i="1"/>
  <c r="AD38" i="1" s="1" a="1"/>
  <c r="AD38" i="1" s="1"/>
  <c r="AC39" i="1"/>
  <c r="AD39" i="1" s="1" a="1"/>
  <c r="AD39" i="1" s="1"/>
  <c r="AC40" i="1"/>
  <c r="AD40" i="1" s="1" a="1"/>
  <c r="AD40" i="1" s="1"/>
  <c r="AC41" i="1"/>
  <c r="AD41" i="1" s="1" a="1"/>
  <c r="AD41" i="1" s="1"/>
  <c r="AC42" i="1"/>
  <c r="AD42" i="1" s="1" a="1"/>
  <c r="AD42" i="1" s="1"/>
  <c r="AC43" i="1"/>
  <c r="AD43" i="1" s="1" a="1"/>
  <c r="AD43" i="1" s="1"/>
  <c r="AC44" i="1"/>
  <c r="AD44" i="1" s="1" a="1"/>
  <c r="AD44" i="1" s="1"/>
  <c r="AC45" i="1"/>
  <c r="AD45" i="1" s="1" a="1"/>
  <c r="AD45" i="1" s="1"/>
  <c r="AC46" i="1"/>
  <c r="AD46" i="1" s="1" a="1"/>
  <c r="AD46" i="1" s="1"/>
  <c r="AC47" i="1"/>
  <c r="AD47" i="1" s="1" a="1"/>
  <c r="AD47" i="1" s="1"/>
  <c r="AC48" i="1"/>
  <c r="AD48" i="1" s="1" a="1"/>
  <c r="AD48" i="1" s="1"/>
  <c r="AC49" i="1"/>
  <c r="AD49" i="1" s="1" a="1"/>
  <c r="AD49" i="1" s="1"/>
  <c r="AC50" i="1"/>
  <c r="AD50" i="1" s="1" a="1"/>
  <c r="AD50" i="1" s="1"/>
  <c r="AC51" i="1"/>
  <c r="AD51" i="1" s="1" a="1"/>
  <c r="AD51" i="1" s="1"/>
  <c r="AC52" i="1"/>
  <c r="AD52" i="1" s="1" a="1"/>
  <c r="AD52" i="1" s="1"/>
  <c r="AC53" i="1"/>
  <c r="AD53" i="1" s="1" a="1"/>
  <c r="AD53" i="1" s="1"/>
  <c r="AC54" i="1"/>
  <c r="AD54" i="1" s="1" a="1"/>
  <c r="AD54" i="1" s="1"/>
  <c r="AC55" i="1"/>
  <c r="AD55" i="1" s="1" a="1"/>
  <c r="AD55" i="1" s="1"/>
  <c r="AC56" i="1"/>
  <c r="AD56" i="1" s="1" a="1"/>
  <c r="AD56" i="1" s="1"/>
  <c r="AC57" i="1"/>
  <c r="AD57" i="1" s="1" a="1"/>
  <c r="AD57" i="1" s="1"/>
  <c r="AC58" i="1"/>
  <c r="AD58" i="1" s="1" a="1"/>
  <c r="AD58" i="1" s="1"/>
  <c r="AC59" i="1"/>
  <c r="AD59" i="1" s="1" a="1"/>
  <c r="AD59" i="1" s="1"/>
  <c r="AC60" i="1"/>
  <c r="AD60" i="1" s="1" a="1"/>
  <c r="AD60" i="1" s="1"/>
  <c r="AC61" i="1"/>
  <c r="AD61" i="1" s="1" a="1"/>
  <c r="AD61" i="1" s="1"/>
  <c r="AC62" i="1"/>
  <c r="AD62" i="1" s="1" a="1"/>
  <c r="AD62" i="1" s="1"/>
  <c r="AC63" i="1"/>
  <c r="AD63" i="1" s="1" a="1"/>
  <c r="AD63" i="1" s="1"/>
  <c r="AC64" i="1"/>
  <c r="AD64" i="1" s="1" a="1"/>
  <c r="AD64" i="1" s="1"/>
  <c r="AC65" i="1"/>
  <c r="AD65" i="1" s="1" a="1"/>
  <c r="AD65" i="1" s="1"/>
  <c r="AC66" i="1"/>
  <c r="AD66" i="1" s="1" a="1"/>
  <c r="AD66" i="1" s="1"/>
  <c r="AC67" i="1"/>
  <c r="AD67" i="1" s="1" a="1"/>
  <c r="AD67" i="1" s="1"/>
  <c r="AC68" i="1"/>
  <c r="AD68" i="1" s="1" a="1"/>
  <c r="AD68" i="1" s="1"/>
  <c r="AC69" i="1"/>
  <c r="AD69" i="1" s="1" a="1"/>
  <c r="AD69" i="1" s="1"/>
  <c r="AC70" i="1"/>
  <c r="AD70" i="1" s="1" a="1"/>
  <c r="AD70" i="1" s="1"/>
  <c r="AC71" i="1"/>
  <c r="AD71" i="1" s="1" a="1"/>
  <c r="AD71" i="1" s="1"/>
  <c r="AC72" i="1"/>
  <c r="AD72" i="1" s="1" a="1"/>
  <c r="AD72" i="1" s="1"/>
  <c r="AC73" i="1"/>
  <c r="AD73" i="1" s="1" a="1"/>
  <c r="AD73" i="1" s="1"/>
  <c r="AC74" i="1"/>
  <c r="AD74" i="1" s="1" a="1"/>
  <c r="AD74" i="1" s="1"/>
  <c r="AC75" i="1"/>
  <c r="AD75" i="1" s="1" a="1"/>
  <c r="AD75" i="1" s="1"/>
  <c r="AC76" i="1"/>
  <c r="AD76" i="1" s="1" a="1"/>
  <c r="AD76" i="1" s="1"/>
  <c r="AC77" i="1"/>
  <c r="AD77" i="1" s="1" a="1"/>
  <c r="AD77" i="1" s="1"/>
  <c r="AC78" i="1"/>
  <c r="AD78" i="1" s="1" a="1"/>
  <c r="AD78" i="1" s="1"/>
  <c r="AC79" i="1"/>
  <c r="AD79" i="1" s="1" a="1"/>
  <c r="AD79" i="1" s="1"/>
  <c r="AC80" i="1"/>
  <c r="AD80" i="1" s="1" a="1"/>
  <c r="AD80" i="1" s="1"/>
  <c r="AC81" i="1"/>
  <c r="AD81" i="1" s="1" a="1"/>
  <c r="AD81" i="1" s="1"/>
  <c r="AC82" i="1"/>
  <c r="AD82" i="1" s="1" a="1"/>
  <c r="AD82" i="1" s="1"/>
  <c r="AC83" i="1"/>
  <c r="AD83" i="1" s="1" a="1"/>
  <c r="AD83" i="1" s="1"/>
  <c r="AC84" i="1"/>
  <c r="AD84" i="1" s="1" a="1"/>
  <c r="AD84" i="1" s="1"/>
  <c r="AC85" i="1"/>
  <c r="AD85" i="1" s="1" a="1"/>
  <c r="AD85" i="1" s="1"/>
  <c r="AC86" i="1"/>
  <c r="AD86" i="1" s="1" a="1"/>
  <c r="AD86" i="1" s="1"/>
  <c r="AC87" i="1"/>
  <c r="AD87" i="1" s="1" a="1"/>
  <c r="AD87" i="1" s="1"/>
  <c r="AC88" i="1"/>
  <c r="AD88" i="1" s="1" a="1"/>
  <c r="AD88" i="1" s="1"/>
  <c r="AC89" i="1"/>
  <c r="AD89" i="1" s="1" a="1"/>
  <c r="AD89" i="1" s="1"/>
  <c r="AC90" i="1"/>
  <c r="AD90" i="1" s="1" a="1"/>
  <c r="AD90" i="1" s="1"/>
  <c r="AC91" i="1"/>
  <c r="AD91" i="1" s="1" a="1"/>
  <c r="AD91" i="1" s="1"/>
  <c r="AC92" i="1"/>
  <c r="AD92" i="1" s="1" a="1"/>
  <c r="AD92" i="1" s="1"/>
  <c r="AC93" i="1"/>
  <c r="AD93" i="1" s="1" a="1"/>
  <c r="AD93" i="1" s="1"/>
  <c r="AC94" i="1"/>
  <c r="AD94" i="1" s="1" a="1"/>
  <c r="AD94" i="1" s="1"/>
  <c r="AC95" i="1"/>
  <c r="AD95" i="1" s="1" a="1"/>
  <c r="AD95" i="1" s="1"/>
  <c r="AC96" i="1"/>
  <c r="AD96" i="1" s="1" a="1"/>
  <c r="AD96" i="1" s="1"/>
  <c r="AC97" i="1"/>
  <c r="AD97" i="1" s="1" a="1"/>
  <c r="AD97" i="1" s="1"/>
  <c r="AC98" i="1"/>
  <c r="AD98" i="1" s="1" a="1"/>
  <c r="AD98" i="1" s="1"/>
  <c r="AC99" i="1"/>
  <c r="AD99" i="1" s="1" a="1"/>
  <c r="AD99" i="1" s="1"/>
  <c r="AC100" i="1"/>
  <c r="AD100" i="1" s="1" a="1"/>
  <c r="AD100" i="1" s="1"/>
  <c r="AC101" i="1"/>
  <c r="AD101" i="1" s="1" a="1"/>
  <c r="AD101" i="1" s="1"/>
  <c r="AC102" i="1"/>
  <c r="AD102" i="1" s="1" a="1"/>
  <c r="AD102" i="1" s="1"/>
  <c r="AC103" i="1"/>
  <c r="AD103" i="1" s="1" a="1"/>
  <c r="AD103" i="1" s="1"/>
  <c r="AC104" i="1"/>
  <c r="AD104" i="1" s="1" a="1"/>
  <c r="AD104" i="1" s="1"/>
  <c r="AC105" i="1"/>
  <c r="AD105" i="1" s="1" a="1"/>
  <c r="AD105" i="1" s="1"/>
  <c r="AC106" i="1"/>
  <c r="AD106" i="1" s="1" a="1"/>
  <c r="AD106" i="1" s="1"/>
  <c r="AC107" i="1"/>
  <c r="AD107" i="1" s="1" a="1"/>
  <c r="AD107" i="1" s="1"/>
  <c r="AC108" i="1"/>
  <c r="AD108" i="1" s="1" a="1"/>
  <c r="AD108" i="1" s="1"/>
  <c r="AC109" i="1"/>
  <c r="AD109" i="1" s="1" a="1"/>
  <c r="AD109" i="1" s="1"/>
  <c r="AC110" i="1"/>
  <c r="AD110" i="1" s="1" a="1"/>
  <c r="AD110" i="1" s="1"/>
  <c r="AC111" i="1"/>
  <c r="AD111" i="1" s="1" a="1"/>
  <c r="AD111" i="1" s="1"/>
  <c r="AC112" i="1"/>
  <c r="AD112" i="1" s="1" a="1"/>
  <c r="AD112" i="1" s="1"/>
  <c r="AC113" i="1"/>
  <c r="AD113" i="1" s="1" a="1"/>
  <c r="AD113" i="1" s="1"/>
  <c r="AC114" i="1"/>
  <c r="AD114" i="1" s="1" a="1"/>
  <c r="AD114" i="1" s="1"/>
  <c r="AC115" i="1"/>
  <c r="AD115" i="1" s="1" a="1"/>
  <c r="AD115" i="1" s="1"/>
  <c r="AC116" i="1"/>
  <c r="AD116" i="1" s="1" a="1"/>
  <c r="AD116" i="1" s="1"/>
  <c r="AC117" i="1"/>
  <c r="AD117" i="1" s="1" a="1"/>
  <c r="AD117" i="1" s="1"/>
  <c r="AC118" i="1"/>
  <c r="AD118" i="1" s="1" a="1"/>
  <c r="AD118" i="1" s="1"/>
  <c r="AC119" i="1"/>
  <c r="AD119" i="1" s="1" a="1"/>
  <c r="AD119" i="1" s="1"/>
  <c r="AC120" i="1"/>
  <c r="AD120" i="1" s="1" a="1"/>
  <c r="AD120" i="1" s="1"/>
  <c r="AC121" i="1"/>
  <c r="AD121" i="1" s="1" a="1"/>
  <c r="AD121" i="1" s="1"/>
  <c r="AC122" i="1"/>
  <c r="AD122" i="1" s="1" a="1"/>
  <c r="AD122" i="1" s="1"/>
  <c r="AC123" i="1"/>
  <c r="AD123" i="1" s="1" a="1"/>
  <c r="AD123" i="1" s="1"/>
  <c r="AC124" i="1"/>
  <c r="AD124" i="1" s="1" a="1"/>
  <c r="AD124" i="1" s="1"/>
  <c r="AC125" i="1"/>
  <c r="AD125" i="1" s="1" a="1"/>
  <c r="AD125" i="1" s="1"/>
  <c r="AC126" i="1"/>
  <c r="AD126" i="1" s="1" a="1"/>
  <c r="AD126" i="1" s="1"/>
  <c r="AC127" i="1"/>
  <c r="AD127" i="1" s="1" a="1"/>
  <c r="AD127" i="1" s="1"/>
  <c r="AC128" i="1"/>
  <c r="AD128" i="1" s="1" a="1"/>
  <c r="AD128" i="1" s="1"/>
  <c r="AC129" i="1"/>
  <c r="AD129" i="1" s="1" a="1"/>
  <c r="AD129" i="1" s="1"/>
  <c r="AC130" i="1"/>
  <c r="AD130" i="1" s="1" a="1"/>
  <c r="AD130" i="1" s="1"/>
  <c r="AC131" i="1"/>
  <c r="AD131" i="1" s="1" a="1"/>
  <c r="AD131" i="1" s="1"/>
  <c r="AC132" i="1"/>
  <c r="AD132" i="1" s="1" a="1"/>
  <c r="AD132" i="1" s="1"/>
  <c r="AC133" i="1"/>
  <c r="AD133" i="1" s="1" a="1"/>
  <c r="AD133" i="1" s="1"/>
  <c r="AC134" i="1"/>
  <c r="AD134" i="1" s="1" a="1"/>
  <c r="AD134" i="1" s="1"/>
  <c r="AC135" i="1"/>
  <c r="AD135" i="1" s="1" a="1"/>
  <c r="AD135" i="1" s="1"/>
  <c r="AC136" i="1"/>
  <c r="AD136" i="1" s="1" a="1"/>
  <c r="AD136" i="1" s="1"/>
  <c r="AC137" i="1"/>
  <c r="AD137" i="1" s="1" a="1"/>
  <c r="AD137" i="1" s="1"/>
  <c r="AC138" i="1"/>
  <c r="AD138" i="1" s="1" a="1"/>
  <c r="AD138" i="1" s="1"/>
  <c r="AC139" i="1"/>
  <c r="AD139" i="1" s="1" a="1"/>
  <c r="AD139" i="1" s="1"/>
  <c r="AC140" i="1"/>
  <c r="AD140" i="1" s="1" a="1"/>
  <c r="AD140" i="1" s="1"/>
  <c r="AC141" i="1"/>
  <c r="AD141" i="1" s="1" a="1"/>
  <c r="AD141" i="1" s="1"/>
  <c r="AC142" i="1"/>
  <c r="AD142" i="1" s="1" a="1"/>
  <c r="AD142" i="1" s="1"/>
  <c r="AC143" i="1"/>
  <c r="AD143" i="1" s="1" a="1"/>
  <c r="AD143" i="1" s="1"/>
  <c r="AC144" i="1"/>
  <c r="AD144" i="1" s="1" a="1"/>
  <c r="AD144" i="1" s="1"/>
  <c r="AC145" i="1"/>
  <c r="AD145" i="1" s="1" a="1"/>
  <c r="AD145" i="1" s="1"/>
  <c r="AC146" i="1"/>
  <c r="AD146" i="1" s="1" a="1"/>
  <c r="AD146" i="1" s="1"/>
  <c r="AC147" i="1"/>
  <c r="AD147" i="1" s="1" a="1"/>
  <c r="AD147" i="1" s="1"/>
  <c r="AC148" i="1"/>
  <c r="AD148" i="1" s="1" a="1"/>
  <c r="AD148" i="1" s="1"/>
  <c r="AC149" i="1"/>
  <c r="AD149" i="1" s="1" a="1"/>
  <c r="AD149" i="1" s="1"/>
  <c r="AC150" i="1"/>
  <c r="AD150" i="1" s="1" a="1"/>
  <c r="AD150" i="1" s="1"/>
  <c r="AC151" i="1"/>
  <c r="AD151" i="1" s="1" a="1"/>
  <c r="AD151" i="1" s="1"/>
  <c r="AC152" i="1"/>
  <c r="AD152" i="1" s="1" a="1"/>
  <c r="AD152" i="1" s="1"/>
  <c r="AC153" i="1"/>
  <c r="AD153" i="1" s="1" a="1"/>
  <c r="AD153" i="1" s="1"/>
  <c r="AC154" i="1"/>
  <c r="AD154" i="1" s="1" a="1"/>
  <c r="AD154" i="1" s="1"/>
  <c r="AC155" i="1"/>
  <c r="AD155" i="1" s="1" a="1"/>
  <c r="AD155" i="1" s="1"/>
  <c r="AC156" i="1"/>
  <c r="AD156" i="1" s="1" a="1"/>
  <c r="AD156" i="1" s="1"/>
  <c r="AC157" i="1"/>
  <c r="AD157" i="1" s="1" a="1"/>
  <c r="AD157" i="1" s="1"/>
  <c r="AC158" i="1"/>
  <c r="AD158" i="1" s="1" a="1"/>
  <c r="AD158" i="1" s="1"/>
  <c r="AC159" i="1"/>
  <c r="AD159" i="1" s="1" a="1"/>
  <c r="AD159" i="1" s="1"/>
  <c r="AC160" i="1"/>
  <c r="AD160" i="1" s="1" a="1"/>
  <c r="AD160" i="1" s="1"/>
  <c r="AC161" i="1"/>
  <c r="AD161" i="1" s="1" a="1"/>
  <c r="AD161" i="1" s="1"/>
  <c r="AC20" i="1"/>
  <c r="AD20" i="1" s="1" a="1"/>
  <c r="AD20" i="1" s="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21" i="1"/>
  <c r="S20" i="1"/>
  <c r="AG165" i="1" l="1"/>
  <c r="AH165" i="1" s="1"/>
  <c r="CA163" i="1"/>
  <c r="BZ163" i="1"/>
  <c r="M13" i="34"/>
  <c r="G13" i="34"/>
  <c r="BC180" i="1"/>
  <c r="G120" i="34"/>
  <c r="AG180" i="1"/>
  <c r="AH180" i="1" s="1"/>
  <c r="AN180" i="1" s="1"/>
  <c r="BD180" i="1"/>
  <c r="BC179" i="1"/>
  <c r="G119" i="34"/>
  <c r="AG179" i="1"/>
  <c r="AH179" i="1" s="1"/>
  <c r="AN179" i="1" s="1"/>
  <c r="BD179" i="1"/>
  <c r="BC178" i="1"/>
  <c r="AG178" i="1"/>
  <c r="AH178" i="1" s="1"/>
  <c r="AN178" i="1" s="1"/>
  <c r="BD178" i="1"/>
  <c r="AG177" i="1"/>
  <c r="AH177" i="1" s="1"/>
  <c r="AN177" i="1" s="1"/>
  <c r="BD177" i="1"/>
  <c r="BC176" i="1"/>
  <c r="AG176" i="1"/>
  <c r="AH176" i="1" s="1"/>
  <c r="AN176" i="1" s="1"/>
  <c r="BD176" i="1"/>
  <c r="BC175" i="1"/>
  <c r="AG175" i="1"/>
  <c r="AH175" i="1" s="1"/>
  <c r="AN175" i="1" s="1"/>
  <c r="BD175" i="1"/>
  <c r="AG174" i="1"/>
  <c r="AH174" i="1" s="1"/>
  <c r="AN174" i="1" s="1"/>
  <c r="BD174" i="1"/>
  <c r="BC173" i="1"/>
  <c r="AG173" i="1"/>
  <c r="AH173" i="1" s="1"/>
  <c r="AN173" i="1" s="1"/>
  <c r="BD173" i="1"/>
  <c r="BC172" i="1"/>
  <c r="AG172" i="1"/>
  <c r="AH172" i="1" s="1"/>
  <c r="AN172" i="1" s="1"/>
  <c r="BD172" i="1"/>
  <c r="AG171" i="1"/>
  <c r="AH171" i="1" s="1"/>
  <c r="AN171" i="1" s="1"/>
  <c r="BD171" i="1"/>
  <c r="AG170" i="1"/>
  <c r="AH170" i="1" s="1"/>
  <c r="AN170" i="1" s="1"/>
  <c r="BD170" i="1"/>
  <c r="BC169" i="1"/>
  <c r="AG169" i="1"/>
  <c r="AH169" i="1" s="1"/>
  <c r="AN169" i="1" s="1"/>
  <c r="BD169" i="1"/>
  <c r="AG168" i="1"/>
  <c r="AH168" i="1" s="1"/>
  <c r="AN168" i="1" s="1"/>
  <c r="BD168" i="1"/>
  <c r="BC167" i="1"/>
  <c r="AG167" i="1"/>
  <c r="AH167" i="1" s="1"/>
  <c r="AN167" i="1" s="1"/>
  <c r="BD167" i="1"/>
  <c r="BC166" i="1"/>
  <c r="AG166" i="1"/>
  <c r="AH166" i="1" s="1"/>
  <c r="BD166" i="1"/>
  <c r="G118" i="34"/>
  <c r="M118" i="34"/>
  <c r="AG164" i="1"/>
  <c r="AH164" i="1" s="1"/>
  <c r="BD164" i="1"/>
  <c r="BC163" i="1"/>
  <c r="AG163" i="1"/>
  <c r="AH163" i="1" s="1"/>
  <c r="AN163" i="1" s="1"/>
  <c r="BD163" i="1"/>
  <c r="AG162" i="1"/>
  <c r="AH162" i="1" s="1"/>
  <c r="AN162" i="1" s="1"/>
  <c r="BD162" i="1"/>
  <c r="BU181" i="1"/>
  <c r="CC181" i="1"/>
  <c r="DC181" i="1"/>
  <c r="CV181" i="1"/>
  <c r="BK181" i="1"/>
  <c r="BV181" i="1" s="1"/>
  <c r="BC20" i="1"/>
  <c r="CD20" i="1"/>
  <c r="AK179" i="1"/>
  <c r="AK173" i="1"/>
  <c r="AK165" i="1"/>
  <c r="AK178" i="1"/>
  <c r="AK175" i="1"/>
  <c r="AK172" i="1"/>
  <c r="AK177" i="1"/>
  <c r="AK168" i="1"/>
  <c r="AK174" i="1"/>
  <c r="AK171" i="1"/>
  <c r="AK163" i="1"/>
  <c r="AK176" i="1"/>
  <c r="AK170" i="1"/>
  <c r="AK167" i="1"/>
  <c r="AK166" i="1"/>
  <c r="AZ176" i="1"/>
  <c r="DB167" i="1"/>
  <c r="CA167" i="1"/>
  <c r="CT167" i="1"/>
  <c r="DD177" i="1"/>
  <c r="CB172" i="1"/>
  <c r="BZ167" i="1"/>
  <c r="DC168" i="1"/>
  <c r="DC177" i="1"/>
  <c r="CU174" i="1"/>
  <c r="AZ167" i="1"/>
  <c r="DD162" i="1"/>
  <c r="CY162" i="1"/>
  <c r="CZ177" i="1"/>
  <c r="CW174" i="1"/>
  <c r="CS174" i="1"/>
  <c r="CV168" i="1"/>
  <c r="DC173" i="1"/>
  <c r="DD167" i="1"/>
  <c r="DB176" i="1"/>
  <c r="CV174" i="1"/>
  <c r="CR168" i="1"/>
  <c r="CS162" i="1"/>
  <c r="CS175" i="1"/>
  <c r="CA172" i="1"/>
  <c r="CB180" i="1"/>
  <c r="CZ179" i="1"/>
  <c r="DA176" i="1"/>
  <c r="CR175" i="1"/>
  <c r="DD168" i="1"/>
  <c r="CV167" i="1"/>
  <c r="CA176" i="1"/>
  <c r="CW167" i="1"/>
  <c r="AK162" i="1"/>
  <c r="CR167" i="1"/>
  <c r="CS163" i="1"/>
  <c r="CR173" i="1"/>
  <c r="CT176" i="1"/>
  <c r="CW173" i="1"/>
  <c r="CV178" i="1"/>
  <c r="CZ168" i="1"/>
  <c r="CR179" i="1"/>
  <c r="CA178" i="1"/>
  <c r="DC176" i="1"/>
  <c r="DD175" i="1"/>
  <c r="DD169" i="1"/>
  <c r="CR178" i="1"/>
  <c r="AZ175" i="1"/>
  <c r="CY167" i="1"/>
  <c r="CT178" i="1"/>
  <c r="CY173" i="1"/>
  <c r="CW172" i="1"/>
  <c r="DD170" i="1"/>
  <c r="CA166" i="1"/>
  <c r="DA164" i="1"/>
  <c r="CU164" i="1"/>
  <c r="CS172" i="1"/>
  <c r="DC170" i="1"/>
  <c r="CB170" i="1"/>
  <c r="AZ169" i="1"/>
  <c r="CU163" i="1"/>
  <c r="AZ163" i="1"/>
  <c r="CB177" i="1"/>
  <c r="CR172" i="1"/>
  <c r="CR170" i="1"/>
  <c r="BZ177" i="1"/>
  <c r="CB175" i="1"/>
  <c r="CW179" i="1"/>
  <c r="DD174" i="1"/>
  <c r="AZ173" i="1"/>
  <c r="CU172" i="1"/>
  <c r="CT163" i="1"/>
  <c r="DD163" i="1"/>
  <c r="DC163" i="1"/>
  <c r="CY174" i="1"/>
  <c r="CR163" i="1"/>
  <c r="AZ168" i="1"/>
  <c r="AZ177" i="1"/>
  <c r="CW176" i="1"/>
  <c r="CW171" i="1"/>
  <c r="AZ170" i="1"/>
  <c r="DC169" i="1"/>
  <c r="AZ162" i="1"/>
  <c r="CV176" i="1"/>
  <c r="CV171" i="1"/>
  <c r="CA168" i="1"/>
  <c r="CW169" i="1"/>
  <c r="BC162" i="1"/>
  <c r="BC177" i="1"/>
  <c r="CR176" i="1"/>
  <c r="AZ174" i="1"/>
  <c r="CT171" i="1"/>
  <c r="CU170" i="1"/>
  <c r="CV180" i="1"/>
  <c r="DC175" i="1"/>
  <c r="DA168" i="1"/>
  <c r="CU166" i="1"/>
  <c r="CZ163" i="1"/>
  <c r="CS171" i="1"/>
  <c r="CV169" i="1"/>
  <c r="DB166" i="1"/>
  <c r="DB164" i="1"/>
  <c r="DB163" i="1"/>
  <c r="CW180" i="1"/>
  <c r="AZ180" i="1"/>
  <c r="CT174" i="1"/>
  <c r="BC170" i="1"/>
  <c r="DB168" i="1"/>
  <c r="AZ165" i="1"/>
  <c r="DA163" i="1"/>
  <c r="CW177" i="1"/>
  <c r="DA175" i="1"/>
  <c r="AZ171" i="1"/>
  <c r="CT166" i="1"/>
  <c r="CW162" i="1"/>
  <c r="CV177" i="1"/>
  <c r="CW175" i="1"/>
  <c r="DA174" i="1"/>
  <c r="CW170" i="1"/>
  <c r="CW163" i="1"/>
  <c r="CV162" i="1"/>
  <c r="DD176" i="1"/>
  <c r="CZ174" i="1"/>
  <c r="CT172" i="1"/>
  <c r="DD180" i="1"/>
  <c r="CT179" i="1"/>
  <c r="DA180" i="1"/>
  <c r="DC178" i="1"/>
  <c r="CY178" i="1"/>
  <c r="CS177" i="1"/>
  <c r="CS179" i="1"/>
  <c r="DC179" i="1"/>
  <c r="DD179" i="1"/>
  <c r="CA173" i="1"/>
  <c r="DA173" i="1"/>
  <c r="CB173" i="1"/>
  <c r="DB173" i="1"/>
  <c r="DA172" i="1"/>
  <c r="CZ176" i="1"/>
  <c r="CB176" i="1"/>
  <c r="CZ172" i="1"/>
  <c r="BZ169" i="1"/>
  <c r="CZ169" i="1"/>
  <c r="CA169" i="1"/>
  <c r="DA169" i="1"/>
  <c r="CZ173" i="1"/>
  <c r="CY172" i="1"/>
  <c r="CB169" i="1"/>
  <c r="AK169" i="1"/>
  <c r="AZ164" i="1"/>
  <c r="CT162" i="1"/>
  <c r="CU162" i="1"/>
  <c r="DA162" i="1"/>
  <c r="BZ162" i="1"/>
  <c r="DB162" i="1"/>
  <c r="CB162" i="1"/>
  <c r="CA162" i="1"/>
  <c r="DB177" i="1"/>
  <c r="BC174" i="1"/>
  <c r="DB169" i="1"/>
  <c r="DB179" i="1"/>
  <c r="CA179" i="1"/>
  <c r="DA178" i="1"/>
  <c r="CB178" i="1"/>
  <c r="DB178" i="1"/>
  <c r="BC171" i="1"/>
  <c r="DB170" i="1"/>
  <c r="BZ170" i="1"/>
  <c r="CA165" i="1"/>
  <c r="DA165" i="1"/>
  <c r="CB165" i="1"/>
  <c r="DB165" i="1"/>
  <c r="DA179" i="1"/>
  <c r="BZ179" i="1"/>
  <c r="CZ178" i="1"/>
  <c r="CU176" i="1"/>
  <c r="CU173" i="1"/>
  <c r="CA171" i="1"/>
  <c r="DA171" i="1"/>
  <c r="CB171" i="1"/>
  <c r="DA170" i="1"/>
  <c r="CU165" i="1"/>
  <c r="BC165" i="1"/>
  <c r="AZ178" i="1"/>
  <c r="CA177" i="1"/>
  <c r="DA177" i="1"/>
  <c r="CU177" i="1"/>
  <c r="DC167" i="1"/>
  <c r="CT165" i="1"/>
  <c r="BC164" i="1"/>
  <c r="AK164" i="1"/>
  <c r="AV164" i="1" s="1"/>
  <c r="AY164" i="1" s="1"/>
  <c r="BW164" i="1" s="1"/>
  <c r="DC180" i="1"/>
  <c r="CT180" i="1"/>
  <c r="CS180" i="1"/>
  <c r="CU180" i="1"/>
  <c r="CY179" i="1"/>
  <c r="CS176" i="1"/>
  <c r="CS173" i="1"/>
  <c r="CZ171" i="1"/>
  <c r="CU169" i="1"/>
  <c r="CT168" i="1"/>
  <c r="CU168" i="1"/>
  <c r="CB168" i="1"/>
  <c r="CS168" i="1"/>
  <c r="CT175" i="1"/>
  <c r="CU175" i="1"/>
  <c r="BZ175" i="1"/>
  <c r="CZ175" i="1"/>
  <c r="CT173" i="1"/>
  <c r="DB171" i="1"/>
  <c r="CZ170" i="1"/>
  <c r="DB180" i="1"/>
  <c r="AK180" i="1"/>
  <c r="AZ179" i="1"/>
  <c r="CU178" i="1"/>
  <c r="CT177" i="1"/>
  <c r="CT169" i="1"/>
  <c r="CZ167" i="1"/>
  <c r="DA167" i="1"/>
  <c r="DD172" i="1"/>
  <c r="BZ168" i="1"/>
  <c r="CT170" i="1"/>
  <c r="CS169" i="1"/>
  <c r="BC168" i="1"/>
  <c r="CZ180" i="1"/>
  <c r="CU179" i="1"/>
  <c r="CS178" i="1"/>
  <c r="DB175" i="1"/>
  <c r="DB172" i="1"/>
  <c r="CU171" i="1"/>
  <c r="CY171" i="1"/>
  <c r="DC171" i="1"/>
  <c r="DD171" i="1"/>
  <c r="CS170" i="1"/>
  <c r="CZ162" i="1"/>
  <c r="AZ172" i="1"/>
  <c r="CT164" i="1"/>
  <c r="DA166" i="1"/>
  <c r="CS167" i="1"/>
  <c r="CB174" i="1"/>
  <c r="DB174" i="1"/>
  <c r="CA174" i="1"/>
  <c r="CU167" i="1"/>
  <c r="AZ166" i="1"/>
  <c r="CB164" i="1"/>
  <c r="I139" i="28" a="1"/>
  <c r="I139" i="28" s="1"/>
  <c r="I138" i="28" a="1"/>
  <c r="I138" i="28" s="1"/>
  <c r="I131" i="28" a="1"/>
  <c r="I131" i="28" s="1"/>
  <c r="I123" i="28" a="1"/>
  <c r="I123" i="28" s="1"/>
  <c r="I106" i="28" a="1"/>
  <c r="I106" i="28" s="1"/>
  <c r="I66" i="28" a="1"/>
  <c r="I66" i="28" s="1"/>
  <c r="I44" i="28" a="1"/>
  <c r="I44" i="28" s="1"/>
  <c r="I162" i="28" a="1"/>
  <c r="I162" i="28" s="1"/>
  <c r="I34" i="28" a="1"/>
  <c r="I34" i="28" s="1"/>
  <c r="I155" i="28" a="1"/>
  <c r="I155" i="28" s="1"/>
  <c r="I21" i="28" a="1"/>
  <c r="I21" i="28" s="1"/>
  <c r="I154" i="28" a="1"/>
  <c r="I154" i="28" s="1"/>
  <c r="I147" i="28" a="1"/>
  <c r="I147" i="28" s="1"/>
  <c r="I146" i="28" a="1"/>
  <c r="I146" i="28" s="1"/>
  <c r="I163" i="28" a="1"/>
  <c r="I163" i="28" s="1"/>
  <c r="I132" i="28" a="1"/>
  <c r="I132" i="28" s="1"/>
  <c r="I115" i="28" a="1"/>
  <c r="I115" i="28" s="1"/>
  <c r="I107" i="28" a="1"/>
  <c r="I107" i="28" s="1"/>
  <c r="I98" i="28" a="1"/>
  <c r="I98" i="28" s="1"/>
  <c r="I89" i="28" a="1"/>
  <c r="I89" i="28" s="1"/>
  <c r="I78" i="28" a="1"/>
  <c r="I78" i="28" s="1"/>
  <c r="I67" i="28" a="1"/>
  <c r="I67" i="28" s="1"/>
  <c r="I56" i="28" a="1"/>
  <c r="I56" i="28" s="1"/>
  <c r="I35" i="28" a="1"/>
  <c r="I35" i="28" s="1"/>
  <c r="I22" i="28" a="1"/>
  <c r="I22" i="28" s="1"/>
  <c r="I114" i="28" a="1"/>
  <c r="I114" i="28" s="1"/>
  <c r="I20" i="28" a="1"/>
  <c r="I20" i="28" s="1"/>
  <c r="G97" i="28" a="1"/>
  <c r="G97" i="28" s="1"/>
  <c r="I145" i="28" a="1"/>
  <c r="I145" i="28" s="1"/>
  <c r="I105" i="28" a="1"/>
  <c r="I105" i="28" s="1"/>
  <c r="I96" i="28" a="1"/>
  <c r="I96" i="28" s="1"/>
  <c r="I76" i="28" a="1"/>
  <c r="I76" i="28" s="1"/>
  <c r="I64" i="28" a="1"/>
  <c r="I64" i="28" s="1"/>
  <c r="I33" i="28" a="1"/>
  <c r="I33" i="28" s="1"/>
  <c r="I87" i="28" a="1"/>
  <c r="I87" i="28" s="1"/>
  <c r="I161" i="28" a="1"/>
  <c r="I161" i="28" s="1"/>
  <c r="I152" i="28" a="1"/>
  <c r="I152" i="28" s="1"/>
  <c r="I137" i="28" a="1"/>
  <c r="I137" i="28" s="1"/>
  <c r="I129" i="28" a="1"/>
  <c r="I129" i="28" s="1"/>
  <c r="I121" i="28" a="1"/>
  <c r="I121" i="28" s="1"/>
  <c r="I113" i="28" a="1"/>
  <c r="I113" i="28" s="1"/>
  <c r="I104" i="28" a="1"/>
  <c r="I104" i="28" s="1"/>
  <c r="I95" i="28" a="1"/>
  <c r="I95" i="28" s="1"/>
  <c r="I85" i="28" a="1"/>
  <c r="I85" i="28" s="1"/>
  <c r="I74" i="28" a="1"/>
  <c r="I74" i="28" s="1"/>
  <c r="I53" i="28" a="1"/>
  <c r="I53" i="28" s="1"/>
  <c r="I42" i="28" a="1"/>
  <c r="I42" i="28" s="1"/>
  <c r="I31" i="28" a="1"/>
  <c r="I31" i="28" s="1"/>
  <c r="I19" i="28" a="1"/>
  <c r="I19" i="28" s="1"/>
  <c r="I14" i="28" a="1"/>
  <c r="I14" i="28" s="1"/>
  <c r="I29" i="28" a="1"/>
  <c r="I29" i="28" s="1"/>
  <c r="I36" i="28" a="1"/>
  <c r="I36" i="28" s="1"/>
  <c r="I43" i="28" a="1"/>
  <c r="I43" i="28" s="1"/>
  <c r="I50" i="28" a="1"/>
  <c r="I50" i="28" s="1"/>
  <c r="I65" i="28" a="1"/>
  <c r="I65" i="28" s="1"/>
  <c r="I72" i="28" a="1"/>
  <c r="I72" i="28" s="1"/>
  <c r="I79" i="28" a="1"/>
  <c r="I79" i="28" s="1"/>
  <c r="I86" i="28" a="1"/>
  <c r="I86" i="28" s="1"/>
  <c r="I8" i="28" a="1"/>
  <c r="I8" i="28" s="1"/>
  <c r="I23" i="28" a="1"/>
  <c r="I23" i="28" s="1"/>
  <c r="I30" i="28" a="1"/>
  <c r="I30" i="28" s="1"/>
  <c r="I9" i="28" a="1"/>
  <c r="I9" i="28" s="1"/>
  <c r="I16" i="28" a="1"/>
  <c r="I16" i="28" s="1"/>
  <c r="I45" i="28" a="1"/>
  <c r="I45" i="28" s="1"/>
  <c r="I52" i="28" a="1"/>
  <c r="I52" i="28" s="1"/>
  <c r="I81" i="28" a="1"/>
  <c r="I81" i="28" s="1"/>
  <c r="I88" i="28" a="1"/>
  <c r="I88" i="28" s="1"/>
  <c r="I117" i="28" a="1"/>
  <c r="I117" i="28" s="1"/>
  <c r="I124" i="28" a="1"/>
  <c r="I124" i="28" s="1"/>
  <c r="I153" i="28" a="1"/>
  <c r="I153" i="28" s="1"/>
  <c r="I160" i="28" a="1"/>
  <c r="I160" i="28" s="1"/>
  <c r="I10" i="28" a="1"/>
  <c r="I10" i="28" s="1"/>
  <c r="I39" i="28" a="1"/>
  <c r="I39" i="28" s="1"/>
  <c r="I46" i="28" a="1"/>
  <c r="I46" i="28" s="1"/>
  <c r="I75" i="28" a="1"/>
  <c r="I75" i="28" s="1"/>
  <c r="I82" i="28" a="1"/>
  <c r="I82" i="28" s="1"/>
  <c r="I111" i="28" a="1"/>
  <c r="I111" i="28" s="1"/>
  <c r="I118" i="28" a="1"/>
  <c r="I118" i="28" s="1"/>
  <c r="I11" i="28" a="1"/>
  <c r="I11" i="28" s="1"/>
  <c r="I18" i="28" a="1"/>
  <c r="I18" i="28" s="1"/>
  <c r="I25" i="28" a="1"/>
  <c r="I25" i="28" s="1"/>
  <c r="I32" i="28" a="1"/>
  <c r="I32" i="28" s="1"/>
  <c r="I47" i="28" a="1"/>
  <c r="I47" i="28" s="1"/>
  <c r="I54" i="28" a="1"/>
  <c r="I54" i="28" s="1"/>
  <c r="I61" i="28" a="1"/>
  <c r="I61" i="28" s="1"/>
  <c r="I68" i="28" a="1"/>
  <c r="I68" i="28" s="1"/>
  <c r="I83" i="28" a="1"/>
  <c r="I83" i="28" s="1"/>
  <c r="I90" i="28" a="1"/>
  <c r="I90" i="28" s="1"/>
  <c r="I144" i="28" a="1"/>
  <c r="I144" i="28" s="1"/>
  <c r="I136" i="28" a="1"/>
  <c r="I136" i="28" s="1"/>
  <c r="I128" i="28" a="1"/>
  <c r="I128" i="28" s="1"/>
  <c r="I112" i="28" a="1"/>
  <c r="I112" i="28" s="1"/>
  <c r="I103" i="28" a="1"/>
  <c r="I103" i="28" s="1"/>
  <c r="I94" i="28" a="1"/>
  <c r="I94" i="28" s="1"/>
  <c r="I73" i="28" a="1"/>
  <c r="I73" i="28" s="1"/>
  <c r="I63" i="28" a="1"/>
  <c r="I63" i="28" s="1"/>
  <c r="I167" i="28" a="1"/>
  <c r="I167" i="28" s="1"/>
  <c r="I159" i="28" a="1"/>
  <c r="I159" i="28" s="1"/>
  <c r="I151" i="28" a="1"/>
  <c r="I151" i="28" s="1"/>
  <c r="I120" i="28" a="1"/>
  <c r="I120" i="28" s="1"/>
  <c r="I102" i="28" a="1"/>
  <c r="I102" i="28" s="1"/>
  <c r="I84" i="28" a="1"/>
  <c r="I84" i="28" s="1"/>
  <c r="I62" i="28" a="1"/>
  <c r="I62" i="28" s="1"/>
  <c r="I51" i="28" a="1"/>
  <c r="I51" i="28" s="1"/>
  <c r="I41" i="28" a="1"/>
  <c r="I41" i="28" s="1"/>
  <c r="I28" i="28" a="1"/>
  <c r="I28" i="28" s="1"/>
  <c r="I17" i="28" a="1"/>
  <c r="I17" i="28" s="1"/>
  <c r="I122" i="28" a="1"/>
  <c r="I122" i="28" s="1"/>
  <c r="I77" i="28" a="1"/>
  <c r="I77" i="28" s="1"/>
  <c r="I166" i="28" a="1"/>
  <c r="I166" i="28" s="1"/>
  <c r="I158" i="28" a="1"/>
  <c r="I158" i="28" s="1"/>
  <c r="I143" i="28" a="1"/>
  <c r="I143" i="28" s="1"/>
  <c r="I135" i="28" a="1"/>
  <c r="I135" i="28" s="1"/>
  <c r="I127" i="28" a="1"/>
  <c r="I127" i="28" s="1"/>
  <c r="I110" i="28" a="1"/>
  <c r="I110" i="28" s="1"/>
  <c r="I93" i="28" a="1"/>
  <c r="I93" i="28" s="1"/>
  <c r="I40" i="28" a="1"/>
  <c r="I40" i="28" s="1"/>
  <c r="I15" i="28" a="1"/>
  <c r="I15" i="28" s="1"/>
  <c r="I150" i="28" a="1"/>
  <c r="I150" i="28" s="1"/>
  <c r="I142" i="28" a="1"/>
  <c r="I142" i="28" s="1"/>
  <c r="I134" i="28" a="1"/>
  <c r="I134" i="28" s="1"/>
  <c r="I119" i="28" a="1"/>
  <c r="I119" i="28" s="1"/>
  <c r="I109" i="28" a="1"/>
  <c r="I109" i="28" s="1"/>
  <c r="I101" i="28" a="1"/>
  <c r="I101" i="28" s="1"/>
  <c r="I92" i="28" a="1"/>
  <c r="I92" i="28" s="1"/>
  <c r="I71" i="28" a="1"/>
  <c r="I71" i="28" s="1"/>
  <c r="I60" i="28" a="1"/>
  <c r="I60" i="28" s="1"/>
  <c r="I49" i="28" a="1"/>
  <c r="I49" i="28" s="1"/>
  <c r="I38" i="28" a="1"/>
  <c r="I38" i="28" s="1"/>
  <c r="I27" i="28" a="1"/>
  <c r="I27" i="28" s="1"/>
  <c r="I130" i="28" a="1"/>
  <c r="I130" i="28" s="1"/>
  <c r="I97" i="28" a="1"/>
  <c r="I97" i="28" s="1"/>
  <c r="G76" i="28" a="1"/>
  <c r="G76" i="28" s="1"/>
  <c r="I165" i="28" a="1"/>
  <c r="I165" i="28" s="1"/>
  <c r="I157" i="28" a="1"/>
  <c r="I157" i="28" s="1"/>
  <c r="I126" i="28" a="1"/>
  <c r="I126" i="28" s="1"/>
  <c r="I100" i="28" a="1"/>
  <c r="I100" i="28" s="1"/>
  <c r="I80" i="28" a="1"/>
  <c r="I80" i="28" s="1"/>
  <c r="I70" i="28" a="1"/>
  <c r="I70" i="28" s="1"/>
  <c r="I59" i="28" a="1"/>
  <c r="I59" i="28" s="1"/>
  <c r="I37" i="28" a="1"/>
  <c r="I37" i="28" s="1"/>
  <c r="I26" i="28" a="1"/>
  <c r="I26" i="28" s="1"/>
  <c r="I13" i="28" a="1"/>
  <c r="I13" i="28" s="1"/>
  <c r="I164" i="28" a="1"/>
  <c r="I164" i="28" s="1"/>
  <c r="I149" i="28" a="1"/>
  <c r="I149" i="28" s="1"/>
  <c r="I141" i="28" a="1"/>
  <c r="I141" i="28" s="1"/>
  <c r="I133" i="28" a="1"/>
  <c r="I133" i="28" s="1"/>
  <c r="I116" i="28" a="1"/>
  <c r="I116" i="28" s="1"/>
  <c r="I108" i="28" a="1"/>
  <c r="I108" i="28" s="1"/>
  <c r="I91" i="28" a="1"/>
  <c r="I91" i="28" s="1"/>
  <c r="I58" i="28" a="1"/>
  <c r="I58" i="28" s="1"/>
  <c r="I48" i="28" a="1"/>
  <c r="I48" i="28" s="1"/>
  <c r="I55" i="28" a="1"/>
  <c r="I55" i="28" s="1"/>
  <c r="I156" i="28" a="1"/>
  <c r="I156" i="28" s="1"/>
  <c r="I148" i="28" a="1"/>
  <c r="I148" i="28" s="1"/>
  <c r="I140" i="28" a="1"/>
  <c r="I140" i="28" s="1"/>
  <c r="I125" i="28" a="1"/>
  <c r="I125" i="28" s="1"/>
  <c r="I99" i="28" a="1"/>
  <c r="I99" i="28" s="1"/>
  <c r="I69" i="28" a="1"/>
  <c r="I69" i="28" s="1"/>
  <c r="I57" i="28" a="1"/>
  <c r="I57" i="28" s="1"/>
  <c r="I24" i="28" a="1"/>
  <c r="I24" i="28" s="1"/>
  <c r="I12" i="28" a="1"/>
  <c r="I12" i="28" s="1"/>
  <c r="CY20" i="1"/>
  <c r="CR20" i="1"/>
  <c r="CS20" i="1"/>
  <c r="BZ20" i="1"/>
  <c r="AS175" i="1" l="1"/>
  <c r="AY175" i="1" s="1"/>
  <c r="BW175" i="1" s="1"/>
  <c r="E120" i="34"/>
  <c r="Z120" i="34"/>
  <c r="AV163" i="1"/>
  <c r="AY163" i="1" s="1"/>
  <c r="BW163" i="1" s="1"/>
  <c r="AV162" i="1"/>
  <c r="AY162" i="1" s="1"/>
  <c r="BW162" i="1" s="1"/>
  <c r="D120" i="34"/>
  <c r="Y120" i="34"/>
  <c r="AL120" i="34"/>
  <c r="CZ164" i="1"/>
  <c r="AR166" i="1"/>
  <c r="AS167" i="1"/>
  <c r="AY167" i="1" s="1"/>
  <c r="BW167" i="1" s="1"/>
  <c r="AS170" i="1"/>
  <c r="AS176" i="1"/>
  <c r="AS171" i="1"/>
  <c r="AS174" i="1"/>
  <c r="AY174" i="1" s="1"/>
  <c r="BW174" i="1" s="1"/>
  <c r="AS168" i="1"/>
  <c r="AS177" i="1"/>
  <c r="AY177" i="1" s="1"/>
  <c r="BB177" i="1" s="1"/>
  <c r="BF177" i="1" s="1"/>
  <c r="AS172" i="1"/>
  <c r="AY172" i="1" s="1"/>
  <c r="BB172" i="1" s="1"/>
  <c r="BF172" i="1" s="1"/>
  <c r="AV178" i="1"/>
  <c r="AY178" i="1" s="1"/>
  <c r="BW178" i="1" s="1"/>
  <c r="Z118" i="34"/>
  <c r="E118" i="34"/>
  <c r="CW165" i="1"/>
  <c r="K118" i="34"/>
  <c r="D118" i="34"/>
  <c r="AL118" i="34"/>
  <c r="AS173" i="1"/>
  <c r="E119" i="34"/>
  <c r="Z119" i="34"/>
  <c r="AU179" i="1"/>
  <c r="AY179" i="1" s="1"/>
  <c r="AA119" i="34" s="1"/>
  <c r="Y119" i="34"/>
  <c r="D119" i="34"/>
  <c r="AL119" i="34"/>
  <c r="I3" i="28"/>
  <c r="CR165" i="1"/>
  <c r="CY165" i="1"/>
  <c r="AR165" i="1"/>
  <c r="CD165" i="1"/>
  <c r="BY165" i="1"/>
  <c r="DD165" i="1"/>
  <c r="CZ165" i="1"/>
  <c r="CS165" i="1"/>
  <c r="BZ165" i="1"/>
  <c r="BY20" i="1"/>
  <c r="CR166" i="1"/>
  <c r="CZ166" i="1"/>
  <c r="DD166" i="1"/>
  <c r="CY166" i="1"/>
  <c r="BZ166" i="1"/>
  <c r="BY166" i="1"/>
  <c r="CS166" i="1"/>
  <c r="CD166" i="1"/>
  <c r="CW166" i="1"/>
  <c r="Z58" i="28" a="1"/>
  <c r="Z58" i="28" s="1"/>
  <c r="Y7" i="28"/>
  <c r="BZ164" i="1"/>
  <c r="BY164" i="1"/>
  <c r="DD164" i="1"/>
  <c r="CD164" i="1"/>
  <c r="CR164" i="1"/>
  <c r="BB164" i="1"/>
  <c r="BF164" i="1" s="1"/>
  <c r="CS164" i="1"/>
  <c r="CW164" i="1"/>
  <c r="AS169" i="1"/>
  <c r="AU180" i="1"/>
  <c r="CY164" i="1"/>
  <c r="AC7" i="28"/>
  <c r="R7" i="28" a="1"/>
  <c r="R7" i="28" s="1"/>
  <c r="AF158" i="1"/>
  <c r="AJ158" i="1"/>
  <c r="AL158" i="1"/>
  <c r="AM158" i="1"/>
  <c r="BG158" i="1" s="1" a="1"/>
  <c r="BG158" i="1" s="1"/>
  <c r="AO158" i="1"/>
  <c r="AP158" i="1"/>
  <c r="AQ158" i="1"/>
  <c r="AR158" i="1"/>
  <c r="AS158" i="1"/>
  <c r="AT158" i="1"/>
  <c r="AF159" i="1"/>
  <c r="AJ159" i="1"/>
  <c r="AL159" i="1"/>
  <c r="AM159" i="1"/>
  <c r="BG159" i="1" s="1" a="1"/>
  <c r="BG159" i="1" s="1"/>
  <c r="AO159" i="1"/>
  <c r="AP159" i="1"/>
  <c r="AQ159" i="1"/>
  <c r="AR159" i="1"/>
  <c r="AS159" i="1"/>
  <c r="AT159" i="1"/>
  <c r="AF160" i="1"/>
  <c r="AJ160" i="1"/>
  <c r="AL160" i="1"/>
  <c r="CA160" i="1" s="1"/>
  <c r="AM160" i="1"/>
  <c r="BG160" i="1" s="1" a="1"/>
  <c r="BG160" i="1" s="1"/>
  <c r="AO160" i="1"/>
  <c r="AP160" i="1"/>
  <c r="AQ160" i="1"/>
  <c r="AS160" i="1"/>
  <c r="AT160" i="1"/>
  <c r="AU160" i="1"/>
  <c r="AF161" i="1"/>
  <c r="AK161" i="1"/>
  <c r="AL161" i="1"/>
  <c r="CB161" i="1" s="1"/>
  <c r="AM161" i="1"/>
  <c r="BG161" i="1" s="1" a="1"/>
  <c r="BG161" i="1" s="1"/>
  <c r="AO161" i="1"/>
  <c r="AP161" i="1"/>
  <c r="AQ161" i="1"/>
  <c r="AS161" i="1"/>
  <c r="AT161" i="1"/>
  <c r="AU161" i="1"/>
  <c r="AA17"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20" i="1"/>
  <c r="AN20" i="1" s="1"/>
  <c r="BB167" i="1" l="1"/>
  <c r="BF167" i="1" s="1"/>
  <c r="BB163" i="1"/>
  <c r="BF163" i="1" s="1"/>
  <c r="BH163" i="1" s="1"/>
  <c r="BI163" i="1" s="1"/>
  <c r="BJ163" i="1" s="1"/>
  <c r="BL163" i="1" s="1"/>
  <c r="BU163" i="1" s="1"/>
  <c r="BW177" i="1"/>
  <c r="BB162" i="1"/>
  <c r="BF162" i="1" s="1"/>
  <c r="BT162" i="1" s="1"/>
  <c r="BB175" i="1"/>
  <c r="BF175" i="1" s="1"/>
  <c r="BT175" i="1" s="1"/>
  <c r="BB174" i="1"/>
  <c r="BF174" i="1" s="1"/>
  <c r="BT174" i="1" s="1"/>
  <c r="BW179" i="1"/>
  <c r="BB179" i="1"/>
  <c r="BF179" i="1" s="1"/>
  <c r="I119" i="34" s="1"/>
  <c r="J119" i="34" s="1"/>
  <c r="BW172" i="1"/>
  <c r="AV161" i="1"/>
  <c r="BB178" i="1"/>
  <c r="BF178" i="1" s="1"/>
  <c r="BT178" i="1" s="1"/>
  <c r="F119" i="34"/>
  <c r="AY180" i="1"/>
  <c r="BW180" i="1" s="1"/>
  <c r="AY169" i="1"/>
  <c r="BB169" i="1" s="1"/>
  <c r="BF169" i="1" s="1"/>
  <c r="BH169" i="1" s="1"/>
  <c r="BI169" i="1" s="1"/>
  <c r="AY165" i="1"/>
  <c r="BB165" i="1" s="1"/>
  <c r="BF165" i="1" s="1"/>
  <c r="AY173" i="1"/>
  <c r="BB173" i="1" s="1"/>
  <c r="BF173" i="1" s="1"/>
  <c r="BH173" i="1" s="1"/>
  <c r="BI173" i="1" s="1"/>
  <c r="BJ173" i="1" s="1"/>
  <c r="BL173" i="1" s="1"/>
  <c r="BU173" i="1" s="1"/>
  <c r="AY168" i="1"/>
  <c r="BW168" i="1" s="1"/>
  <c r="AY171" i="1"/>
  <c r="BB171" i="1" s="1"/>
  <c r="BF171" i="1" s="1"/>
  <c r="BH171" i="1" s="1"/>
  <c r="AY176" i="1"/>
  <c r="BB176" i="1" s="1"/>
  <c r="BF176" i="1" s="1"/>
  <c r="BH176" i="1" s="1"/>
  <c r="BI176" i="1" s="1"/>
  <c r="AY170" i="1"/>
  <c r="BB170" i="1" s="1"/>
  <c r="BF170" i="1" s="1"/>
  <c r="BT170" i="1" s="1"/>
  <c r="AY166" i="1"/>
  <c r="BB166" i="1" s="1"/>
  <c r="BF166" i="1" s="1"/>
  <c r="BH166" i="1" s="1"/>
  <c r="BI166" i="1" s="1"/>
  <c r="BJ166" i="1" s="1"/>
  <c r="BK166" i="1" s="1"/>
  <c r="BV166" i="1" s="1"/>
  <c r="BC161" i="1"/>
  <c r="AG161" i="1"/>
  <c r="AH161" i="1" s="1"/>
  <c r="AN161" i="1" s="1"/>
  <c r="BD161" i="1"/>
  <c r="AG160" i="1"/>
  <c r="AH160" i="1" s="1"/>
  <c r="AN160" i="1" s="1"/>
  <c r="BD160" i="1"/>
  <c r="BC159" i="1"/>
  <c r="AG159" i="1"/>
  <c r="AH159" i="1" s="1"/>
  <c r="AN159" i="1" s="1"/>
  <c r="BD159" i="1"/>
  <c r="BC158" i="1"/>
  <c r="AG158" i="1"/>
  <c r="AH158" i="1" s="1"/>
  <c r="AN158" i="1" s="1"/>
  <c r="BD158" i="1"/>
  <c r="AF119" i="34"/>
  <c r="AM119" i="34" s="1"/>
  <c r="AD119" i="34"/>
  <c r="AC1" i="28"/>
  <c r="AA7" i="28"/>
  <c r="AK160" i="1"/>
  <c r="AV160" i="1" s="1"/>
  <c r="AK158" i="1"/>
  <c r="AK159" i="1"/>
  <c r="AV159" i="1" s="1"/>
  <c r="P7" i="28"/>
  <c r="Z7" i="28"/>
  <c r="CY161" i="1"/>
  <c r="BT177" i="1"/>
  <c r="BH177" i="1"/>
  <c r="BI177" i="1" s="1"/>
  <c r="BT167" i="1"/>
  <c r="BH167" i="1"/>
  <c r="BI167" i="1" s="1"/>
  <c r="BH172" i="1"/>
  <c r="BI172" i="1" s="1"/>
  <c r="BT172" i="1"/>
  <c r="BT164" i="1"/>
  <c r="BH164" i="1"/>
  <c r="DD158" i="1"/>
  <c r="CB160" i="1"/>
  <c r="CT161" i="1"/>
  <c r="CR158" i="1"/>
  <c r="CA161" i="1"/>
  <c r="CD158" i="1"/>
  <c r="CW161" i="1"/>
  <c r="DA161" i="1"/>
  <c r="CU161" i="1"/>
  <c r="DD159" i="1"/>
  <c r="CR160" i="1"/>
  <c r="CR159" i="1"/>
  <c r="CS160" i="1"/>
  <c r="AR161" i="1"/>
  <c r="DA159" i="1"/>
  <c r="CT158" i="1"/>
  <c r="BY161" i="1"/>
  <c r="CW160" i="1"/>
  <c r="CY160" i="1"/>
  <c r="CU160" i="1"/>
  <c r="CZ161" i="1"/>
  <c r="CT160" i="1"/>
  <c r="CU159" i="1"/>
  <c r="AZ160" i="1"/>
  <c r="CT159" i="1"/>
  <c r="CS161" i="1"/>
  <c r="CS159" i="1"/>
  <c r="CR161" i="1"/>
  <c r="CS158" i="1"/>
  <c r="CD161" i="1"/>
  <c r="BZ161" i="1"/>
  <c r="AZ161" i="1"/>
  <c r="AR160" i="1"/>
  <c r="AZ158" i="1"/>
  <c r="BC160" i="1"/>
  <c r="AZ159" i="1"/>
  <c r="DA158" i="1"/>
  <c r="CA158" i="1"/>
  <c r="DD160" i="1"/>
  <c r="CD160" i="1"/>
  <c r="DB159" i="1"/>
  <c r="CB159" i="1"/>
  <c r="CZ158" i="1"/>
  <c r="BZ158" i="1"/>
  <c r="AU158" i="1"/>
  <c r="CA159" i="1"/>
  <c r="CY158" i="1"/>
  <c r="BY158" i="1"/>
  <c r="DD161" i="1"/>
  <c r="DB160" i="1"/>
  <c r="CZ159" i="1"/>
  <c r="BZ159" i="1"/>
  <c r="AU159" i="1"/>
  <c r="CW158" i="1"/>
  <c r="DA160" i="1"/>
  <c r="CY159" i="1"/>
  <c r="BY159" i="1"/>
  <c r="DB161" i="1"/>
  <c r="CZ160" i="1"/>
  <c r="BZ160" i="1"/>
  <c r="CW159" i="1"/>
  <c r="CU158" i="1"/>
  <c r="DB158" i="1"/>
  <c r="CB158" i="1"/>
  <c r="BT163" i="1" l="1"/>
  <c r="BH178" i="1"/>
  <c r="BI178" i="1" s="1"/>
  <c r="BJ178" i="1" s="1"/>
  <c r="BL178" i="1" s="1"/>
  <c r="BU178" i="1" s="1"/>
  <c r="BH179" i="1"/>
  <c r="BI179" i="1" s="1"/>
  <c r="BJ179" i="1" s="1"/>
  <c r="BK179" i="1" s="1"/>
  <c r="BT179" i="1"/>
  <c r="BH174" i="1"/>
  <c r="BI174" i="1" s="1"/>
  <c r="BJ174" i="1" s="1"/>
  <c r="BK174" i="1" s="1"/>
  <c r="BV174" i="1" s="1"/>
  <c r="BH175" i="1"/>
  <c r="BI175" i="1" s="1"/>
  <c r="BJ175" i="1" s="1"/>
  <c r="BK175" i="1" s="1"/>
  <c r="BV175" i="1" s="1"/>
  <c r="BH162" i="1"/>
  <c r="BI162" i="1" s="1"/>
  <c r="BJ162" i="1" s="1"/>
  <c r="BL162" i="1" s="1"/>
  <c r="BU162" i="1" s="1"/>
  <c r="BT176" i="1"/>
  <c r="BW169" i="1"/>
  <c r="AY161" i="1"/>
  <c r="BW161" i="1" s="1"/>
  <c r="BI171" i="1"/>
  <c r="BJ171" i="1" s="1"/>
  <c r="BK171" i="1" s="1"/>
  <c r="BV171" i="1" s="1"/>
  <c r="BW176" i="1"/>
  <c r="BH170" i="1"/>
  <c r="BI170" i="1" s="1"/>
  <c r="BJ170" i="1" s="1"/>
  <c r="BL170" i="1" s="1"/>
  <c r="BU170" i="1" s="1"/>
  <c r="AY159" i="1"/>
  <c r="BB159" i="1" s="1"/>
  <c r="BF159" i="1" s="1"/>
  <c r="I118" i="34"/>
  <c r="J118" i="34" s="1"/>
  <c r="BH165" i="1"/>
  <c r="N118" i="34" s="1"/>
  <c r="BT165" i="1"/>
  <c r="BT173" i="1"/>
  <c r="BW165" i="1"/>
  <c r="BW170" i="1"/>
  <c r="AV158" i="1"/>
  <c r="AY158" i="1" s="1"/>
  <c r="BW171" i="1"/>
  <c r="BW173" i="1"/>
  <c r="F118" i="34"/>
  <c r="L118" i="34"/>
  <c r="BT166" i="1"/>
  <c r="BT171" i="1"/>
  <c r="BW166" i="1"/>
  <c r="F120" i="34"/>
  <c r="AA120" i="34"/>
  <c r="BB180" i="1"/>
  <c r="BF180" i="1" s="1"/>
  <c r="I120" i="34" s="1"/>
  <c r="J120" i="34" s="1"/>
  <c r="BB168" i="1"/>
  <c r="BF168" i="1" s="1"/>
  <c r="AY160" i="1"/>
  <c r="BB160" i="1" s="1"/>
  <c r="BF160" i="1" s="1"/>
  <c r="CD159" i="1"/>
  <c r="BY160" i="1"/>
  <c r="BK163" i="1"/>
  <c r="BV163" i="1" s="1"/>
  <c r="BT169" i="1"/>
  <c r="BL166" i="1"/>
  <c r="BU166" i="1" s="1"/>
  <c r="BK173" i="1"/>
  <c r="BV173" i="1" s="1"/>
  <c r="BJ172" i="1"/>
  <c r="BL172" i="1" s="1"/>
  <c r="BU172" i="1" s="1"/>
  <c r="CV166" i="1"/>
  <c r="CC166" i="1"/>
  <c r="DC166" i="1"/>
  <c r="BI164" i="1"/>
  <c r="BJ177" i="1"/>
  <c r="BK177" i="1" s="1"/>
  <c r="BV177" i="1" s="1"/>
  <c r="BJ169" i="1"/>
  <c r="BK169" i="1" s="1"/>
  <c r="BV169" i="1" s="1"/>
  <c r="BJ176" i="1"/>
  <c r="BK176" i="1" s="1"/>
  <c r="BV176" i="1" s="1"/>
  <c r="BJ167" i="1"/>
  <c r="BK167" i="1" s="1"/>
  <c r="BK178" i="1" l="1"/>
  <c r="BV178" i="1" s="1"/>
  <c r="BB161" i="1"/>
  <c r="BF161" i="1" s="1"/>
  <c r="BH161" i="1" s="1"/>
  <c r="BK170" i="1"/>
  <c r="BV170" i="1" s="1"/>
  <c r="BW159" i="1"/>
  <c r="BK162" i="1"/>
  <c r="BV162" i="1" s="1"/>
  <c r="BI165" i="1"/>
  <c r="BJ165" i="1" s="1"/>
  <c r="BT180" i="1"/>
  <c r="BH180" i="1"/>
  <c r="BI180" i="1" s="1"/>
  <c r="BJ180" i="1" s="1"/>
  <c r="BK180" i="1" s="1"/>
  <c r="BW160" i="1"/>
  <c r="BB158" i="1"/>
  <c r="BF158" i="1" s="1"/>
  <c r="BT158" i="1" s="1"/>
  <c r="BW158" i="1"/>
  <c r="AD120" i="34"/>
  <c r="AF120" i="34"/>
  <c r="AM120" i="34" s="1"/>
  <c r="BT168" i="1"/>
  <c r="BH168" i="1"/>
  <c r="O118" i="34"/>
  <c r="P118" i="34" s="1"/>
  <c r="Q118" i="34" s="1"/>
  <c r="BL169" i="1"/>
  <c r="BU169" i="1" s="1"/>
  <c r="BL179" i="1"/>
  <c r="BU179" i="1" s="1"/>
  <c r="BL175" i="1"/>
  <c r="BU175" i="1" s="1"/>
  <c r="BK172" i="1"/>
  <c r="BV172" i="1" s="1"/>
  <c r="BL176" i="1"/>
  <c r="BU176" i="1" s="1"/>
  <c r="BV179" i="1"/>
  <c r="BV167" i="1"/>
  <c r="BL167" i="1"/>
  <c r="BL171" i="1"/>
  <c r="BU171" i="1" s="1"/>
  <c r="BL174" i="1"/>
  <c r="BU174" i="1" s="1"/>
  <c r="BL177" i="1"/>
  <c r="BU177" i="1" s="1"/>
  <c r="BJ164" i="1"/>
  <c r="BL164" i="1" s="1"/>
  <c r="BT160" i="1"/>
  <c r="BH160" i="1"/>
  <c r="BI160" i="1" s="1"/>
  <c r="BH159" i="1"/>
  <c r="BI159" i="1" s="1"/>
  <c r="BT159" i="1"/>
  <c r="BT161" i="1" l="1"/>
  <c r="BI161" i="1"/>
  <c r="BJ161" i="1" s="1"/>
  <c r="BK161" i="1" s="1"/>
  <c r="BV161" i="1" s="1"/>
  <c r="BH158" i="1"/>
  <c r="BI158" i="1" s="1"/>
  <c r="BJ158" i="1" s="1"/>
  <c r="BI168" i="1"/>
  <c r="BJ168" i="1" s="1"/>
  <c r="BL168" i="1" s="1"/>
  <c r="BU168" i="1" s="1"/>
  <c r="AK118" i="34"/>
  <c r="AM118" i="34" s="1"/>
  <c r="BV180" i="1"/>
  <c r="BU167" i="1"/>
  <c r="BU164" i="1"/>
  <c r="DC164" i="1"/>
  <c r="CC164" i="1"/>
  <c r="CV164" i="1"/>
  <c r="BK164" i="1"/>
  <c r="CC165" i="1"/>
  <c r="CV165" i="1"/>
  <c r="DC165" i="1"/>
  <c r="BK165" i="1"/>
  <c r="BL165" i="1"/>
  <c r="BL180" i="1"/>
  <c r="BJ159" i="1"/>
  <c r="BL159" i="1" s="1"/>
  <c r="BU159" i="1" s="1"/>
  <c r="BJ160" i="1"/>
  <c r="BL160" i="1" s="1"/>
  <c r="BU160" i="1" s="1"/>
  <c r="DC161" i="1"/>
  <c r="CC161" i="1"/>
  <c r="CV161" i="1"/>
  <c r="BL161" i="1" l="1"/>
  <c r="BU161" i="1" s="1"/>
  <c r="BK168" i="1"/>
  <c r="BV168" i="1" s="1"/>
  <c r="BV164" i="1"/>
  <c r="BV165" i="1"/>
  <c r="BU180" i="1"/>
  <c r="BU165" i="1"/>
  <c r="DC158" i="1"/>
  <c r="CC158" i="1"/>
  <c r="CV158" i="1"/>
  <c r="BK158" i="1"/>
  <c r="BL158" i="1"/>
  <c r="BU158" i="1" s="1"/>
  <c r="CV160" i="1"/>
  <c r="CC160" i="1"/>
  <c r="DC160" i="1"/>
  <c r="DC159" i="1"/>
  <c r="CV159" i="1"/>
  <c r="CC159" i="1"/>
  <c r="BK159" i="1"/>
  <c r="BK160" i="1"/>
  <c r="BV159" i="1" l="1"/>
  <c r="BV158" i="1"/>
  <c r="BV160" i="1"/>
  <c r="G13" i="24" l="1"/>
  <c r="G12" i="24"/>
  <c r="G11" i="24"/>
  <c r="G10" i="24"/>
  <c r="J13" i="23"/>
  <c r="I13" i="23"/>
  <c r="J12" i="23"/>
  <c r="I12" i="23"/>
  <c r="J11" i="23"/>
  <c r="I11" i="23"/>
  <c r="J10" i="23"/>
  <c r="I10" i="23"/>
  <c r="J13" i="24"/>
  <c r="I13" i="24"/>
  <c r="J12" i="24"/>
  <c r="I12" i="24"/>
  <c r="J11" i="24"/>
  <c r="I11" i="24"/>
  <c r="J10" i="24"/>
  <c r="I10" i="24"/>
  <c r="J13" i="22"/>
  <c r="I13" i="22"/>
  <c r="J12" i="22"/>
  <c r="I12" i="22"/>
  <c r="J11" i="22"/>
  <c r="I11" i="22"/>
  <c r="J10" i="22"/>
  <c r="I10" i="22"/>
  <c r="J13" i="21"/>
  <c r="I13" i="21"/>
  <c r="J12" i="21"/>
  <c r="I12" i="21"/>
  <c r="J11" i="21"/>
  <c r="I11" i="21"/>
  <c r="J10" i="21"/>
  <c r="I10" i="21"/>
  <c r="J13" i="20"/>
  <c r="I13" i="20"/>
  <c r="J12" i="20"/>
  <c r="I12" i="20"/>
  <c r="J11" i="20"/>
  <c r="I11" i="20"/>
  <c r="J10" i="20"/>
  <c r="I10" i="20"/>
  <c r="R32" i="28" l="1" a="1"/>
  <c r="R32" i="28" s="1"/>
  <c r="R129" i="28" a="1"/>
  <c r="R129" i="28" s="1"/>
  <c r="R134" i="28" a="1"/>
  <c r="R134" i="28" s="1"/>
  <c r="R105" i="28" a="1"/>
  <c r="R105" i="28" s="1"/>
  <c r="R147" i="28" a="1"/>
  <c r="R147" i="28" s="1"/>
  <c r="R76" i="28" a="1"/>
  <c r="R76" i="28" s="1"/>
  <c r="R132" i="28" a="1"/>
  <c r="R132" i="28" s="1"/>
  <c r="R158" i="28" a="1"/>
  <c r="R158" i="28" s="1"/>
  <c r="R72" i="28" a="1"/>
  <c r="R72" i="28" s="1"/>
  <c r="R164" i="28" a="1"/>
  <c r="R164" i="28" s="1"/>
  <c r="R19" i="28" a="1"/>
  <c r="R19" i="28" s="1"/>
  <c r="R96" i="28" a="1"/>
  <c r="R96" i="28" s="1"/>
  <c r="R131" i="28" a="1"/>
  <c r="R131" i="28" s="1"/>
  <c r="R159" i="28" a="1"/>
  <c r="R159" i="28" s="1"/>
  <c r="R28" i="28" a="1"/>
  <c r="R28" i="28" s="1"/>
  <c r="R156" i="28" a="1"/>
  <c r="R156" i="28" s="1"/>
  <c r="R113" i="28" a="1"/>
  <c r="R113" i="28" s="1"/>
  <c r="R17" i="28" a="1"/>
  <c r="R17" i="28" s="1"/>
  <c r="R24" i="28" a="1"/>
  <c r="R24" i="28" s="1"/>
  <c r="R93" i="28" a="1"/>
  <c r="R93" i="28" s="1"/>
  <c r="R136" i="28" a="1"/>
  <c r="R136" i="28" s="1"/>
  <c r="R157" i="28" a="1"/>
  <c r="R157" i="28" s="1"/>
  <c r="R122" i="28" a="1"/>
  <c r="R122" i="28" s="1"/>
  <c r="R26" i="28" a="1"/>
  <c r="R26" i="28" s="1"/>
  <c r="R69" i="28" a="1"/>
  <c r="R69" i="28" s="1"/>
  <c r="R78" i="28" a="1"/>
  <c r="R78" i="28" s="1"/>
  <c r="R106" i="28" a="1"/>
  <c r="R106" i="28" s="1"/>
  <c r="R146" i="28" a="1"/>
  <c r="R146" i="28" s="1"/>
  <c r="R167" i="28" a="1"/>
  <c r="R167" i="28" s="1"/>
  <c r="R170" i="28" a="1"/>
  <c r="R170" i="28" s="1"/>
  <c r="R112" i="28" a="1"/>
  <c r="R112" i="28" s="1"/>
  <c r="R34" i="28" a="1"/>
  <c r="R34" i="28" s="1"/>
  <c r="R97" i="28" a="1"/>
  <c r="R97" i="28" s="1"/>
  <c r="R53" i="28" a="1"/>
  <c r="R53" i="28" s="1"/>
  <c r="R70" i="28" a="1"/>
  <c r="R70" i="28" s="1"/>
  <c r="R121" i="28" a="1"/>
  <c r="R121" i="28" s="1"/>
  <c r="R36" i="28" a="1"/>
  <c r="R36" i="28" s="1"/>
  <c r="R80" i="28" a="1"/>
  <c r="R80" i="28" s="1"/>
  <c r="R94" i="28" a="1"/>
  <c r="R94" i="28" s="1"/>
  <c r="R151" i="28" a="1"/>
  <c r="R151" i="28" s="1"/>
  <c r="R130" i="28" a="1"/>
  <c r="R130" i="28" s="1"/>
  <c r="R8" i="28" a="1"/>
  <c r="R8" i="28" s="1"/>
  <c r="R49" i="28" a="1"/>
  <c r="R49" i="28" s="1"/>
  <c r="R82" i="28" a="1"/>
  <c r="R82" i="28" s="1"/>
  <c r="R103" i="28" a="1"/>
  <c r="R103" i="28" s="1"/>
  <c r="R142" i="28" a="1"/>
  <c r="R142" i="28" s="1"/>
  <c r="R110" i="28" a="1"/>
  <c r="R110" i="28" s="1"/>
  <c r="R90" i="28" a="1"/>
  <c r="R90" i="28" s="1"/>
  <c r="R143" i="28" a="1"/>
  <c r="R143" i="28" s="1"/>
  <c r="R149" i="28" a="1"/>
  <c r="R149" i="28" s="1"/>
  <c r="R12" i="28" a="1"/>
  <c r="R12" i="28" s="1"/>
  <c r="R38" i="28" a="1"/>
  <c r="R38" i="28" s="1"/>
  <c r="R125" i="28" a="1"/>
  <c r="R125" i="28" s="1"/>
  <c r="R124" i="28" a="1"/>
  <c r="R124" i="28" s="1"/>
  <c r="R161" i="28" a="1"/>
  <c r="R161" i="28" s="1"/>
  <c r="R115" i="28" a="1"/>
  <c r="R115" i="28" s="1"/>
  <c r="R114" i="28" a="1"/>
  <c r="R114" i="28" s="1"/>
  <c r="R33" i="28" a="1"/>
  <c r="R33" i="28" s="1"/>
  <c r="R123" i="28" a="1"/>
  <c r="R123" i="28" s="1"/>
  <c r="R47" i="28" a="1"/>
  <c r="R47" i="28" s="1"/>
  <c r="R51" i="28" a="1"/>
  <c r="R51" i="28" s="1"/>
  <c r="R61" i="28" a="1"/>
  <c r="R61" i="28" s="1"/>
  <c r="R79" i="28" a="1"/>
  <c r="R79" i="28" s="1"/>
  <c r="R102" i="28" a="1"/>
  <c r="R102" i="28" s="1"/>
  <c r="R133" i="28" a="1"/>
  <c r="R133" i="28" s="1"/>
  <c r="R145" i="28" a="1"/>
  <c r="R145" i="28" s="1"/>
  <c r="R168" i="28" a="1"/>
  <c r="R168" i="28" s="1"/>
  <c r="R118" i="28" a="1"/>
  <c r="R118" i="28" s="1"/>
  <c r="R20" i="28" a="1"/>
  <c r="R20" i="28" s="1"/>
  <c r="R9" i="28" a="1"/>
  <c r="R9" i="28" s="1"/>
  <c r="R27" i="28" a="1"/>
  <c r="R27" i="28" s="1"/>
  <c r="R44" i="28" a="1"/>
  <c r="R44" i="28" s="1"/>
  <c r="R50" i="28" a="1"/>
  <c r="R50" i="28" s="1"/>
  <c r="R62" i="28" a="1"/>
  <c r="R62" i="28" s="1"/>
  <c r="R64" i="28" a="1"/>
  <c r="R64" i="28" s="1"/>
  <c r="R73" i="28" a="1"/>
  <c r="R73" i="28" s="1"/>
  <c r="R83" i="28" a="1"/>
  <c r="R83" i="28" s="1"/>
  <c r="R81" i="28" a="1"/>
  <c r="R81" i="28" s="1"/>
  <c r="R92" i="28" a="1"/>
  <c r="R92" i="28" s="1"/>
  <c r="R144" i="28" a="1"/>
  <c r="R144" i="28" s="1"/>
  <c r="R148" i="28" a="1"/>
  <c r="R148" i="28" s="1"/>
  <c r="R163" i="28" a="1"/>
  <c r="R163" i="28" s="1"/>
  <c r="R160" i="28" a="1"/>
  <c r="R160" i="28" s="1"/>
  <c r="R107" i="28" a="1"/>
  <c r="R107" i="28" s="1"/>
  <c r="R116" i="28" a="1"/>
  <c r="R116" i="28" s="1"/>
  <c r="R15" i="28" a="1"/>
  <c r="R15" i="28" s="1"/>
  <c r="R29" i="28" a="1"/>
  <c r="R29" i="28" s="1"/>
  <c r="R56" i="28" a="1"/>
  <c r="R56" i="28" s="1"/>
  <c r="R54" i="28" a="1"/>
  <c r="R54" i="28" s="1"/>
  <c r="R88" i="28" a="1"/>
  <c r="R88" i="28" s="1"/>
  <c r="R100" i="28" a="1"/>
  <c r="R100" i="28" s="1"/>
  <c r="R126" i="28" a="1"/>
  <c r="R126" i="28" s="1"/>
  <c r="R137" i="28" a="1"/>
  <c r="R137" i="28" s="1"/>
  <c r="R135" i="28" a="1"/>
  <c r="R135" i="28" s="1"/>
  <c r="R139" i="28" a="1"/>
  <c r="R139" i="28" s="1"/>
  <c r="R150" i="28" a="1"/>
  <c r="R150" i="28" s="1"/>
  <c r="R171" i="28" a="1"/>
  <c r="R171" i="28" s="1"/>
  <c r="R35" i="28" a="1"/>
  <c r="R35" i="28" s="1"/>
  <c r="R25" i="28" a="1"/>
  <c r="R25" i="28" s="1"/>
  <c r="R40" i="28" a="1"/>
  <c r="R40" i="28" s="1"/>
  <c r="R42" i="28" a="1"/>
  <c r="R42" i="28" s="1"/>
  <c r="R58" i="28" a="1"/>
  <c r="R58" i="28" s="1"/>
  <c r="R77" i="28" a="1"/>
  <c r="R77" i="28" s="1"/>
  <c r="R66" i="28" a="1"/>
  <c r="R66" i="28" s="1"/>
  <c r="R84" i="28" a="1"/>
  <c r="R84" i="28" s="1"/>
  <c r="R127" i="28" a="1"/>
  <c r="R127" i="28" s="1"/>
  <c r="R141" i="28" a="1"/>
  <c r="R141" i="28" s="1"/>
  <c r="R140" i="28" a="1"/>
  <c r="R140" i="28" s="1"/>
  <c r="R152" i="28" a="1"/>
  <c r="R152" i="28" s="1"/>
  <c r="R154" i="28" a="1"/>
  <c r="R154" i="28" s="1"/>
  <c r="R169" i="28" a="1"/>
  <c r="R169" i="28" s="1"/>
  <c r="R108" i="28" a="1"/>
  <c r="R108" i="28" s="1"/>
  <c r="R117" i="28" a="1"/>
  <c r="R117" i="28" s="1"/>
  <c r="R10" i="28" a="1"/>
  <c r="R10" i="28" s="1"/>
  <c r="R11" i="28" a="1"/>
  <c r="R11" i="28" s="1"/>
  <c r="R14" i="28" a="1"/>
  <c r="R14" i="28" s="1"/>
  <c r="R23" i="28" a="1"/>
  <c r="R23" i="28" s="1"/>
  <c r="R22" i="28" a="1"/>
  <c r="R22" i="28" s="1"/>
  <c r="R59" i="28" a="1"/>
  <c r="R59" i="28" s="1"/>
  <c r="R63" i="28" a="1"/>
  <c r="R63" i="28" s="1"/>
  <c r="R68" i="28" a="1"/>
  <c r="R68" i="28" s="1"/>
  <c r="R85" i="28" a="1"/>
  <c r="R85" i="28" s="1"/>
  <c r="R104" i="28" a="1"/>
  <c r="R104" i="28" s="1"/>
  <c r="R37" i="28" a="1"/>
  <c r="R37" i="28" s="1"/>
  <c r="R65" i="28" a="1"/>
  <c r="R65" i="28" s="1"/>
  <c r="R91" i="28" a="1"/>
  <c r="R91" i="28" s="1"/>
  <c r="R99" i="28" a="1"/>
  <c r="R99" i="28" s="1"/>
  <c r="R128" i="28" a="1"/>
  <c r="R128" i="28" s="1"/>
  <c r="R138" i="28" a="1"/>
  <c r="R138" i="28" s="1"/>
  <c r="R153" i="28" a="1"/>
  <c r="R153" i="28" s="1"/>
  <c r="R166" i="28" a="1"/>
  <c r="R166" i="28" s="1"/>
  <c r="R111" i="28" a="1"/>
  <c r="R111" i="28" s="1"/>
  <c r="R30" i="28" a="1"/>
  <c r="R30" i="28" s="1"/>
  <c r="R60" i="28" a="1"/>
  <c r="R60" i="28" s="1"/>
  <c r="R74" i="28" a="1"/>
  <c r="R74" i="28" s="1"/>
  <c r="R67" i="28" a="1"/>
  <c r="R67" i="28" s="1"/>
  <c r="R89" i="28" a="1"/>
  <c r="R89" i="28" s="1"/>
  <c r="R87" i="28" a="1"/>
  <c r="R87" i="28" s="1"/>
  <c r="R16" i="28" a="1"/>
  <c r="R16" i="28" s="1"/>
  <c r="R18" i="28" a="1"/>
  <c r="R18" i="28" s="1"/>
  <c r="R13" i="28" a="1"/>
  <c r="R13" i="28" s="1"/>
  <c r="R43" i="28" a="1"/>
  <c r="R43" i="28" s="1"/>
  <c r="R48" i="28" a="1"/>
  <c r="R48" i="28" s="1"/>
  <c r="R41" i="28" a="1"/>
  <c r="R41" i="28" s="1"/>
  <c r="R52" i="28" a="1"/>
  <c r="R52" i="28" s="1"/>
  <c r="R75" i="28" a="1"/>
  <c r="R75" i="28" s="1"/>
  <c r="R98" i="28" a="1"/>
  <c r="R98" i="28" s="1"/>
  <c r="R95" i="28" a="1"/>
  <c r="R95" i="28" s="1"/>
  <c r="R165" i="28" a="1"/>
  <c r="R165" i="28" s="1"/>
  <c r="R109" i="28" a="1"/>
  <c r="R109" i="28" s="1"/>
  <c r="R120" i="28" a="1"/>
  <c r="R120" i="28" s="1"/>
  <c r="R155" i="28" a="1"/>
  <c r="R155" i="28" s="1"/>
  <c r="R162" i="28" a="1"/>
  <c r="R162" i="28" s="1"/>
  <c r="R119" i="28" a="1"/>
  <c r="R119" i="28" s="1"/>
  <c r="R21" i="28" a="1"/>
  <c r="R21" i="28" s="1"/>
  <c r="R31" i="28" a="1"/>
  <c r="R31" i="28" s="1"/>
  <c r="R39" i="28" a="1"/>
  <c r="R39" i="28" s="1"/>
  <c r="R57" i="28" a="1"/>
  <c r="R57" i="28" s="1"/>
  <c r="R71" i="28" a="1"/>
  <c r="R71" i="28" s="1"/>
  <c r="R86" i="28" a="1"/>
  <c r="R86" i="28" s="1"/>
  <c r="R101" i="28" a="1"/>
  <c r="R101" i="28" s="1"/>
  <c r="R46" i="28" a="1"/>
  <c r="R46" i="28" s="1"/>
  <c r="C10" i="30" l="1"/>
  <c r="D199" i="30" l="1"/>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R55" i="28" l="1" a="1"/>
  <c r="R55" i="28" s="1"/>
  <c r="R45" i="28" a="1"/>
  <c r="R45" i="28" s="1"/>
  <c r="X47" i="28"/>
  <c r="X52" i="28"/>
  <c r="X51" i="28"/>
  <c r="X50" i="28"/>
  <c r="X49" i="28"/>
  <c r="X48" i="28"/>
  <c r="AT157" i="1"/>
  <c r="AR157" i="1"/>
  <c r="AQ157" i="1"/>
  <c r="AP157" i="1"/>
  <c r="AO157" i="1"/>
  <c r="AM157" i="1"/>
  <c r="BG157" i="1" s="1" a="1"/>
  <c r="BG157" i="1" s="1"/>
  <c r="AL157" i="1"/>
  <c r="AJ157" i="1"/>
  <c r="AF157" i="1"/>
  <c r="AF156" i="1"/>
  <c r="AJ156" i="1"/>
  <c r="AL156" i="1"/>
  <c r="AM156" i="1"/>
  <c r="BG156" i="1" s="1" a="1"/>
  <c r="BG156" i="1" s="1"/>
  <c r="AO156" i="1"/>
  <c r="AP156" i="1"/>
  <c r="AQ156" i="1"/>
  <c r="AS156" i="1"/>
  <c r="AT156" i="1"/>
  <c r="AF153" i="1"/>
  <c r="AJ153" i="1"/>
  <c r="AL153" i="1"/>
  <c r="AM153" i="1"/>
  <c r="BG153" i="1" s="1" a="1"/>
  <c r="BG153" i="1" s="1"/>
  <c r="AO153" i="1"/>
  <c r="AP153" i="1"/>
  <c r="AQ153" i="1"/>
  <c r="AS153" i="1"/>
  <c r="AT153" i="1"/>
  <c r="AV153" i="1"/>
  <c r="AF154" i="1"/>
  <c r="AJ154" i="1"/>
  <c r="AL154" i="1"/>
  <c r="AM154" i="1"/>
  <c r="BG154" i="1" s="1" a="1"/>
  <c r="BG154" i="1" s="1"/>
  <c r="AO154" i="1"/>
  <c r="AP154" i="1"/>
  <c r="AQ154" i="1"/>
  <c r="AS154" i="1"/>
  <c r="AT154" i="1"/>
  <c r="AF155" i="1"/>
  <c r="AJ155" i="1"/>
  <c r="AL155" i="1"/>
  <c r="AM155" i="1"/>
  <c r="BG155" i="1" s="1" a="1"/>
  <c r="BG155" i="1" s="1"/>
  <c r="AO155" i="1"/>
  <c r="AP155" i="1"/>
  <c r="AQ155" i="1"/>
  <c r="AS155" i="1"/>
  <c r="AT155" i="1"/>
  <c r="BC155" i="1" l="1"/>
  <c r="AG155" i="1"/>
  <c r="AH155" i="1" s="1"/>
  <c r="BD155" i="1"/>
  <c r="BC154" i="1"/>
  <c r="M117" i="34"/>
  <c r="G117" i="34"/>
  <c r="AG154" i="1"/>
  <c r="AH154" i="1" s="1"/>
  <c r="BD154" i="1"/>
  <c r="BC153" i="1"/>
  <c r="AG153" i="1"/>
  <c r="AH153" i="1" s="1"/>
  <c r="AN153" i="1" s="1"/>
  <c r="BD153" i="1"/>
  <c r="AG156" i="1"/>
  <c r="AH156" i="1" s="1"/>
  <c r="AN156" i="1" s="1"/>
  <c r="BD156" i="1"/>
  <c r="BE156" i="1" s="1"/>
  <c r="AG157" i="1"/>
  <c r="AH157" i="1" s="1"/>
  <c r="AN157" i="1" s="1"/>
  <c r="BD157" i="1"/>
  <c r="AK156" i="1"/>
  <c r="AV156" i="1" s="1"/>
  <c r="AK154" i="1"/>
  <c r="AV154" i="1" s="1"/>
  <c r="AK157" i="1"/>
  <c r="AK153" i="1"/>
  <c r="DD153" i="1" s="1"/>
  <c r="AK155" i="1"/>
  <c r="AV155" i="1" s="1"/>
  <c r="AZ157" i="1"/>
  <c r="AU154" i="1"/>
  <c r="AU157" i="1"/>
  <c r="BY157" i="1"/>
  <c r="CT155" i="1"/>
  <c r="CA155" i="1"/>
  <c r="CU155" i="1"/>
  <c r="DB155" i="1"/>
  <c r="DA155" i="1"/>
  <c r="CT154" i="1"/>
  <c r="CU154" i="1"/>
  <c r="DB154" i="1"/>
  <c r="DA154" i="1"/>
  <c r="CB153" i="1"/>
  <c r="CT153" i="1"/>
  <c r="CU153" i="1"/>
  <c r="DB153" i="1"/>
  <c r="DA153" i="1"/>
  <c r="CA156" i="1"/>
  <c r="CS156" i="1"/>
  <c r="CU156" i="1"/>
  <c r="DB156" i="1"/>
  <c r="CT156" i="1"/>
  <c r="DA156" i="1"/>
  <c r="CZ156" i="1"/>
  <c r="DD156" i="1"/>
  <c r="CY156" i="1"/>
  <c r="CW156" i="1"/>
  <c r="CR156" i="1"/>
  <c r="CR157" i="1"/>
  <c r="CW157" i="1"/>
  <c r="DD157" i="1"/>
  <c r="CY157" i="1"/>
  <c r="CT157" i="1"/>
  <c r="CS157" i="1"/>
  <c r="CU157" i="1"/>
  <c r="DB157" i="1"/>
  <c r="CZ157" i="1"/>
  <c r="DA157" i="1"/>
  <c r="CB156" i="1"/>
  <c r="AS157" i="1"/>
  <c r="BC157" i="1"/>
  <c r="BZ157" i="1"/>
  <c r="CA157" i="1"/>
  <c r="CB157" i="1"/>
  <c r="AR155" i="1"/>
  <c r="AZ156" i="1"/>
  <c r="CD156" i="1"/>
  <c r="AR156" i="1"/>
  <c r="BY156" i="1"/>
  <c r="BC156" i="1"/>
  <c r="BZ156" i="1"/>
  <c r="AZ153" i="1"/>
  <c r="CB155" i="1"/>
  <c r="AZ154" i="1"/>
  <c r="CA153" i="1"/>
  <c r="CB154" i="1"/>
  <c r="AZ155" i="1"/>
  <c r="CA154" i="1"/>
  <c r="BE153" i="1" l="1"/>
  <c r="BE154" i="1"/>
  <c r="BE157" i="1"/>
  <c r="BE155" i="1"/>
  <c r="AU155" i="1"/>
  <c r="AY155" i="1" s="1"/>
  <c r="AR153" i="1"/>
  <c r="CD157" i="1"/>
  <c r="Z117" i="34"/>
  <c r="E117" i="34"/>
  <c r="AR154" i="1"/>
  <c r="AY154" i="1" s="1"/>
  <c r="BB154" i="1" s="1"/>
  <c r="BF154" i="1" s="1"/>
  <c r="BT154" i="1" s="1"/>
  <c r="K117" i="34"/>
  <c r="D117" i="34"/>
  <c r="AU156" i="1"/>
  <c r="AY156" i="1" s="1"/>
  <c r="CR153" i="1"/>
  <c r="CS153" i="1"/>
  <c r="CW153" i="1"/>
  <c r="BZ153" i="1"/>
  <c r="CS154" i="1"/>
  <c r="BZ154" i="1"/>
  <c r="CZ155" i="1"/>
  <c r="CY154" i="1"/>
  <c r="DD154" i="1"/>
  <c r="CW155" i="1"/>
  <c r="CZ154" i="1"/>
  <c r="CR155" i="1"/>
  <c r="CD154" i="1"/>
  <c r="CW154" i="1"/>
  <c r="CY153" i="1"/>
  <c r="CD153" i="1"/>
  <c r="CS155" i="1"/>
  <c r="CR154" i="1"/>
  <c r="CD155" i="1"/>
  <c r="BZ155" i="1"/>
  <c r="CY155" i="1"/>
  <c r="BY155" i="1"/>
  <c r="DD155" i="1"/>
  <c r="AV157" i="1"/>
  <c r="AY157" i="1" s="1"/>
  <c r="BB157" i="1" s="1"/>
  <c r="BF157" i="1" s="1"/>
  <c r="BH157" i="1" s="1"/>
  <c r="CZ153" i="1"/>
  <c r="BY154" i="1"/>
  <c r="AU153" i="1"/>
  <c r="BY153" i="1"/>
  <c r="AL117" i="34" l="1"/>
  <c r="AY153" i="1"/>
  <c r="BW153" i="1" s="1"/>
  <c r="BW154" i="1"/>
  <c r="BB156" i="1"/>
  <c r="BF156" i="1" s="1"/>
  <c r="BH156" i="1" s="1"/>
  <c r="BW156" i="1"/>
  <c r="F117" i="34"/>
  <c r="BW155" i="1"/>
  <c r="BB155" i="1"/>
  <c r="BF155" i="1" s="1"/>
  <c r="BT155" i="1" s="1"/>
  <c r="L117" i="34"/>
  <c r="BH154" i="1"/>
  <c r="BW157" i="1"/>
  <c r="BT157" i="1"/>
  <c r="BI157" i="1"/>
  <c r="BJ157" i="1" s="1"/>
  <c r="BB153" i="1" l="1"/>
  <c r="BF153" i="1" s="1"/>
  <c r="I117" i="34"/>
  <c r="J117" i="34" s="1"/>
  <c r="BI156" i="1"/>
  <c r="BJ156" i="1" s="1"/>
  <c r="BH155" i="1"/>
  <c r="BI155" i="1" s="1"/>
  <c r="BJ155" i="1" s="1"/>
  <c r="BT156" i="1"/>
  <c r="BI154" i="1"/>
  <c r="BJ154" i="1" s="1"/>
  <c r="BK154" i="1" s="1"/>
  <c r="BV154" i="1" s="1"/>
  <c r="CC157" i="1"/>
  <c r="DC157" i="1"/>
  <c r="CV157" i="1"/>
  <c r="BK157" i="1"/>
  <c r="BL157" i="1"/>
  <c r="BH153" i="1" l="1"/>
  <c r="BT153" i="1"/>
  <c r="N117" i="34"/>
  <c r="O117" i="34" s="1"/>
  <c r="P117" i="34" s="1"/>
  <c r="Q117" i="34" s="1"/>
  <c r="CV154" i="1"/>
  <c r="CC154" i="1"/>
  <c r="BL154" i="1"/>
  <c r="BU154" i="1" s="1"/>
  <c r="DC154" i="1"/>
  <c r="BU157" i="1"/>
  <c r="BL156" i="1"/>
  <c r="BU156" i="1" s="1"/>
  <c r="DC156" i="1"/>
  <c r="CV156" i="1"/>
  <c r="CV155" i="1"/>
  <c r="DC155" i="1"/>
  <c r="BV157" i="1"/>
  <c r="BK155" i="1"/>
  <c r="BV155" i="1" s="1"/>
  <c r="CC155" i="1"/>
  <c r="CC156" i="1"/>
  <c r="BK156" i="1"/>
  <c r="BV156" i="1" s="1"/>
  <c r="BL155" i="1"/>
  <c r="BU155" i="1" s="1"/>
  <c r="BI153" i="1" l="1"/>
  <c r="AK117" i="34"/>
  <c r="AM117" i="34" s="1"/>
  <c r="AV152" i="1"/>
  <c r="AT152" i="1"/>
  <c r="AS152" i="1"/>
  <c r="AQ152" i="1"/>
  <c r="AP152" i="1"/>
  <c r="AO152" i="1"/>
  <c r="AM152" i="1"/>
  <c r="BG152" i="1" s="1" a="1"/>
  <c r="BG152" i="1" s="1"/>
  <c r="AL152" i="1"/>
  <c r="AJ152" i="1"/>
  <c r="AF152" i="1"/>
  <c r="BJ153" i="1" l="1"/>
  <c r="BL153" i="1" s="1"/>
  <c r="BU153" i="1" s="1"/>
  <c r="AG152" i="1"/>
  <c r="AH152" i="1" s="1"/>
  <c r="AN152" i="1" s="1"/>
  <c r="BD152" i="1"/>
  <c r="BE152" i="1" s="1"/>
  <c r="AK152" i="1"/>
  <c r="CW152" i="1" s="1"/>
  <c r="AR152" i="1"/>
  <c r="CB152" i="1"/>
  <c r="CT152" i="1"/>
  <c r="CU152" i="1"/>
  <c r="DB152" i="1"/>
  <c r="DA152" i="1"/>
  <c r="Y52" i="28" a="1"/>
  <c r="Y52" i="28" s="1"/>
  <c r="Y50" i="28" a="1"/>
  <c r="Y50" i="28" s="1"/>
  <c r="Y51" i="28" a="1"/>
  <c r="Y51" i="28" s="1"/>
  <c r="Y49" i="28" a="1"/>
  <c r="Y49" i="28" s="1"/>
  <c r="Y48" i="28" a="1"/>
  <c r="Y48" i="28" s="1"/>
  <c r="AZ152" i="1"/>
  <c r="CA152" i="1"/>
  <c r="BC152" i="1"/>
  <c r="H163" i="28" a="1"/>
  <c r="H163" i="28" s="1"/>
  <c r="P163" i="28" s="1"/>
  <c r="CC153" i="1" l="1"/>
  <c r="CV153" i="1"/>
  <c r="DC153" i="1"/>
  <c r="BK153" i="1"/>
  <c r="BV153" i="1" s="1"/>
  <c r="AU152" i="1"/>
  <c r="AY152" i="1" s="1"/>
  <c r="CZ152" i="1"/>
  <c r="CR152" i="1"/>
  <c r="CD152" i="1"/>
  <c r="CS152" i="1"/>
  <c r="BZ152" i="1"/>
  <c r="BY152" i="1"/>
  <c r="CY152" i="1"/>
  <c r="DD152" i="1"/>
  <c r="BB152" i="1" l="1"/>
  <c r="BF152" i="1" s="1"/>
  <c r="BH152" i="1" s="1"/>
  <c r="BI152" i="1" s="1"/>
  <c r="BJ152" i="1" s="1"/>
  <c r="BW152" i="1"/>
  <c r="BT152" i="1" l="1"/>
  <c r="CC152" i="1"/>
  <c r="DC152" i="1"/>
  <c r="CV152" i="1"/>
  <c r="BK152" i="1"/>
  <c r="BV152" i="1" s="1"/>
  <c r="BL152" i="1"/>
  <c r="BU152" i="1" s="1"/>
  <c r="AV22" i="1" l="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5" i="1"/>
  <c r="AV136" i="1"/>
  <c r="AV137" i="1"/>
  <c r="AV138" i="1"/>
  <c r="AV139" i="1"/>
  <c r="AV141" i="1"/>
  <c r="AV142" i="1"/>
  <c r="AV145" i="1"/>
  <c r="AV21" i="1"/>
  <c r="CV43" i="1" l="1"/>
  <c r="CR43" i="1"/>
  <c r="CW43" i="1"/>
  <c r="CR44" i="1"/>
  <c r="CV44" i="1"/>
  <c r="CW44" i="1"/>
  <c r="CV45" i="1"/>
  <c r="CW45" i="1"/>
  <c r="CR45" i="1"/>
  <c r="CW46" i="1"/>
  <c r="CR46" i="1"/>
  <c r="CV46" i="1"/>
  <c r="CR73" i="1"/>
  <c r="CV73" i="1"/>
  <c r="CW73" i="1"/>
  <c r="CR83" i="1"/>
  <c r="CV83" i="1"/>
  <c r="CW83" i="1"/>
  <c r="CR84" i="1"/>
  <c r="CV84" i="1"/>
  <c r="CW84" i="1"/>
  <c r="CV85" i="1"/>
  <c r="CW85" i="1"/>
  <c r="CR85" i="1"/>
  <c r="CW86" i="1"/>
  <c r="CV86" i="1"/>
  <c r="CR86" i="1"/>
  <c r="CV96" i="1"/>
  <c r="CW96" i="1"/>
  <c r="CR96" i="1"/>
  <c r="CW97" i="1"/>
  <c r="CV97" i="1"/>
  <c r="CR97" i="1"/>
  <c r="L66" i="6" a="1"/>
  <c r="L66" i="6" s="1"/>
  <c r="L67" i="6" a="1"/>
  <c r="L67" i="6" s="1"/>
  <c r="L68" i="6" a="1"/>
  <c r="L68" i="6" s="1"/>
  <c r="L69" i="6" a="1"/>
  <c r="L69" i="6" s="1"/>
  <c r="L70" i="6" a="1"/>
  <c r="L70" i="6" s="1"/>
  <c r="L71" i="6" a="1"/>
  <c r="L71" i="6" s="1"/>
  <c r="L72" i="6" a="1"/>
  <c r="L72" i="6" s="1"/>
  <c r="L75" i="6" a="1"/>
  <c r="L75" i="6" s="1"/>
  <c r="L80" i="6" a="1"/>
  <c r="L80" i="6" s="1"/>
  <c r="L81" i="6" a="1"/>
  <c r="L81" i="6" s="1"/>
  <c r="L82" i="6" a="1"/>
  <c r="L82" i="6" s="1"/>
  <c r="L83" i="6" a="1"/>
  <c r="L83" i="6" s="1"/>
  <c r="L84" i="6" a="1"/>
  <c r="L84" i="6" s="1"/>
  <c r="L86" i="6" a="1"/>
  <c r="L86" i="6" s="1"/>
  <c r="L88" i="6" a="1"/>
  <c r="L88" i="6" s="1"/>
  <c r="L89" i="6" a="1"/>
  <c r="L89" i="6" s="1"/>
  <c r="L93" i="6" a="1"/>
  <c r="L93" i="6" s="1"/>
  <c r="L94" i="6" a="1"/>
  <c r="L94" i="6" s="1"/>
  <c r="L95" i="6" a="1"/>
  <c r="L95" i="6" s="1"/>
  <c r="L96" i="6" a="1"/>
  <c r="L96" i="6" s="1"/>
  <c r="L97" i="6" a="1"/>
  <c r="L97" i="6" s="1"/>
  <c r="L98" i="6" a="1"/>
  <c r="L98" i="6" s="1"/>
  <c r="L99" i="6" a="1"/>
  <c r="L99" i="6" s="1"/>
  <c r="L100" i="6" a="1"/>
  <c r="L100" i="6" s="1"/>
  <c r="L101" i="6" a="1"/>
  <c r="L101" i="6" s="1"/>
  <c r="L104" i="6" a="1"/>
  <c r="L104" i="6" s="1"/>
  <c r="L109" i="6" a="1"/>
  <c r="L109" i="6" s="1"/>
  <c r="L110" i="6" a="1"/>
  <c r="L110" i="6" s="1"/>
  <c r="L111" i="6" a="1"/>
  <c r="L111" i="6" s="1"/>
  <c r="L112" i="6" a="1"/>
  <c r="L112" i="6" s="1"/>
  <c r="L113" i="6" a="1"/>
  <c r="L113" i="6" s="1"/>
  <c r="L115" i="6" a="1"/>
  <c r="L115" i="6" s="1"/>
  <c r="L116" i="6" a="1"/>
  <c r="L116" i="6" s="1"/>
  <c r="L117" i="6" a="1"/>
  <c r="L117" i="6" s="1"/>
  <c r="L118" i="6" a="1"/>
  <c r="L118" i="6" s="1"/>
  <c r="L123" i="6" a="1"/>
  <c r="L123" i="6" s="1"/>
  <c r="L124" i="6" a="1"/>
  <c r="L124" i="6" s="1"/>
  <c r="L125" i="6" a="1"/>
  <c r="L125" i="6" s="1"/>
  <c r="L126" i="6" a="1"/>
  <c r="L126" i="6" s="1"/>
  <c r="L127" i="6" a="1"/>
  <c r="L127" i="6" s="1"/>
  <c r="L128" i="6" a="1"/>
  <c r="L128" i="6" s="1"/>
  <c r="L129" i="6" a="1"/>
  <c r="L129" i="6" s="1"/>
  <c r="L130" i="6" a="1"/>
  <c r="L130" i="6" s="1"/>
  <c r="L133" i="6" a="1"/>
  <c r="L133" i="6" s="1"/>
  <c r="L138" i="6" a="1"/>
  <c r="L138" i="6" s="1"/>
  <c r="L139" i="6" a="1"/>
  <c r="L139" i="6" s="1"/>
  <c r="L140" i="6" a="1"/>
  <c r="L140" i="6" s="1"/>
  <c r="L141" i="6" a="1"/>
  <c r="L141" i="6" s="1"/>
  <c r="L142" i="6" a="1"/>
  <c r="L142" i="6" s="1"/>
  <c r="L144" i="6" a="1"/>
  <c r="L144" i="6" s="1"/>
  <c r="L147" i="6" a="1"/>
  <c r="L147" i="6" s="1"/>
  <c r="L151" i="6" a="1"/>
  <c r="L151" i="6" s="1"/>
  <c r="L152" i="6" a="1"/>
  <c r="L152" i="6" s="1"/>
  <c r="L153" i="6" a="1"/>
  <c r="L153" i="6" s="1"/>
  <c r="L154" i="6" a="1"/>
  <c r="L154" i="6" s="1"/>
  <c r="L155" i="6" a="1"/>
  <c r="L155" i="6" s="1"/>
  <c r="L156" i="6" a="1"/>
  <c r="L156" i="6" s="1"/>
  <c r="L157" i="6" a="1"/>
  <c r="L157" i="6" s="1"/>
  <c r="L158" i="6" a="1"/>
  <c r="L158" i="6" s="1"/>
  <c r="L159" i="6" a="1"/>
  <c r="L159" i="6" s="1"/>
  <c r="L162" i="6" a="1"/>
  <c r="L162" i="6" s="1"/>
  <c r="L167" i="6" a="1"/>
  <c r="L167" i="6" s="1"/>
  <c r="L168" i="6" a="1"/>
  <c r="L168" i="6" s="1"/>
  <c r="L169" i="6" a="1"/>
  <c r="L169" i="6" s="1"/>
  <c r="L170" i="6" a="1"/>
  <c r="L170" i="6" s="1"/>
  <c r="L171" i="6" a="1"/>
  <c r="L171" i="6" s="1"/>
  <c r="L173" i="6" a="1"/>
  <c r="L173" i="6" s="1"/>
  <c r="L175" i="6" a="1"/>
  <c r="L175" i="6" s="1"/>
  <c r="L176" i="6" a="1"/>
  <c r="L176" i="6" s="1"/>
  <c r="L181" i="6" a="1"/>
  <c r="L181" i="6" s="1"/>
  <c r="L182" i="6" a="1"/>
  <c r="L182" i="6" s="1"/>
  <c r="L183" i="6" a="1"/>
  <c r="L183" i="6" s="1"/>
  <c r="L184" i="6" a="1"/>
  <c r="L184" i="6" s="1"/>
  <c r="L185" i="6" a="1"/>
  <c r="L185" i="6" s="1"/>
  <c r="L186" i="6" a="1"/>
  <c r="L186" i="6" s="1"/>
  <c r="L187" i="6" a="1"/>
  <c r="L187" i="6" s="1"/>
  <c r="L188" i="6" a="1"/>
  <c r="L188" i="6" s="1"/>
  <c r="L191" i="6" a="1"/>
  <c r="L191" i="6" s="1"/>
  <c r="L196" i="6" a="1"/>
  <c r="L196" i="6" s="1"/>
  <c r="L197" i="6" a="1"/>
  <c r="L197" i="6" s="1"/>
  <c r="L198" i="6" a="1"/>
  <c r="L198" i="6" s="1"/>
  <c r="L199" i="6" a="1"/>
  <c r="L199" i="6" s="1"/>
  <c r="L200" i="6" a="1"/>
  <c r="L200" i="6" s="1"/>
  <c r="L202" i="6" a="1"/>
  <c r="L202" i="6" s="1"/>
  <c r="L204" i="6" a="1"/>
  <c r="L204" i="6" s="1"/>
  <c r="L205" i="6" a="1"/>
  <c r="L205" i="6" s="1"/>
  <c r="L209" i="6" a="1"/>
  <c r="L209" i="6" s="1"/>
  <c r="L210" i="6" a="1"/>
  <c r="L210" i="6" s="1"/>
  <c r="L211" i="6" a="1"/>
  <c r="L211" i="6" s="1"/>
  <c r="L212" i="6" a="1"/>
  <c r="L212" i="6" s="1"/>
  <c r="L213" i="6" a="1"/>
  <c r="L213" i="6" s="1"/>
  <c r="L214" i="6" a="1"/>
  <c r="L214" i="6" s="1"/>
  <c r="L215" i="6" a="1"/>
  <c r="L215" i="6" s="1"/>
  <c r="L216" i="6" a="1"/>
  <c r="L216" i="6" s="1"/>
  <c r="L217" i="6" a="1"/>
  <c r="L217" i="6" s="1"/>
  <c r="L220" i="6" a="1"/>
  <c r="L220" i="6" s="1"/>
  <c r="L225" i="6" a="1"/>
  <c r="L225" i="6" s="1"/>
  <c r="L226" i="6" a="1"/>
  <c r="L226" i="6" s="1"/>
  <c r="L227" i="6" a="1"/>
  <c r="L227" i="6" s="1"/>
  <c r="L228" i="6" a="1"/>
  <c r="L228" i="6" s="1"/>
  <c r="L229" i="6" a="1"/>
  <c r="L229" i="6" s="1"/>
  <c r="L231" i="6" a="1"/>
  <c r="L231" i="6" s="1"/>
  <c r="L232" i="6" a="1"/>
  <c r="L232" i="6" s="1"/>
  <c r="L233" i="6" a="1"/>
  <c r="L233" i="6" s="1"/>
  <c r="L234" i="6" a="1"/>
  <c r="L234" i="6" s="1"/>
  <c r="L239" i="6" a="1"/>
  <c r="L239" i="6" s="1"/>
  <c r="L240" i="6" a="1"/>
  <c r="L240" i="6" s="1"/>
  <c r="L241" i="6" a="1"/>
  <c r="L241" i="6" s="1"/>
  <c r="L242" i="6" a="1"/>
  <c r="L242" i="6" s="1"/>
  <c r="L243" i="6" a="1"/>
  <c r="L243" i="6" s="1"/>
  <c r="L244" i="6" a="1"/>
  <c r="L244" i="6" s="1"/>
  <c r="L245" i="6" a="1"/>
  <c r="L245" i="6" s="1"/>
  <c r="L246" i="6" a="1"/>
  <c r="L246" i="6" s="1"/>
  <c r="L249" i="6" a="1"/>
  <c r="L249" i="6" s="1"/>
  <c r="L254" i="6" a="1"/>
  <c r="L254" i="6" s="1"/>
  <c r="L255" i="6" a="1"/>
  <c r="L255" i="6" s="1"/>
  <c r="L256" i="6" a="1"/>
  <c r="L256" i="6" s="1"/>
  <c r="L257" i="6" a="1"/>
  <c r="L257" i="6" s="1"/>
  <c r="L258" i="6" a="1"/>
  <c r="L258" i="6" s="1"/>
  <c r="L260" i="6" a="1"/>
  <c r="L260" i="6" s="1"/>
  <c r="L262" i="6" a="1"/>
  <c r="L262" i="6" s="1"/>
  <c r="L263" i="6" a="1"/>
  <c r="L263" i="6" s="1"/>
  <c r="L267" i="6" a="1"/>
  <c r="L267" i="6" s="1"/>
  <c r="L268" i="6" a="1"/>
  <c r="L268" i="6" s="1"/>
  <c r="L269" i="6" a="1"/>
  <c r="L269" i="6" s="1"/>
  <c r="L270" i="6" a="1"/>
  <c r="L270" i="6" s="1"/>
  <c r="L271" i="6" a="1"/>
  <c r="L271" i="6" s="1"/>
  <c r="L272" i="6" a="1"/>
  <c r="L272" i="6" s="1"/>
  <c r="L273" i="6" a="1"/>
  <c r="L273" i="6" s="1"/>
  <c r="L274" i="6" a="1"/>
  <c r="L274" i="6" s="1"/>
  <c r="L275" i="6" a="1"/>
  <c r="L275" i="6" s="1"/>
  <c r="L278" i="6" a="1"/>
  <c r="L278" i="6" s="1"/>
  <c r="L283" i="6" a="1"/>
  <c r="L283" i="6" s="1"/>
  <c r="L284" i="6" a="1"/>
  <c r="L284" i="6" s="1"/>
  <c r="L285" i="6" a="1"/>
  <c r="L285" i="6" s="1"/>
  <c r="L286" i="6" a="1"/>
  <c r="L286" i="6" s="1"/>
  <c r="L287" i="6" a="1"/>
  <c r="L287" i="6" s="1"/>
  <c r="L289" i="6" a="1"/>
  <c r="L289" i="6" s="1"/>
  <c r="L291" i="6" a="1"/>
  <c r="L291" i="6" s="1"/>
  <c r="L292" i="6" a="1"/>
  <c r="L292" i="6" s="1"/>
  <c r="L297" i="6" a="1"/>
  <c r="L297" i="6" s="1"/>
  <c r="L298" i="6" a="1"/>
  <c r="L298" i="6" s="1"/>
  <c r="L299" i="6" a="1"/>
  <c r="L299" i="6" s="1"/>
  <c r="L300" i="6" a="1"/>
  <c r="L300" i="6" s="1"/>
  <c r="L301" i="6" a="1"/>
  <c r="L301" i="6" s="1"/>
  <c r="L302" i="6" a="1"/>
  <c r="L302" i="6" s="1"/>
  <c r="L303" i="6" a="1"/>
  <c r="L303" i="6" s="1"/>
  <c r="L304" i="6" a="1"/>
  <c r="L304" i="6" s="1"/>
  <c r="L307" i="6" a="1"/>
  <c r="L307" i="6" s="1"/>
  <c r="L312" i="6" a="1"/>
  <c r="L312" i="6" s="1"/>
  <c r="L313" i="6" a="1"/>
  <c r="L313" i="6" s="1"/>
  <c r="L314" i="6" a="1"/>
  <c r="L314" i="6" s="1"/>
  <c r="L315" i="6" a="1"/>
  <c r="L315" i="6" s="1"/>
  <c r="L316" i="6" a="1"/>
  <c r="L316" i="6" s="1"/>
  <c r="L318" i="6" a="1"/>
  <c r="L318" i="6" s="1"/>
  <c r="L320" i="6" a="1"/>
  <c r="L320" i="6" s="1"/>
  <c r="L321" i="6" a="1"/>
  <c r="L321" i="6" s="1"/>
  <c r="L326" i="6" a="1"/>
  <c r="L326" i="6" s="1"/>
  <c r="L327" i="6" a="1"/>
  <c r="L327" i="6" s="1"/>
  <c r="L328" i="6" a="1"/>
  <c r="L328" i="6" s="1"/>
  <c r="L329" i="6" a="1"/>
  <c r="L329" i="6" s="1"/>
  <c r="L330" i="6" a="1"/>
  <c r="L330" i="6" s="1"/>
  <c r="L331" i="6" a="1"/>
  <c r="L331" i="6" s="1"/>
  <c r="L332" i="6" a="1"/>
  <c r="L332" i="6" s="1"/>
  <c r="L333" i="6" a="1"/>
  <c r="L333" i="6" s="1"/>
  <c r="L336" i="6" a="1"/>
  <c r="L336" i="6" s="1"/>
  <c r="L341" i="6" a="1"/>
  <c r="L341" i="6" s="1"/>
  <c r="L342" i="6" a="1"/>
  <c r="L342" i="6" s="1"/>
  <c r="L343" i="6" a="1"/>
  <c r="L343" i="6" s="1"/>
  <c r="L344" i="6" a="1"/>
  <c r="L344" i="6" s="1"/>
  <c r="L345" i="6" a="1"/>
  <c r="L345" i="6" s="1"/>
  <c r="L347" i="6" a="1"/>
  <c r="L347" i="6" s="1"/>
  <c r="L349" i="6" a="1"/>
  <c r="L349" i="6" s="1"/>
  <c r="L350" i="6" a="1"/>
  <c r="L350" i="6" s="1"/>
  <c r="G112" i="6"/>
  <c r="F108" i="6"/>
  <c r="F89" i="6"/>
  <c r="G154" i="6"/>
  <c r="E154" i="6"/>
  <c r="G153" i="6"/>
  <c r="E153" i="6"/>
  <c r="G152" i="6"/>
  <c r="E152" i="6"/>
  <c r="G151" i="6"/>
  <c r="E151" i="6"/>
  <c r="G150" i="6"/>
  <c r="E150" i="6"/>
  <c r="F149" i="6"/>
  <c r="D149" i="6"/>
  <c r="F148" i="6"/>
  <c r="D148" i="6"/>
  <c r="F147" i="6"/>
  <c r="D147" i="6"/>
  <c r="F146" i="6"/>
  <c r="D146" i="6"/>
  <c r="G135" i="6"/>
  <c r="E135" i="6"/>
  <c r="G134" i="6"/>
  <c r="E134" i="6"/>
  <c r="G133" i="6"/>
  <c r="E133" i="6"/>
  <c r="G132" i="6"/>
  <c r="E132" i="6"/>
  <c r="G131" i="6"/>
  <c r="E131" i="6"/>
  <c r="F130" i="6"/>
  <c r="D130" i="6"/>
  <c r="F129" i="6"/>
  <c r="D129" i="6"/>
  <c r="F128" i="6"/>
  <c r="D128" i="6"/>
  <c r="F127" i="6"/>
  <c r="D127" i="6"/>
  <c r="G116" i="6"/>
  <c r="E116" i="6"/>
  <c r="G115" i="6"/>
  <c r="E115" i="6"/>
  <c r="G114" i="6"/>
  <c r="E114" i="6"/>
  <c r="G113" i="6"/>
  <c r="E113" i="6"/>
  <c r="E112" i="6"/>
  <c r="F111" i="6"/>
  <c r="D111" i="6"/>
  <c r="F110" i="6"/>
  <c r="D110" i="6"/>
  <c r="F109" i="6"/>
  <c r="D109" i="6"/>
  <c r="D108" i="6"/>
  <c r="G97" i="6"/>
  <c r="E97" i="6"/>
  <c r="G96" i="6"/>
  <c r="E96" i="6"/>
  <c r="G95" i="6"/>
  <c r="E95" i="6"/>
  <c r="G94" i="6"/>
  <c r="E94" i="6"/>
  <c r="G93" i="6"/>
  <c r="E93" i="6"/>
  <c r="F92" i="6"/>
  <c r="E92" i="6"/>
  <c r="L146" i="6" s="1" a="1"/>
  <c r="L146" i="6" s="1"/>
  <c r="D92" i="6"/>
  <c r="F91" i="6"/>
  <c r="D91" i="6"/>
  <c r="F90" i="6"/>
  <c r="D90" i="6"/>
  <c r="D89" i="6"/>
  <c r="W3" i="6" l="1"/>
  <c r="X4" i="6" s="1"/>
  <c r="W4" i="6"/>
  <c r="W5" i="6"/>
  <c r="A206" i="28" l="1"/>
  <c r="A207" i="28"/>
  <c r="A208" i="28"/>
  <c r="A250" i="28"/>
  <c r="A251" i="28"/>
  <c r="A252" i="28"/>
  <c r="A253" i="28"/>
  <c r="A254" i="28"/>
  <c r="A255" i="28"/>
  <c r="A256" i="28"/>
  <c r="A257" i="28"/>
  <c r="A258" i="28"/>
  <c r="A259" i="28"/>
  <c r="A260" i="28"/>
  <c r="A261" i="28"/>
  <c r="A262" i="28"/>
  <c r="A263" i="28"/>
  <c r="A264" i="28"/>
  <c r="A265" i="28"/>
  <c r="A266" i="28"/>
  <c r="A267" i="28"/>
  <c r="A268" i="28"/>
  <c r="A269" i="28"/>
  <c r="A270" i="28"/>
  <c r="A271" i="28"/>
  <c r="A272" i="28"/>
  <c r="A273" i="28"/>
  <c r="A274" i="28"/>
  <c r="A275" i="28"/>
  <c r="A276" i="28"/>
  <c r="A277" i="28"/>
  <c r="A278" i="28"/>
  <c r="A279" i="28"/>
  <c r="A280" i="28"/>
  <c r="A281" i="28"/>
  <c r="A282" i="28"/>
  <c r="A283" i="28"/>
  <c r="A284" i="28"/>
  <c r="A285" i="28"/>
  <c r="A286" i="28"/>
  <c r="A287" i="28"/>
  <c r="A288" i="28"/>
  <c r="A289" i="28"/>
  <c r="A290" i="28"/>
  <c r="A291" i="28"/>
  <c r="A292" i="28"/>
  <c r="A293" i="28"/>
  <c r="A294" i="28"/>
  <c r="A295" i="28"/>
  <c r="A296" i="28"/>
  <c r="A297" i="28"/>
  <c r="A298" i="28"/>
  <c r="A299" i="28"/>
  <c r="A300" i="28"/>
  <c r="A301" i="28"/>
  <c r="A302" i="28"/>
  <c r="A303" i="28"/>
  <c r="A304" i="28"/>
  <c r="A305" i="28"/>
  <c r="A306" i="28"/>
  <c r="A307" i="28"/>
  <c r="A308" i="28"/>
  <c r="A309" i="28"/>
  <c r="A310" i="28"/>
  <c r="A311" i="28"/>
  <c r="A312" i="28"/>
  <c r="A313" i="28"/>
  <c r="A314" i="28"/>
  <c r="A315" i="28"/>
  <c r="A316" i="28"/>
  <c r="A317" i="28"/>
  <c r="A318" i="28"/>
  <c r="A319" i="28"/>
  <c r="A320" i="28"/>
  <c r="A321" i="28"/>
  <c r="A322" i="28"/>
  <c r="A323" i="28"/>
  <c r="A324" i="28"/>
  <c r="A325" i="28"/>
  <c r="A326" i="28"/>
  <c r="A327" i="28"/>
  <c r="A328" i="28"/>
  <c r="A329" i="28"/>
  <c r="A330" i="28"/>
  <c r="A331" i="28"/>
  <c r="A332" i="28"/>
  <c r="A333" i="28"/>
  <c r="A334" i="28"/>
  <c r="A335" i="28"/>
  <c r="A336" i="28"/>
  <c r="A337" i="28"/>
  <c r="A338" i="28"/>
  <c r="A339" i="28"/>
  <c r="A340" i="28"/>
  <c r="A341" i="28"/>
  <c r="A342" i="28"/>
  <c r="A343" i="28"/>
  <c r="A344" i="28"/>
  <c r="A345" i="28"/>
  <c r="A346" i="28"/>
  <c r="A347" i="28"/>
  <c r="A348" i="28"/>
  <c r="A349" i="28"/>
  <c r="A350" i="28"/>
  <c r="A351" i="28"/>
  <c r="A352" i="28"/>
  <c r="A353" i="28"/>
  <c r="A354" i="28"/>
  <c r="A355" i="28"/>
  <c r="A356" i="28"/>
  <c r="A357" i="28"/>
  <c r="A358" i="28"/>
  <c r="A359" i="28"/>
  <c r="A360" i="28"/>
  <c r="A361" i="28"/>
  <c r="A362" i="28"/>
  <c r="A363" i="28"/>
  <c r="A364" i="28"/>
  <c r="A365" i="28"/>
  <c r="A366" i="28"/>
  <c r="A367" i="28"/>
  <c r="A368" i="28"/>
  <c r="A369" i="28"/>
  <c r="A370" i="28"/>
  <c r="A371" i="28"/>
  <c r="A372" i="28"/>
  <c r="A373" i="28"/>
  <c r="A374" i="28"/>
  <c r="A375" i="28"/>
  <c r="A376" i="28"/>
  <c r="A377" i="28"/>
  <c r="A378" i="28"/>
  <c r="A379" i="28"/>
  <c r="A380" i="28"/>
  <c r="A381" i="28"/>
  <c r="A382" i="28"/>
  <c r="A383" i="28"/>
  <c r="A384" i="28"/>
  <c r="A385" i="28"/>
  <c r="A386" i="28"/>
  <c r="A387" i="28"/>
  <c r="A388" i="28"/>
  <c r="A389" i="28"/>
  <c r="A390" i="28"/>
  <c r="A391" i="28"/>
  <c r="A392" i="28"/>
  <c r="A393" i="28"/>
  <c r="A394" i="28"/>
  <c r="A395" i="28"/>
  <c r="A396" i="28"/>
  <c r="A397" i="28"/>
  <c r="A398" i="28"/>
  <c r="A399" i="28"/>
  <c r="A400" i="28"/>
  <c r="A401" i="28"/>
  <c r="A402" i="28"/>
  <c r="A403" i="28"/>
  <c r="A404" i="28"/>
  <c r="A405" i="28"/>
  <c r="A406" i="28"/>
  <c r="A407" i="28"/>
  <c r="A408" i="28"/>
  <c r="A409" i="28"/>
  <c r="A410" i="28"/>
  <c r="A411" i="28"/>
  <c r="A412" i="28"/>
  <c r="A413" i="28"/>
  <c r="A414" i="28"/>
  <c r="A415" i="28"/>
  <c r="A416" i="28"/>
  <c r="A417" i="28"/>
  <c r="A418" i="28"/>
  <c r="A419" i="28"/>
  <c r="A420" i="28"/>
  <c r="A421" i="28"/>
  <c r="A422" i="28"/>
  <c r="A423" i="28"/>
  <c r="A424" i="28"/>
  <c r="A425" i="28"/>
  <c r="A426" i="28"/>
  <c r="A427" i="28"/>
  <c r="A428" i="28"/>
  <c r="A429" i="28"/>
  <c r="A430" i="28"/>
  <c r="A431" i="28"/>
  <c r="A432" i="28"/>
  <c r="A433" i="28"/>
  <c r="A434" i="28"/>
  <c r="A435" i="28"/>
  <c r="A436" i="28"/>
  <c r="A437" i="28"/>
  <c r="A438" i="28"/>
  <c r="A439" i="28"/>
  <c r="A440" i="28"/>
  <c r="A441" i="28"/>
  <c r="A442" i="28"/>
  <c r="A443" i="28"/>
  <c r="A444" i="28"/>
  <c r="A445" i="28"/>
  <c r="A446" i="28"/>
  <c r="A447" i="28"/>
  <c r="A448" i="28"/>
  <c r="A449" i="28"/>
  <c r="A450" i="28"/>
  <c r="A451" i="28"/>
  <c r="A452" i="28"/>
  <c r="A453" i="28"/>
  <c r="A454" i="28"/>
  <c r="A455" i="28"/>
  <c r="A456" i="28"/>
  <c r="A457" i="28"/>
  <c r="A458" i="28"/>
  <c r="A459" i="28"/>
  <c r="A460" i="28"/>
  <c r="A461" i="28"/>
  <c r="A462" i="28"/>
  <c r="A463" i="28"/>
  <c r="A464" i="28"/>
  <c r="A465" i="28"/>
  <c r="A466" i="28"/>
  <c r="A467" i="28"/>
  <c r="A468" i="28"/>
  <c r="A469" i="28"/>
  <c r="A470" i="28"/>
  <c r="A471" i="28"/>
  <c r="A472" i="28"/>
  <c r="A473" i="28"/>
  <c r="A474" i="28"/>
  <c r="A475" i="28"/>
  <c r="A476" i="28"/>
  <c r="A477" i="28"/>
  <c r="A478" i="28"/>
  <c r="A479" i="28"/>
  <c r="A480" i="28"/>
  <c r="A481" i="28"/>
  <c r="A482" i="28"/>
  <c r="A483" i="28"/>
  <c r="A484" i="28"/>
  <c r="A485" i="28"/>
  <c r="A486" i="28"/>
  <c r="A487" i="28"/>
  <c r="A488" i="28"/>
  <c r="A489" i="28"/>
  <c r="A490" i="28"/>
  <c r="A491" i="28"/>
  <c r="A492" i="28"/>
  <c r="A493" i="28"/>
  <c r="A494" i="28"/>
  <c r="A495" i="28"/>
  <c r="A496" i="28"/>
  <c r="A497" i="28"/>
  <c r="A498" i="28"/>
  <c r="A499" i="28"/>
  <c r="A500" i="28"/>
  <c r="A501" i="28"/>
  <c r="A502" i="28"/>
  <c r="A503" i="28"/>
  <c r="A504" i="28"/>
  <c r="A505" i="28"/>
  <c r="A506" i="28"/>
  <c r="A507" i="28"/>
  <c r="A508" i="28"/>
  <c r="A509" i="28"/>
  <c r="A510" i="28"/>
  <c r="A511" i="28"/>
  <c r="A512" i="28"/>
  <c r="A513" i="28"/>
  <c r="A514" i="28"/>
  <c r="A515" i="28"/>
  <c r="A516" i="28"/>
  <c r="A517" i="28"/>
  <c r="A518" i="28"/>
  <c r="A519" i="28"/>
  <c r="A520" i="28"/>
  <c r="A521" i="28"/>
  <c r="A522" i="28"/>
  <c r="A523" i="28"/>
  <c r="A524" i="28"/>
  <c r="A525" i="28"/>
  <c r="A526" i="28"/>
  <c r="A527" i="28"/>
  <c r="A528" i="28"/>
  <c r="A529" i="28"/>
  <c r="A530" i="28"/>
  <c r="A531" i="28"/>
  <c r="A532" i="28"/>
  <c r="A533" i="28"/>
  <c r="A534" i="28"/>
  <c r="A535" i="28"/>
  <c r="A536" i="28"/>
  <c r="A537" i="28"/>
  <c r="A538" i="28"/>
  <c r="A539" i="28"/>
  <c r="A540" i="28"/>
  <c r="A541" i="28"/>
  <c r="A542" i="28"/>
  <c r="A543" i="28"/>
  <c r="A544" i="28"/>
  <c r="A545" i="28"/>
  <c r="A546" i="28"/>
  <c r="A547" i="28"/>
  <c r="A548" i="28"/>
  <c r="A549" i="28"/>
  <c r="A550" i="28"/>
  <c r="A551" i="28"/>
  <c r="A552" i="28"/>
  <c r="A553" i="28"/>
  <c r="A554" i="28"/>
  <c r="A555" i="28"/>
  <c r="A556" i="28"/>
  <c r="A557" i="28"/>
  <c r="A558" i="28"/>
  <c r="A559" i="28"/>
  <c r="A560" i="28"/>
  <c r="A561" i="28"/>
  <c r="A562" i="28"/>
  <c r="A563" i="28"/>
  <c r="A564" i="28"/>
  <c r="A565" i="28"/>
  <c r="A566" i="28"/>
  <c r="A567" i="28"/>
  <c r="A568" i="28"/>
  <c r="A569" i="28"/>
  <c r="A570" i="28"/>
  <c r="A571" i="28"/>
  <c r="A572" i="28"/>
  <c r="A573" i="28"/>
  <c r="A574" i="28"/>
  <c r="A575" i="28"/>
  <c r="A576" i="28"/>
  <c r="A577" i="28"/>
  <c r="A578" i="28"/>
  <c r="A579" i="28"/>
  <c r="A580" i="28"/>
  <c r="A581" i="28"/>
  <c r="A582" i="28"/>
  <c r="A583" i="28"/>
  <c r="A584" i="28"/>
  <c r="A585" i="28"/>
  <c r="A586" i="28"/>
  <c r="A587" i="28"/>
  <c r="A588" i="28"/>
  <c r="A589" i="28"/>
  <c r="A590" i="28"/>
  <c r="A591" i="28"/>
  <c r="A592" i="28"/>
  <c r="A593" i="28"/>
  <c r="A594" i="28"/>
  <c r="A595" i="28"/>
  <c r="A596" i="28"/>
  <c r="A597" i="28"/>
  <c r="A598" i="28"/>
  <c r="A599" i="28"/>
  <c r="A600" i="28"/>
  <c r="A601" i="28"/>
  <c r="A602" i="28"/>
  <c r="A603" i="28"/>
  <c r="A604" i="28"/>
  <c r="A605" i="28"/>
  <c r="A606" i="28"/>
  <c r="A607" i="28"/>
  <c r="A608" i="28"/>
  <c r="A609" i="28"/>
  <c r="A610" i="28"/>
  <c r="A611" i="28"/>
  <c r="A612" i="28"/>
  <c r="A613" i="28"/>
  <c r="A614" i="28"/>
  <c r="A615" i="28"/>
  <c r="A616" i="28"/>
  <c r="A617" i="28"/>
  <c r="A618" i="28"/>
  <c r="A619" i="28"/>
  <c r="A620" i="28"/>
  <c r="A621" i="28"/>
  <c r="A622" i="28"/>
  <c r="A623" i="28"/>
  <c r="A624" i="28"/>
  <c r="A625" i="28"/>
  <c r="A626" i="28"/>
  <c r="A627" i="28"/>
  <c r="A628" i="28"/>
  <c r="A629" i="28"/>
  <c r="A630" i="28"/>
  <c r="A631" i="28"/>
  <c r="A632" i="28"/>
  <c r="A633" i="28"/>
  <c r="A634" i="28"/>
  <c r="A635" i="28"/>
  <c r="A636" i="28"/>
  <c r="A637" i="28"/>
  <c r="A638" i="28"/>
  <c r="A639" i="28"/>
  <c r="A640" i="28"/>
  <c r="A641" i="28"/>
  <c r="A642" i="28"/>
  <c r="A643" i="28"/>
  <c r="A644" i="28"/>
  <c r="A645" i="28"/>
  <c r="A646" i="28"/>
  <c r="A647" i="28"/>
  <c r="A648" i="28"/>
  <c r="A649" i="28"/>
  <c r="A650" i="28"/>
  <c r="A651" i="28"/>
  <c r="A652" i="28"/>
  <c r="A653" i="28"/>
  <c r="A654" i="28"/>
  <c r="A655" i="28"/>
  <c r="A656" i="28"/>
  <c r="A657" i="28"/>
  <c r="A658" i="28"/>
  <c r="A659" i="28"/>
  <c r="A660" i="28"/>
  <c r="A661" i="28"/>
  <c r="A662" i="28"/>
  <c r="A663" i="28"/>
  <c r="A664" i="28"/>
  <c r="A665" i="28"/>
  <c r="A666" i="28"/>
  <c r="A667" i="28"/>
  <c r="A668" i="28"/>
  <c r="A669" i="28"/>
  <c r="A670" i="28"/>
  <c r="A671" i="28"/>
  <c r="A672" i="28"/>
  <c r="A673" i="28"/>
  <c r="A674" i="28"/>
  <c r="A675" i="28"/>
  <c r="A676" i="28"/>
  <c r="A677" i="28"/>
  <c r="A678" i="28"/>
  <c r="A679" i="28"/>
  <c r="A680" i="28"/>
  <c r="A681" i="28"/>
  <c r="A682" i="28"/>
  <c r="A683" i="28"/>
  <c r="A684" i="28"/>
  <c r="A685" i="28"/>
  <c r="A686" i="28"/>
  <c r="A687" i="28"/>
  <c r="A688" i="28"/>
  <c r="A689" i="28"/>
  <c r="A690" i="28"/>
  <c r="A691" i="28"/>
  <c r="A692" i="28"/>
  <c r="A693" i="28"/>
  <c r="A694" i="28"/>
  <c r="A695" i="28"/>
  <c r="A696" i="28"/>
  <c r="A697" i="28"/>
  <c r="A698" i="28"/>
  <c r="A699" i="28"/>
  <c r="A700" i="28"/>
  <c r="A701" i="28"/>
  <c r="A702" i="28"/>
  <c r="A703" i="28"/>
  <c r="A704" i="28"/>
  <c r="A705" i="28"/>
  <c r="A706" i="28"/>
  <c r="A707" i="28"/>
  <c r="A708" i="28"/>
  <c r="A709" i="28"/>
  <c r="A710" i="28"/>
  <c r="A711" i="28"/>
  <c r="A712" i="28"/>
  <c r="A713" i="28"/>
  <c r="A714" i="28"/>
  <c r="A715" i="28"/>
  <c r="A716" i="28"/>
  <c r="A717" i="28"/>
  <c r="A718" i="28"/>
  <c r="A719" i="28"/>
  <c r="A720" i="28"/>
  <c r="A721" i="28"/>
  <c r="A722" i="28"/>
  <c r="A723" i="28"/>
  <c r="A724" i="28"/>
  <c r="A725" i="28"/>
  <c r="A726" i="28"/>
  <c r="A727" i="28"/>
  <c r="A728" i="28"/>
  <c r="A729" i="28"/>
  <c r="A730" i="28"/>
  <c r="A731" i="28"/>
  <c r="A732" i="28"/>
  <c r="A733" i="28"/>
  <c r="A734" i="28"/>
  <c r="A735" i="28"/>
  <c r="A736" i="28"/>
  <c r="A737" i="28"/>
  <c r="A738" i="28"/>
  <c r="A739" i="28"/>
  <c r="A740" i="28"/>
  <c r="A741" i="28"/>
  <c r="A742" i="28"/>
  <c r="A743" i="28"/>
  <c r="A744" i="28"/>
  <c r="A745" i="28"/>
  <c r="A746" i="28"/>
  <c r="A747" i="28"/>
  <c r="A748" i="28"/>
  <c r="A749" i="28"/>
  <c r="A750" i="28"/>
  <c r="A751" i="28"/>
  <c r="A752" i="28"/>
  <c r="A753" i="28"/>
  <c r="A754" i="28"/>
  <c r="A755" i="28"/>
  <c r="A756" i="28"/>
  <c r="A757" i="28"/>
  <c r="A758" i="28"/>
  <c r="A759" i="28"/>
  <c r="A760" i="28"/>
  <c r="A761" i="28"/>
  <c r="A762" i="28"/>
  <c r="A763" i="28"/>
  <c r="A764" i="28"/>
  <c r="A765" i="28"/>
  <c r="A766" i="28"/>
  <c r="A767" i="28"/>
  <c r="A768" i="28"/>
  <c r="A769" i="28"/>
  <c r="A770" i="28"/>
  <c r="A771" i="28"/>
  <c r="A772" i="28"/>
  <c r="A773" i="28"/>
  <c r="A774" i="28"/>
  <c r="A775" i="28"/>
  <c r="A776" i="28"/>
  <c r="A777" i="28"/>
  <c r="A778" i="28"/>
  <c r="A779" i="28"/>
  <c r="A780" i="28"/>
  <c r="A781" i="28"/>
  <c r="A782" i="28"/>
  <c r="A783" i="28"/>
  <c r="A784" i="28"/>
  <c r="A785" i="28"/>
  <c r="A786" i="28"/>
  <c r="A787" i="28"/>
  <c r="A788" i="28"/>
  <c r="A789" i="28"/>
  <c r="A790" i="28"/>
  <c r="A791" i="28"/>
  <c r="A792" i="28"/>
  <c r="A793" i="28"/>
  <c r="A794" i="28"/>
  <c r="A795" i="28"/>
  <c r="A796" i="28"/>
  <c r="A797" i="28"/>
  <c r="A798" i="28"/>
  <c r="A799" i="28"/>
  <c r="A800" i="28"/>
  <c r="A801" i="28"/>
  <c r="A802" i="28"/>
  <c r="A803" i="28"/>
  <c r="A804" i="28"/>
  <c r="A805" i="28"/>
  <c r="A806" i="28"/>
  <c r="A807" i="28"/>
  <c r="A808" i="28"/>
  <c r="A809" i="28"/>
  <c r="A810" i="28"/>
  <c r="A811" i="28"/>
  <c r="A812" i="28"/>
  <c r="A813" i="28"/>
  <c r="A814" i="28"/>
  <c r="A815" i="28"/>
  <c r="A816" i="28"/>
  <c r="A817" i="28"/>
  <c r="A818" i="28"/>
  <c r="A819" i="28"/>
  <c r="A820" i="28"/>
  <c r="A821" i="28"/>
  <c r="A822" i="28"/>
  <c r="A823" i="28"/>
  <c r="A824" i="28"/>
  <c r="A825" i="28"/>
  <c r="A826" i="28"/>
  <c r="A827" i="28"/>
  <c r="A828" i="28"/>
  <c r="A829" i="28"/>
  <c r="A830" i="28"/>
  <c r="A831" i="28"/>
  <c r="A832" i="28"/>
  <c r="A833" i="28"/>
  <c r="A834" i="28"/>
  <c r="A835" i="28"/>
  <c r="A836" i="28"/>
  <c r="A837" i="28"/>
  <c r="A838" i="28"/>
  <c r="A839" i="28"/>
  <c r="A840" i="28"/>
  <c r="A841" i="28"/>
  <c r="A842" i="28"/>
  <c r="A843" i="28"/>
  <c r="A844" i="28"/>
  <c r="A845" i="28"/>
  <c r="A846" i="28"/>
  <c r="A847" i="28"/>
  <c r="A848" i="28"/>
  <c r="A849" i="28"/>
  <c r="A850" i="28"/>
  <c r="A851" i="28"/>
  <c r="A852" i="28"/>
  <c r="A853" i="28"/>
  <c r="A854" i="28"/>
  <c r="A855" i="28"/>
  <c r="A856" i="28"/>
  <c r="A857" i="28"/>
  <c r="A858" i="28"/>
  <c r="A859" i="28"/>
  <c r="A860" i="28"/>
  <c r="A861" i="28"/>
  <c r="A862" i="28"/>
  <c r="A863" i="28"/>
  <c r="A864" i="28"/>
  <c r="A865" i="28"/>
  <c r="A866" i="28"/>
  <c r="A867" i="28"/>
  <c r="A868" i="28"/>
  <c r="A869" i="28"/>
  <c r="A870" i="28"/>
  <c r="A871" i="28"/>
  <c r="A872" i="28"/>
  <c r="A873" i="28"/>
  <c r="A874" i="28"/>
  <c r="A875" i="28"/>
  <c r="A876" i="28"/>
  <c r="A877" i="28"/>
  <c r="A878" i="28"/>
  <c r="A879" i="28"/>
  <c r="A880" i="28"/>
  <c r="A881" i="28"/>
  <c r="A882" i="28"/>
  <c r="A883" i="28"/>
  <c r="A884" i="28"/>
  <c r="A885" i="28"/>
  <c r="A886" i="28"/>
  <c r="A887" i="28"/>
  <c r="A888" i="28"/>
  <c r="A889" i="28"/>
  <c r="A890" i="28"/>
  <c r="A891" i="28"/>
  <c r="A892" i="28"/>
  <c r="A893" i="28"/>
  <c r="A894" i="28"/>
  <c r="A895" i="28"/>
  <c r="A896" i="28"/>
  <c r="A897" i="28"/>
  <c r="A898" i="28"/>
  <c r="A899" i="28"/>
  <c r="A900" i="28"/>
  <c r="A901" i="28"/>
  <c r="A902" i="28"/>
  <c r="A903" i="28"/>
  <c r="A904" i="28"/>
  <c r="A905" i="28"/>
  <c r="A906" i="28"/>
  <c r="A907" i="28"/>
  <c r="A908" i="28"/>
  <c r="A909" i="28"/>
  <c r="A910" i="28"/>
  <c r="A911" i="28"/>
  <c r="A912" i="28"/>
  <c r="A913" i="28"/>
  <c r="A914" i="28"/>
  <c r="A915" i="28"/>
  <c r="A916" i="28"/>
  <c r="A917" i="28"/>
  <c r="A918" i="28"/>
  <c r="A919" i="28"/>
  <c r="A920" i="28"/>
  <c r="A921" i="28"/>
  <c r="A922" i="28"/>
  <c r="A923" i="28"/>
  <c r="A924" i="28"/>
  <c r="A925" i="28"/>
  <c r="A926" i="28"/>
  <c r="A927" i="28"/>
  <c r="A928" i="28"/>
  <c r="A929" i="28"/>
  <c r="A930" i="28"/>
  <c r="A931" i="28"/>
  <c r="A932" i="28"/>
  <c r="A933" i="28"/>
  <c r="A934" i="28"/>
  <c r="A935" i="28"/>
  <c r="A936" i="28"/>
  <c r="A937" i="28"/>
  <c r="A938" i="28"/>
  <c r="A939" i="28"/>
  <c r="A940" i="28"/>
  <c r="A941" i="28"/>
  <c r="A942" i="28"/>
  <c r="A943" i="28"/>
  <c r="A944" i="28"/>
  <c r="A945" i="28"/>
  <c r="A946" i="28"/>
  <c r="A947" i="28"/>
  <c r="A948" i="28"/>
  <c r="A949" i="28"/>
  <c r="A950" i="28"/>
  <c r="A951" i="28"/>
  <c r="A952" i="28"/>
  <c r="A953" i="28"/>
  <c r="A954" i="28"/>
  <c r="A955" i="28"/>
  <c r="A956" i="28"/>
  <c r="A957" i="28"/>
  <c r="A958" i="28"/>
  <c r="A959" i="28"/>
  <c r="A960" i="28"/>
  <c r="A961" i="28"/>
  <c r="A962" i="28"/>
  <c r="A963" i="28"/>
  <c r="A964" i="28"/>
  <c r="A965" i="28"/>
  <c r="A966" i="28"/>
  <c r="A967" i="28"/>
  <c r="A968" i="28"/>
  <c r="A969" i="28"/>
  <c r="A970" i="28"/>
  <c r="A971" i="28"/>
  <c r="A972" i="28"/>
  <c r="A973" i="28"/>
  <c r="A974" i="28"/>
  <c r="A975" i="28"/>
  <c r="A976" i="28"/>
  <c r="A977" i="28"/>
  <c r="A978" i="28"/>
  <c r="A979" i="28"/>
  <c r="A980" i="28"/>
  <c r="A981" i="28"/>
  <c r="A982" i="28"/>
  <c r="A983" i="28"/>
  <c r="A984" i="28"/>
  <c r="A985" i="28"/>
  <c r="A986" i="28"/>
  <c r="A987" i="28"/>
  <c r="A988" i="28"/>
  <c r="A989" i="28"/>
  <c r="A990" i="28"/>
  <c r="A991" i="28"/>
  <c r="A992" i="28"/>
  <c r="A993" i="28"/>
  <c r="A994" i="28"/>
  <c r="A995" i="28"/>
  <c r="A996" i="28"/>
  <c r="A997" i="28"/>
  <c r="A998" i="28"/>
  <c r="A999" i="28"/>
  <c r="A1000" i="28"/>
  <c r="A1001" i="28"/>
  <c r="A1002" i="28"/>
  <c r="A1003" i="28"/>
  <c r="A1004" i="28"/>
  <c r="A1005" i="28"/>
  <c r="A1006" i="28"/>
  <c r="A1007" i="28"/>
  <c r="A1008" i="28"/>
  <c r="A1009" i="28"/>
  <c r="A1010" i="28"/>
  <c r="A1011" i="28"/>
  <c r="A1012" i="28"/>
  <c r="A1013" i="28"/>
  <c r="A1014" i="28"/>
  <c r="A1015" i="28"/>
  <c r="A1016" i="28"/>
  <c r="A1017" i="28"/>
  <c r="A1018" i="28"/>
  <c r="A1019" i="28"/>
  <c r="A1020" i="28"/>
  <c r="A1021" i="28"/>
  <c r="A1022" i="28"/>
  <c r="A1023" i="28"/>
  <c r="A1024" i="28"/>
  <c r="A1025" i="28"/>
  <c r="A1026" i="28"/>
  <c r="A1027" i="28"/>
  <c r="AF144" i="1" l="1"/>
  <c r="AJ144" i="1"/>
  <c r="AL144" i="1"/>
  <c r="AM144" i="1"/>
  <c r="BG144" i="1" s="1" a="1"/>
  <c r="BG144" i="1" s="1"/>
  <c r="AO144" i="1"/>
  <c r="AP144" i="1"/>
  <c r="AQ144" i="1"/>
  <c r="AR144" i="1"/>
  <c r="AS144" i="1"/>
  <c r="AT144" i="1"/>
  <c r="AF145" i="1"/>
  <c r="AJ145" i="1"/>
  <c r="AL145" i="1"/>
  <c r="AM145" i="1"/>
  <c r="BG145" i="1" s="1" a="1"/>
  <c r="BG145" i="1" s="1"/>
  <c r="AO145" i="1"/>
  <c r="AP145" i="1"/>
  <c r="AQ145" i="1"/>
  <c r="AR145" i="1"/>
  <c r="AS145" i="1"/>
  <c r="AT145" i="1"/>
  <c r="AF146" i="1"/>
  <c r="AJ146" i="1"/>
  <c r="AL146" i="1"/>
  <c r="AM146" i="1"/>
  <c r="BG146" i="1" s="1" a="1"/>
  <c r="BG146" i="1" s="1"/>
  <c r="AO146" i="1"/>
  <c r="AP146" i="1"/>
  <c r="AQ146" i="1"/>
  <c r="AR146" i="1"/>
  <c r="AS146" i="1"/>
  <c r="AT146" i="1"/>
  <c r="AF147" i="1"/>
  <c r="AJ147" i="1"/>
  <c r="AL147" i="1"/>
  <c r="AM147" i="1"/>
  <c r="BG147" i="1" s="1" a="1"/>
  <c r="BG147" i="1" s="1"/>
  <c r="AO147" i="1"/>
  <c r="AP147" i="1"/>
  <c r="AQ147" i="1"/>
  <c r="AR147" i="1"/>
  <c r="AS147" i="1"/>
  <c r="AT147" i="1"/>
  <c r="AF148" i="1"/>
  <c r="AJ148" i="1"/>
  <c r="AL148" i="1"/>
  <c r="AM148" i="1"/>
  <c r="BG148" i="1" s="1" a="1"/>
  <c r="BG148" i="1" s="1"/>
  <c r="AO148" i="1"/>
  <c r="AP148" i="1"/>
  <c r="AQ148" i="1"/>
  <c r="AR148" i="1"/>
  <c r="AS148" i="1"/>
  <c r="AT148" i="1"/>
  <c r="AF149" i="1"/>
  <c r="AJ149" i="1"/>
  <c r="AL149" i="1"/>
  <c r="AM149" i="1"/>
  <c r="BG149" i="1" s="1" a="1"/>
  <c r="BG149" i="1" s="1"/>
  <c r="AO149" i="1"/>
  <c r="AP149" i="1"/>
  <c r="AQ149" i="1"/>
  <c r="AR149" i="1"/>
  <c r="AS149" i="1"/>
  <c r="AT149" i="1"/>
  <c r="AF150" i="1"/>
  <c r="AJ150" i="1"/>
  <c r="AL150" i="1"/>
  <c r="AM150" i="1"/>
  <c r="BG150" i="1" s="1" a="1"/>
  <c r="BG150" i="1" s="1"/>
  <c r="AO150" i="1"/>
  <c r="AP150" i="1"/>
  <c r="AQ150" i="1"/>
  <c r="AS150" i="1"/>
  <c r="AT150" i="1"/>
  <c r="AF151" i="1"/>
  <c r="AJ151" i="1"/>
  <c r="AL151" i="1"/>
  <c r="AM151" i="1"/>
  <c r="BG151" i="1" s="1" a="1"/>
  <c r="BG151" i="1" s="1"/>
  <c r="AO151" i="1"/>
  <c r="AP151" i="1"/>
  <c r="AQ151" i="1"/>
  <c r="AS151" i="1"/>
  <c r="AT151" i="1"/>
  <c r="BC151" i="1" l="1"/>
  <c r="AG151" i="1"/>
  <c r="AH151" i="1" s="1"/>
  <c r="AN151" i="1" s="1"/>
  <c r="BD151" i="1"/>
  <c r="BC150" i="1"/>
  <c r="AG150" i="1"/>
  <c r="AH150" i="1" s="1"/>
  <c r="AN150" i="1" s="1"/>
  <c r="BD150" i="1"/>
  <c r="BC149" i="1"/>
  <c r="AG149" i="1"/>
  <c r="AH149" i="1" s="1"/>
  <c r="AN149" i="1" s="1"/>
  <c r="BD149" i="1"/>
  <c r="G116" i="34"/>
  <c r="M116" i="34"/>
  <c r="AG148" i="1"/>
  <c r="AH148" i="1" s="1"/>
  <c r="AN148" i="1" s="1"/>
  <c r="BD148" i="1"/>
  <c r="BC147" i="1"/>
  <c r="M115" i="34"/>
  <c r="G115" i="34"/>
  <c r="AG147" i="1"/>
  <c r="AH147" i="1" s="1"/>
  <c r="AN147" i="1" s="1"/>
  <c r="BD147" i="1"/>
  <c r="BC146" i="1"/>
  <c r="AG146" i="1"/>
  <c r="AH146" i="1" s="1"/>
  <c r="AN146" i="1" s="1"/>
  <c r="BD146" i="1"/>
  <c r="G114" i="34"/>
  <c r="M114" i="34"/>
  <c r="AG145" i="1"/>
  <c r="AH145" i="1" s="1"/>
  <c r="BD145" i="1"/>
  <c r="G113" i="34"/>
  <c r="M113" i="34"/>
  <c r="AG144" i="1"/>
  <c r="AH144" i="1" s="1"/>
  <c r="BD144" i="1"/>
  <c r="BE144" i="1" s="1"/>
  <c r="AK145" i="1"/>
  <c r="BZ145" i="1" s="1"/>
  <c r="AK150" i="1"/>
  <c r="AK151" i="1"/>
  <c r="AK147" i="1"/>
  <c r="AV147" i="1" s="1"/>
  <c r="AK149" i="1"/>
  <c r="BY151" i="1"/>
  <c r="CW151" i="1"/>
  <c r="CR151" i="1"/>
  <c r="AR150" i="1"/>
  <c r="CW150" i="1"/>
  <c r="CR150" i="1"/>
  <c r="CR149" i="1"/>
  <c r="CW149" i="1"/>
  <c r="CD147" i="1"/>
  <c r="CR147" i="1"/>
  <c r="CW147" i="1"/>
  <c r="CA151" i="1"/>
  <c r="CT151" i="1"/>
  <c r="CU151" i="1"/>
  <c r="CZ151" i="1"/>
  <c r="DA151" i="1"/>
  <c r="CS151" i="1"/>
  <c r="DB151" i="1"/>
  <c r="DD151" i="1"/>
  <c r="CY151" i="1"/>
  <c r="CA150" i="1"/>
  <c r="CT150" i="1"/>
  <c r="CU150" i="1"/>
  <c r="CZ150" i="1"/>
  <c r="DB150" i="1"/>
  <c r="DA150" i="1"/>
  <c r="CS150" i="1"/>
  <c r="CY150" i="1"/>
  <c r="DD150" i="1"/>
  <c r="CT149" i="1"/>
  <c r="CU149" i="1"/>
  <c r="CS149" i="1"/>
  <c r="CZ149" i="1"/>
  <c r="DA149" i="1"/>
  <c r="DB149" i="1"/>
  <c r="CY149" i="1"/>
  <c r="DD149" i="1"/>
  <c r="CT148" i="1"/>
  <c r="CU148" i="1"/>
  <c r="DB148" i="1"/>
  <c r="DA148" i="1"/>
  <c r="CB147" i="1"/>
  <c r="CT147" i="1"/>
  <c r="CU147" i="1"/>
  <c r="CS147" i="1"/>
  <c r="CZ147" i="1"/>
  <c r="DB147" i="1"/>
  <c r="DA147" i="1"/>
  <c r="CB146" i="1"/>
  <c r="CU146" i="1"/>
  <c r="DB146" i="1"/>
  <c r="CT145" i="1"/>
  <c r="CU145" i="1"/>
  <c r="DA145" i="1"/>
  <c r="DB145" i="1"/>
  <c r="CU144" i="1"/>
  <c r="DB144" i="1"/>
  <c r="DD147" i="1"/>
  <c r="CY147" i="1"/>
  <c r="CB144" i="1"/>
  <c r="AZ144" i="1"/>
  <c r="BZ147" i="1"/>
  <c r="BC144" i="1"/>
  <c r="AR151" i="1"/>
  <c r="AZ148" i="1"/>
  <c r="AZ149" i="1"/>
  <c r="BZ149" i="1"/>
  <c r="AZ151" i="1"/>
  <c r="AZ147" i="1"/>
  <c r="AZ145" i="1"/>
  <c r="AZ150" i="1"/>
  <c r="BZ150" i="1"/>
  <c r="AZ146" i="1"/>
  <c r="BC145" i="1"/>
  <c r="CB150" i="1"/>
  <c r="BY147" i="1"/>
  <c r="CD151" i="1"/>
  <c r="CA147" i="1"/>
  <c r="CD150" i="1"/>
  <c r="AU150" i="1"/>
  <c r="BY150" i="1"/>
  <c r="BY149" i="1"/>
  <c r="AU149" i="1"/>
  <c r="CD149" i="1"/>
  <c r="CB151" i="1"/>
  <c r="BC148" i="1"/>
  <c r="AU151" i="1"/>
  <c r="AK148" i="1"/>
  <c r="AV148" i="1" s="1"/>
  <c r="AU147" i="1"/>
  <c r="AK144" i="1"/>
  <c r="AV144" i="1" s="1"/>
  <c r="BZ151" i="1"/>
  <c r="CB148" i="1"/>
  <c r="CA148" i="1"/>
  <c r="CB145" i="1"/>
  <c r="CA149" i="1"/>
  <c r="AK146" i="1"/>
  <c r="AV146" i="1" s="1"/>
  <c r="CA145" i="1"/>
  <c r="CB149" i="1"/>
  <c r="BE146" i="1" l="1"/>
  <c r="BE149" i="1"/>
  <c r="BE147" i="1"/>
  <c r="BE150" i="1"/>
  <c r="BE151" i="1"/>
  <c r="BE145" i="1"/>
  <c r="AL114" i="34" s="1"/>
  <c r="BE148" i="1"/>
  <c r="AY147" i="1"/>
  <c r="F115" i="34" s="1"/>
  <c r="AV149" i="1"/>
  <c r="AY149" i="1" s="1"/>
  <c r="AV151" i="1"/>
  <c r="AY151" i="1" s="1"/>
  <c r="BB151" i="1" s="1"/>
  <c r="BF151" i="1" s="1"/>
  <c r="BH151" i="1" s="1"/>
  <c r="BI151" i="1" s="1"/>
  <c r="AV150" i="1"/>
  <c r="AY150" i="1" s="1"/>
  <c r="BW150" i="1" s="1"/>
  <c r="CZ146" i="1"/>
  <c r="CZ144" i="1"/>
  <c r="K113" i="34"/>
  <c r="D113" i="34"/>
  <c r="AL113" i="34"/>
  <c r="CS148" i="1"/>
  <c r="D116" i="34"/>
  <c r="K116" i="34"/>
  <c r="AL116" i="34"/>
  <c r="Z115" i="34"/>
  <c r="E115" i="34"/>
  <c r="K115" i="34"/>
  <c r="D115" i="34"/>
  <c r="AL115" i="34"/>
  <c r="Z114" i="34"/>
  <c r="E114" i="34"/>
  <c r="AU145" i="1"/>
  <c r="D114" i="34"/>
  <c r="K114" i="34"/>
  <c r="E113" i="34"/>
  <c r="Z113" i="34"/>
  <c r="E116" i="34"/>
  <c r="Z116" i="34"/>
  <c r="CY145" i="1"/>
  <c r="CD145" i="1"/>
  <c r="CZ145" i="1"/>
  <c r="CW145" i="1"/>
  <c r="DD145" i="1"/>
  <c r="CR145" i="1"/>
  <c r="BY145" i="1"/>
  <c r="CS145" i="1"/>
  <c r="DA144" i="1"/>
  <c r="CT144" i="1"/>
  <c r="CA146" i="1"/>
  <c r="DA146" i="1"/>
  <c r="CA144" i="1"/>
  <c r="CT146" i="1"/>
  <c r="DD146" i="1"/>
  <c r="CS146" i="1"/>
  <c r="DD148" i="1"/>
  <c r="CY148" i="1"/>
  <c r="DD144" i="1"/>
  <c r="CY144" i="1"/>
  <c r="CS144" i="1"/>
  <c r="CY146" i="1"/>
  <c r="CZ148" i="1"/>
  <c r="BZ146" i="1"/>
  <c r="CR146" i="1"/>
  <c r="CW146" i="1"/>
  <c r="CR144" i="1"/>
  <c r="CW144" i="1"/>
  <c r="BZ148" i="1"/>
  <c r="CR148" i="1"/>
  <c r="CW148" i="1"/>
  <c r="BY146" i="1"/>
  <c r="CD146" i="1"/>
  <c r="AU146" i="1"/>
  <c r="BY144" i="1"/>
  <c r="BZ144" i="1"/>
  <c r="AU144" i="1"/>
  <c r="CD144" i="1"/>
  <c r="BY148" i="1"/>
  <c r="AU148" i="1"/>
  <c r="CD148"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L115" i="34" l="1"/>
  <c r="BB147" i="1"/>
  <c r="BF147" i="1" s="1"/>
  <c r="I115" i="34" s="1"/>
  <c r="J115" i="34" s="1"/>
  <c r="BW147" i="1"/>
  <c r="BW149" i="1"/>
  <c r="BB149" i="1"/>
  <c r="BF149" i="1" s="1"/>
  <c r="BT149" i="1" s="1"/>
  <c r="AY146" i="1"/>
  <c r="BW146" i="1" s="1"/>
  <c r="AY148" i="1"/>
  <c r="BW148" i="1" s="1"/>
  <c r="AY145" i="1"/>
  <c r="AY144" i="1"/>
  <c r="BW144" i="1" s="1"/>
  <c r="AG143" i="1"/>
  <c r="BD143" i="1"/>
  <c r="AG142" i="1"/>
  <c r="BD142" i="1"/>
  <c r="AG141" i="1"/>
  <c r="BD141" i="1"/>
  <c r="AG140" i="1"/>
  <c r="BD140" i="1"/>
  <c r="AG139" i="1"/>
  <c r="BD139" i="1"/>
  <c r="AG138" i="1"/>
  <c r="BD138" i="1"/>
  <c r="AG137" i="1"/>
  <c r="BD137" i="1"/>
  <c r="AG136" i="1"/>
  <c r="BD136" i="1"/>
  <c r="AG135" i="1"/>
  <c r="BD135" i="1"/>
  <c r="AG134" i="1"/>
  <c r="BD134" i="1"/>
  <c r="AG133" i="1"/>
  <c r="BD133" i="1"/>
  <c r="AG132" i="1"/>
  <c r="BD132" i="1"/>
  <c r="AG131" i="1"/>
  <c r="BD131" i="1"/>
  <c r="AG130" i="1"/>
  <c r="BD130" i="1"/>
  <c r="AG129" i="1"/>
  <c r="BD129" i="1"/>
  <c r="AG128" i="1"/>
  <c r="BD128" i="1"/>
  <c r="AG127" i="1"/>
  <c r="BD127" i="1"/>
  <c r="AG126" i="1"/>
  <c r="BD126" i="1"/>
  <c r="AG125" i="1"/>
  <c r="BD125" i="1"/>
  <c r="AG124" i="1"/>
  <c r="BD124" i="1"/>
  <c r="AG123" i="1"/>
  <c r="BD123" i="1"/>
  <c r="AG122" i="1"/>
  <c r="BD122" i="1"/>
  <c r="AG121" i="1"/>
  <c r="BD121" i="1"/>
  <c r="AG120" i="1"/>
  <c r="BD120" i="1"/>
  <c r="AG119" i="1"/>
  <c r="BD119" i="1"/>
  <c r="AG118" i="1"/>
  <c r="BD118" i="1"/>
  <c r="AG117" i="1"/>
  <c r="BD117" i="1"/>
  <c r="AG116" i="1"/>
  <c r="BD116" i="1"/>
  <c r="AG115" i="1"/>
  <c r="BD115" i="1"/>
  <c r="AG114" i="1"/>
  <c r="BD114" i="1"/>
  <c r="AG113" i="1"/>
  <c r="BD113" i="1"/>
  <c r="AG112" i="1"/>
  <c r="BD112" i="1"/>
  <c r="AG111" i="1"/>
  <c r="BD111" i="1"/>
  <c r="AG110" i="1"/>
  <c r="BD110" i="1"/>
  <c r="AG109" i="1"/>
  <c r="BD109" i="1"/>
  <c r="AG108" i="1"/>
  <c r="BD108" i="1"/>
  <c r="AG107" i="1"/>
  <c r="BD107" i="1"/>
  <c r="AG106" i="1"/>
  <c r="BD106" i="1"/>
  <c r="AG105" i="1"/>
  <c r="BD105" i="1"/>
  <c r="AG104" i="1"/>
  <c r="BD104" i="1"/>
  <c r="AG103" i="1"/>
  <c r="BD103" i="1"/>
  <c r="AG102" i="1"/>
  <c r="BD102" i="1"/>
  <c r="AG101" i="1"/>
  <c r="BD101" i="1"/>
  <c r="AG100" i="1"/>
  <c r="BD100" i="1"/>
  <c r="AG99" i="1"/>
  <c r="BD99" i="1"/>
  <c r="AG98" i="1"/>
  <c r="BD98" i="1"/>
  <c r="AG97" i="1"/>
  <c r="BD97" i="1"/>
  <c r="AG96" i="1"/>
  <c r="BD96" i="1"/>
  <c r="AG95" i="1"/>
  <c r="BD95" i="1"/>
  <c r="AG94" i="1"/>
  <c r="BD94" i="1"/>
  <c r="AG93" i="1"/>
  <c r="BD93" i="1"/>
  <c r="AG92" i="1"/>
  <c r="BD92" i="1"/>
  <c r="AG91" i="1"/>
  <c r="BD91" i="1"/>
  <c r="AG90" i="1"/>
  <c r="BD90" i="1"/>
  <c r="AG89" i="1"/>
  <c r="BD89" i="1"/>
  <c r="AG88" i="1"/>
  <c r="BD88" i="1"/>
  <c r="AG87" i="1"/>
  <c r="BD87" i="1"/>
  <c r="AG86" i="1"/>
  <c r="BD86" i="1"/>
  <c r="AG85" i="1"/>
  <c r="BD85" i="1"/>
  <c r="AG84" i="1"/>
  <c r="BD84" i="1"/>
  <c r="AG83" i="1"/>
  <c r="BD83" i="1"/>
  <c r="AG82" i="1"/>
  <c r="BD82" i="1"/>
  <c r="AG81" i="1"/>
  <c r="BD81" i="1"/>
  <c r="AG80" i="1"/>
  <c r="BD80" i="1"/>
  <c r="AG79" i="1"/>
  <c r="BD79" i="1"/>
  <c r="AG78" i="1"/>
  <c r="BD78" i="1"/>
  <c r="AG77" i="1"/>
  <c r="BD77" i="1"/>
  <c r="AG76" i="1"/>
  <c r="BD76" i="1"/>
  <c r="AG75" i="1"/>
  <c r="BD75" i="1"/>
  <c r="AG74" i="1"/>
  <c r="BD74" i="1"/>
  <c r="AG73" i="1"/>
  <c r="BD73" i="1"/>
  <c r="AG72" i="1"/>
  <c r="BD72" i="1"/>
  <c r="AG71" i="1"/>
  <c r="BD71" i="1"/>
  <c r="AG70" i="1"/>
  <c r="BD70" i="1"/>
  <c r="AG69" i="1"/>
  <c r="BD69" i="1"/>
  <c r="AG68" i="1"/>
  <c r="BD68" i="1"/>
  <c r="AG67" i="1"/>
  <c r="BD67" i="1"/>
  <c r="AG66" i="1"/>
  <c r="BD66" i="1"/>
  <c r="AG65" i="1"/>
  <c r="BD65" i="1"/>
  <c r="AG64" i="1"/>
  <c r="BD64" i="1"/>
  <c r="AG63" i="1"/>
  <c r="BD63" i="1"/>
  <c r="AG62" i="1"/>
  <c r="BD62" i="1"/>
  <c r="AG61" i="1"/>
  <c r="BD61" i="1"/>
  <c r="AG60" i="1"/>
  <c r="BD60" i="1"/>
  <c r="AG59" i="1"/>
  <c r="BD59" i="1"/>
  <c r="AG58" i="1"/>
  <c r="BD58" i="1"/>
  <c r="AG57" i="1"/>
  <c r="BD57" i="1"/>
  <c r="AG56" i="1"/>
  <c r="BD56" i="1"/>
  <c r="AG55" i="1"/>
  <c r="BD55" i="1"/>
  <c r="AG54" i="1"/>
  <c r="BD54" i="1"/>
  <c r="AG53" i="1"/>
  <c r="BD53" i="1"/>
  <c r="AG52" i="1"/>
  <c r="BD52" i="1"/>
  <c r="AG51" i="1"/>
  <c r="BD51" i="1"/>
  <c r="AG50" i="1"/>
  <c r="BD50" i="1"/>
  <c r="AG49" i="1"/>
  <c r="BD49" i="1"/>
  <c r="AG48" i="1"/>
  <c r="BD48" i="1"/>
  <c r="AG47" i="1"/>
  <c r="BD47" i="1"/>
  <c r="AG46" i="1"/>
  <c r="BD46" i="1"/>
  <c r="AG45" i="1"/>
  <c r="BD45" i="1"/>
  <c r="AG44" i="1"/>
  <c r="BD44" i="1"/>
  <c r="AG43" i="1"/>
  <c r="BD43" i="1"/>
  <c r="AG42" i="1"/>
  <c r="BD42" i="1"/>
  <c r="AG41" i="1"/>
  <c r="BD41" i="1"/>
  <c r="AG40" i="1"/>
  <c r="BD40" i="1"/>
  <c r="AG39" i="1"/>
  <c r="AH39" i="1" s="1"/>
  <c r="BD39" i="1"/>
  <c r="AG38" i="1"/>
  <c r="BD38" i="1"/>
  <c r="AG37" i="1"/>
  <c r="BD37" i="1"/>
  <c r="AG36" i="1"/>
  <c r="BD36" i="1"/>
  <c r="AG35" i="1"/>
  <c r="BD35" i="1"/>
  <c r="AG34" i="1"/>
  <c r="BD34" i="1"/>
  <c r="AG33" i="1"/>
  <c r="BD33" i="1"/>
  <c r="AG32" i="1"/>
  <c r="BD32" i="1"/>
  <c r="AG31" i="1"/>
  <c r="BD31" i="1"/>
  <c r="AG30" i="1"/>
  <c r="BD30" i="1"/>
  <c r="AG29" i="1"/>
  <c r="BD29" i="1"/>
  <c r="AG28" i="1"/>
  <c r="BD28" i="1"/>
  <c r="AG27" i="1"/>
  <c r="BD27" i="1"/>
  <c r="AG26" i="1"/>
  <c r="BD26" i="1"/>
  <c r="AG25" i="1"/>
  <c r="BD25" i="1"/>
  <c r="AG24" i="1"/>
  <c r="BD24" i="1"/>
  <c r="AG23" i="1"/>
  <c r="BD23" i="1"/>
  <c r="AG22" i="1"/>
  <c r="BD22" i="1"/>
  <c r="AG21" i="1"/>
  <c r="BD21" i="1"/>
  <c r="BB150" i="1"/>
  <c r="BF150" i="1" s="1"/>
  <c r="BT150" i="1" s="1"/>
  <c r="BW151" i="1"/>
  <c r="BT151" i="1"/>
  <c r="BT147" i="1"/>
  <c r="BJ151" i="1"/>
  <c r="M4" i="28"/>
  <c r="BH147" i="1" l="1"/>
  <c r="BI147" i="1" s="1"/>
  <c r="BJ147" i="1" s="1"/>
  <c r="BH149" i="1"/>
  <c r="BI149" i="1" s="1"/>
  <c r="BB146" i="1"/>
  <c r="BF146" i="1" s="1"/>
  <c r="BT146" i="1" s="1"/>
  <c r="L114" i="34"/>
  <c r="F114" i="34"/>
  <c r="BW145" i="1"/>
  <c r="BB145" i="1"/>
  <c r="BF145" i="1" s="1"/>
  <c r="L116" i="34"/>
  <c r="F116" i="34"/>
  <c r="BB148" i="1"/>
  <c r="BF148" i="1" s="1"/>
  <c r="L113" i="34"/>
  <c r="F113" i="34"/>
  <c r="BB144" i="1"/>
  <c r="BF144" i="1" s="1"/>
  <c r="N115" i="34"/>
  <c r="Z32" i="34"/>
  <c r="E32" i="34"/>
  <c r="M172" i="28"/>
  <c r="M173" i="28"/>
  <c r="M179" i="28"/>
  <c r="M174" i="28"/>
  <c r="M191" i="28"/>
  <c r="M186" i="28"/>
  <c r="M190" i="28"/>
  <c r="M178" i="28"/>
  <c r="M180" i="28"/>
  <c r="M185" i="28"/>
  <c r="M192" i="28"/>
  <c r="M184" i="28"/>
  <c r="M177" i="28"/>
  <c r="M193" i="28"/>
  <c r="M188" i="28"/>
  <c r="M176" i="28"/>
  <c r="M181" i="28"/>
  <c r="M183" i="28"/>
  <c r="M187" i="28"/>
  <c r="M182" i="28"/>
  <c r="M189" i="28"/>
  <c r="M175" i="28"/>
  <c r="M64" i="28"/>
  <c r="M98" i="28"/>
  <c r="M20" i="28"/>
  <c r="M55" i="28"/>
  <c r="M105" i="28"/>
  <c r="M33" i="28"/>
  <c r="M158" i="28"/>
  <c r="M45" i="28"/>
  <c r="M83" i="28"/>
  <c r="M99" i="28"/>
  <c r="M119" i="28"/>
  <c r="M35" i="28"/>
  <c r="M124" i="28"/>
  <c r="M58" i="28"/>
  <c r="M161" i="28"/>
  <c r="M134" i="28"/>
  <c r="M76" i="28"/>
  <c r="M16" i="28"/>
  <c r="M21" i="28"/>
  <c r="M112" i="28"/>
  <c r="M88" i="28"/>
  <c r="M48" i="28"/>
  <c r="M144" i="28"/>
  <c r="M131" i="28"/>
  <c r="M115" i="28"/>
  <c r="M39" i="28"/>
  <c r="M49" i="28"/>
  <c r="M146" i="28"/>
  <c r="M56" i="28"/>
  <c r="M62" i="28"/>
  <c r="M57" i="28"/>
  <c r="M162" i="28"/>
  <c r="M129" i="28"/>
  <c r="M168" i="28"/>
  <c r="M81" i="28"/>
  <c r="M31" i="28"/>
  <c r="M9" i="28"/>
  <c r="M79" i="28"/>
  <c r="M125" i="28"/>
  <c r="M74" i="28"/>
  <c r="M47" i="28"/>
  <c r="M170" i="28"/>
  <c r="M147" i="28"/>
  <c r="M43" i="28"/>
  <c r="M108" i="28"/>
  <c r="M154" i="28"/>
  <c r="M148" i="28"/>
  <c r="M164" i="28"/>
  <c r="M53" i="28"/>
  <c r="M111" i="28"/>
  <c r="M50" i="28"/>
  <c r="M145" i="28"/>
  <c r="M166" i="28"/>
  <c r="M42" i="28"/>
  <c r="M142" i="28"/>
  <c r="M85" i="28"/>
  <c r="M75" i="28"/>
  <c r="M107" i="28"/>
  <c r="M152" i="28"/>
  <c r="M84" i="28"/>
  <c r="M78" i="28"/>
  <c r="M67" i="28"/>
  <c r="M91" i="28"/>
  <c r="M130" i="28"/>
  <c r="M153" i="28"/>
  <c r="M100" i="28"/>
  <c r="M171" i="28"/>
  <c r="M137" i="28"/>
  <c r="M61" i="28"/>
  <c r="M28" i="28"/>
  <c r="M101" i="28"/>
  <c r="M17" i="28"/>
  <c r="M167" i="28"/>
  <c r="M93" i="28"/>
  <c r="M24" i="28"/>
  <c r="M86" i="28"/>
  <c r="M118" i="28"/>
  <c r="M90" i="28"/>
  <c r="M116" i="28"/>
  <c r="M169" i="28"/>
  <c r="M149" i="28"/>
  <c r="M11" i="28"/>
  <c r="M18" i="28"/>
  <c r="M82" i="28"/>
  <c r="M143" i="28"/>
  <c r="M155" i="28"/>
  <c r="M37" i="28"/>
  <c r="M94" i="28"/>
  <c r="M163" i="28"/>
  <c r="M60" i="28"/>
  <c r="M36" i="28"/>
  <c r="M70" i="28"/>
  <c r="M110" i="28"/>
  <c r="M26" i="28"/>
  <c r="M132" i="28"/>
  <c r="M10" i="28"/>
  <c r="M34" i="28"/>
  <c r="M23" i="28"/>
  <c r="M139" i="28"/>
  <c r="M30" i="28"/>
  <c r="M27" i="28"/>
  <c r="M102" i="28"/>
  <c r="M127" i="28"/>
  <c r="M120" i="28"/>
  <c r="M151" i="28"/>
  <c r="M123" i="28"/>
  <c r="M128" i="28"/>
  <c r="M159" i="28"/>
  <c r="M66" i="28"/>
  <c r="M14" i="28"/>
  <c r="M136" i="28"/>
  <c r="M140" i="28"/>
  <c r="M156" i="28"/>
  <c r="M121" i="28"/>
  <c r="M106" i="28"/>
  <c r="M77" i="28"/>
  <c r="M8" i="28"/>
  <c r="M72" i="28"/>
  <c r="M117" i="28"/>
  <c r="M126" i="28"/>
  <c r="M138" i="28"/>
  <c r="M32" i="28"/>
  <c r="M25" i="28"/>
  <c r="M44" i="28"/>
  <c r="M96" i="28"/>
  <c r="M68" i="28"/>
  <c r="M97" i="28"/>
  <c r="M87" i="28"/>
  <c r="M69" i="28"/>
  <c r="M52" i="28"/>
  <c r="M141" i="28"/>
  <c r="M51" i="28"/>
  <c r="M157" i="28"/>
  <c r="M19" i="28"/>
  <c r="M92" i="28"/>
  <c r="M80" i="28"/>
  <c r="M135" i="28"/>
  <c r="M71" i="28"/>
  <c r="M40" i="28"/>
  <c r="M109" i="28"/>
  <c r="M38" i="28"/>
  <c r="M46" i="28"/>
  <c r="M160" i="28"/>
  <c r="M12" i="28"/>
  <c r="M150" i="28"/>
  <c r="M95" i="28"/>
  <c r="M15" i="28"/>
  <c r="M103" i="28"/>
  <c r="M73" i="28"/>
  <c r="M165" i="28"/>
  <c r="M22" i="28"/>
  <c r="M65" i="28"/>
  <c r="M89" i="28"/>
  <c r="M29" i="28"/>
  <c r="M63" i="28"/>
  <c r="M133" i="28"/>
  <c r="M54" i="28"/>
  <c r="M13" i="28"/>
  <c r="M113" i="28"/>
  <c r="M114" i="28"/>
  <c r="M59" i="28"/>
  <c r="M41" i="28"/>
  <c r="M122" i="28"/>
  <c r="M104" i="28"/>
  <c r="M7" i="28"/>
  <c r="BH150" i="1"/>
  <c r="BI150" i="1" s="1"/>
  <c r="BJ150" i="1" s="1"/>
  <c r="CC151" i="1"/>
  <c r="DC151" i="1"/>
  <c r="CV151" i="1"/>
  <c r="CC150" i="1"/>
  <c r="DC150" i="1"/>
  <c r="CV150" i="1"/>
  <c r="BJ149" i="1"/>
  <c r="BK151" i="1"/>
  <c r="BV151" i="1" s="1"/>
  <c r="BL151" i="1"/>
  <c r="BU151" i="1" s="1"/>
  <c r="M5" i="28"/>
  <c r="H5" i="28" s="1"/>
  <c r="O4" i="28"/>
  <c r="BH146" i="1" l="1"/>
  <c r="BI146" i="1" s="1"/>
  <c r="BJ146" i="1" s="1"/>
  <c r="O115" i="34"/>
  <c r="P115" i="34" s="1"/>
  <c r="Q115" i="34" s="1"/>
  <c r="I113" i="34"/>
  <c r="J113" i="34" s="1"/>
  <c r="BH144" i="1"/>
  <c r="BT144" i="1"/>
  <c r="I116" i="34"/>
  <c r="J116" i="34" s="1"/>
  <c r="BT148" i="1"/>
  <c r="BH148" i="1"/>
  <c r="I114" i="34"/>
  <c r="J114" i="34" s="1"/>
  <c r="BH145" i="1"/>
  <c r="BT145" i="1"/>
  <c r="O192" i="28"/>
  <c r="S192" i="28" s="1"/>
  <c r="O178" i="28"/>
  <c r="S178" i="28" s="1"/>
  <c r="O174" i="28"/>
  <c r="S174" i="28" s="1"/>
  <c r="O191" i="28"/>
  <c r="S191" i="28" s="1"/>
  <c r="O179" i="28"/>
  <c r="S179" i="28" s="1"/>
  <c r="O180" i="28"/>
  <c r="S180" i="28" s="1"/>
  <c r="O172" i="28"/>
  <c r="S172" i="28" s="1"/>
  <c r="O186" i="28"/>
  <c r="S186" i="28" s="1"/>
  <c r="O190" i="28"/>
  <c r="S190" i="28" s="1"/>
  <c r="O173" i="28"/>
  <c r="S173" i="28" s="1"/>
  <c r="O185" i="28"/>
  <c r="S185" i="28" s="1"/>
  <c r="O184" i="28"/>
  <c r="S184" i="28" s="1"/>
  <c r="O182" i="28"/>
  <c r="S182" i="28" s="1"/>
  <c r="O177" i="28"/>
  <c r="S177" i="28" s="1"/>
  <c r="O193" i="28"/>
  <c r="O183" i="28"/>
  <c r="S183" i="28" s="1"/>
  <c r="O187" i="28"/>
  <c r="S187" i="28" s="1"/>
  <c r="O188" i="28"/>
  <c r="S188" i="28" s="1"/>
  <c r="O181" i="28"/>
  <c r="S181" i="28" s="1"/>
  <c r="O175" i="28"/>
  <c r="S175" i="28" s="1"/>
  <c r="O176" i="28"/>
  <c r="S176" i="28" s="1"/>
  <c r="O189" i="28"/>
  <c r="S189" i="28" s="1"/>
  <c r="BK150" i="1"/>
  <c r="BV150" i="1" s="1"/>
  <c r="BL150" i="1"/>
  <c r="BU150" i="1" s="1"/>
  <c r="O161" i="28"/>
  <c r="O11" i="28"/>
  <c r="O98" i="28"/>
  <c r="O38" i="28"/>
  <c r="O64" i="28"/>
  <c r="O20" i="28"/>
  <c r="O169" i="28"/>
  <c r="O140" i="28"/>
  <c r="O92" i="28"/>
  <c r="O149" i="28"/>
  <c r="O31" i="28"/>
  <c r="O80" i="28"/>
  <c r="O79" i="28"/>
  <c r="O18" i="28"/>
  <c r="O89" i="28"/>
  <c r="O82" i="28"/>
  <c r="O29" i="28"/>
  <c r="O103" i="28"/>
  <c r="O63" i="28"/>
  <c r="O122" i="28"/>
  <c r="O46" i="28"/>
  <c r="O13" i="28"/>
  <c r="O22" i="28"/>
  <c r="O148" i="28"/>
  <c r="O65" i="28"/>
  <c r="O41" i="28"/>
  <c r="O113" i="28"/>
  <c r="O25" i="28"/>
  <c r="O101" i="28"/>
  <c r="O87" i="28"/>
  <c r="O105" i="28"/>
  <c r="O24" i="28"/>
  <c r="O86" i="28"/>
  <c r="O145" i="28"/>
  <c r="O168" i="28"/>
  <c r="O99" i="28"/>
  <c r="O134" i="28"/>
  <c r="O48" i="28"/>
  <c r="O78" i="28"/>
  <c r="O144" i="28"/>
  <c r="O131" i="28"/>
  <c r="O153" i="28"/>
  <c r="O100" i="28"/>
  <c r="O115" i="28"/>
  <c r="O39" i="28"/>
  <c r="O49" i="28"/>
  <c r="O146" i="28"/>
  <c r="O56" i="28"/>
  <c r="O62" i="28"/>
  <c r="O28" i="28"/>
  <c r="O32" i="28"/>
  <c r="O44" i="28"/>
  <c r="O42" i="28"/>
  <c r="O17" i="28"/>
  <c r="O97" i="28"/>
  <c r="O81" i="28"/>
  <c r="O55" i="28"/>
  <c r="O157" i="28"/>
  <c r="O19" i="28"/>
  <c r="O47" i="28"/>
  <c r="O54" i="28"/>
  <c r="O35" i="28"/>
  <c r="O116" i="28"/>
  <c r="O147" i="28"/>
  <c r="O43" i="28"/>
  <c r="O108" i="28"/>
  <c r="O154" i="28"/>
  <c r="O30" i="28"/>
  <c r="O102" i="28"/>
  <c r="O164" i="28"/>
  <c r="O53" i="28"/>
  <c r="O73" i="28"/>
  <c r="O52" i="28"/>
  <c r="O129" i="28"/>
  <c r="O90" i="28"/>
  <c r="O96" i="28"/>
  <c r="O33" i="28"/>
  <c r="O14" i="28"/>
  <c r="O124" i="28"/>
  <c r="O166" i="28"/>
  <c r="O114" i="28"/>
  <c r="O158" i="28"/>
  <c r="O58" i="28"/>
  <c r="O142" i="28"/>
  <c r="O117" i="28"/>
  <c r="O126" i="28"/>
  <c r="O138" i="28"/>
  <c r="O84" i="28"/>
  <c r="O67" i="28"/>
  <c r="O91" i="28"/>
  <c r="O130" i="28"/>
  <c r="O171" i="28"/>
  <c r="O137" i="28"/>
  <c r="O61" i="28"/>
  <c r="O170" i="28"/>
  <c r="O72" i="28"/>
  <c r="O68" i="28"/>
  <c r="O9" i="28"/>
  <c r="O50" i="28"/>
  <c r="O128" i="28"/>
  <c r="O159" i="28"/>
  <c r="O45" i="28"/>
  <c r="O51" i="28"/>
  <c r="O165" i="28"/>
  <c r="O155" i="28"/>
  <c r="O37" i="28"/>
  <c r="O94" i="28"/>
  <c r="O163" i="28"/>
  <c r="S163" i="28" s="1"/>
  <c r="O60" i="28"/>
  <c r="O36" i="28"/>
  <c r="O70" i="28"/>
  <c r="O57" i="28"/>
  <c r="O110" i="28"/>
  <c r="O26" i="28"/>
  <c r="O132" i="28"/>
  <c r="O10" i="28"/>
  <c r="O34" i="28"/>
  <c r="S34" i="28" s="1"/>
  <c r="O23" i="28"/>
  <c r="O139" i="28"/>
  <c r="O162" i="28"/>
  <c r="O27" i="28"/>
  <c r="O93" i="28"/>
  <c r="O69" i="28"/>
  <c r="O66" i="28"/>
  <c r="O127" i="28"/>
  <c r="O120" i="28"/>
  <c r="O151" i="28"/>
  <c r="O141" i="28"/>
  <c r="O136" i="28"/>
  <c r="O111" i="28"/>
  <c r="O123" i="28"/>
  <c r="O167" i="28"/>
  <c r="O143" i="28"/>
  <c r="O118" i="28"/>
  <c r="O160" i="28"/>
  <c r="O40" i="28"/>
  <c r="O83" i="28"/>
  <c r="O119" i="28"/>
  <c r="O104" i="28"/>
  <c r="O107" i="28"/>
  <c r="O135" i="28"/>
  <c r="O109" i="28"/>
  <c r="O71" i="28"/>
  <c r="O152" i="28"/>
  <c r="O88" i="28"/>
  <c r="O156" i="28"/>
  <c r="O74" i="28"/>
  <c r="O150" i="28"/>
  <c r="O15" i="28"/>
  <c r="O76" i="28"/>
  <c r="O21" i="28"/>
  <c r="O12" i="28"/>
  <c r="O106" i="28"/>
  <c r="O95" i="28"/>
  <c r="O121" i="28"/>
  <c r="O133" i="28"/>
  <c r="O16" i="28"/>
  <c r="O112" i="28"/>
  <c r="O75" i="28"/>
  <c r="O125" i="28"/>
  <c r="O59" i="28"/>
  <c r="O85" i="28"/>
  <c r="O8" i="28"/>
  <c r="O77" i="28"/>
  <c r="O7" i="28"/>
  <c r="CC149" i="1"/>
  <c r="CV149" i="1"/>
  <c r="DC149" i="1"/>
  <c r="CC148" i="1"/>
  <c r="CV148" i="1"/>
  <c r="DC148" i="1"/>
  <c r="DC146" i="1"/>
  <c r="CV146" i="1"/>
  <c r="DC147" i="1"/>
  <c r="CV147" i="1"/>
  <c r="O5" i="28"/>
  <c r="I5" i="28" s="1"/>
  <c r="CC146" i="1"/>
  <c r="BK149" i="1"/>
  <c r="BV149" i="1" s="1"/>
  <c r="BL147" i="1"/>
  <c r="BU147" i="1" s="1"/>
  <c r="CC147" i="1"/>
  <c r="BK146" i="1"/>
  <c r="BV146" i="1" s="1"/>
  <c r="BL149" i="1"/>
  <c r="BU149" i="1" s="1"/>
  <c r="BK147" i="1"/>
  <c r="H64" i="28" a="1"/>
  <c r="H64" i="28" s="1"/>
  <c r="P64" i="28" s="1"/>
  <c r="H46" i="28" a="1"/>
  <c r="H46" i="28" s="1"/>
  <c r="P46" i="28" s="1"/>
  <c r="H171" i="28" a="1"/>
  <c r="H171" i="28" s="1"/>
  <c r="P171" i="28" s="1"/>
  <c r="H131" i="28" a="1"/>
  <c r="H131" i="28" s="1"/>
  <c r="P131" i="28" s="1"/>
  <c r="H82" i="28" a="1"/>
  <c r="H82" i="28" s="1"/>
  <c r="P82" i="28" s="1"/>
  <c r="H147" i="28" a="1"/>
  <c r="H147" i="28" s="1"/>
  <c r="P147" i="28" s="1"/>
  <c r="H123" i="28" a="1"/>
  <c r="H123" i="28" s="1"/>
  <c r="P123" i="28" s="1"/>
  <c r="H155" i="28" a="1"/>
  <c r="H155" i="28" s="1"/>
  <c r="P155" i="28" s="1"/>
  <c r="H107" i="28" a="1"/>
  <c r="H107" i="28" s="1"/>
  <c r="P107" i="28" s="1"/>
  <c r="H99" i="28" a="1"/>
  <c r="H99" i="28" s="1"/>
  <c r="P99" i="28" s="1"/>
  <c r="H28" i="28" a="1"/>
  <c r="H28" i="28" s="1"/>
  <c r="P28" i="28" s="1"/>
  <c r="H9" i="28" a="1"/>
  <c r="H9" i="28" s="1"/>
  <c r="P9" i="28" s="1"/>
  <c r="H139" i="28" a="1"/>
  <c r="H139" i="28" s="1"/>
  <c r="P139" i="28" s="1"/>
  <c r="H115" i="28" a="1"/>
  <c r="H115" i="28" s="1"/>
  <c r="P115" i="28" s="1"/>
  <c r="H81" i="28" a="1"/>
  <c r="H81" i="28" s="1"/>
  <c r="P81" i="28" s="1"/>
  <c r="H63" i="28" a="1"/>
  <c r="H63" i="28" s="1"/>
  <c r="P63" i="28" s="1"/>
  <c r="H45" i="28" a="1"/>
  <c r="H45" i="28" s="1"/>
  <c r="P45" i="28" s="1"/>
  <c r="H27" i="28" a="1"/>
  <c r="H27" i="28" s="1"/>
  <c r="P27" i="28" s="1"/>
  <c r="H170" i="28" a="1"/>
  <c r="H170" i="28" s="1"/>
  <c r="P170" i="28" s="1"/>
  <c r="H146" i="28" a="1"/>
  <c r="H146" i="28" s="1"/>
  <c r="P146" i="28" s="1"/>
  <c r="H130" i="28" a="1"/>
  <c r="H130" i="28" s="1"/>
  <c r="P130" i="28" s="1"/>
  <c r="H122" i="28" a="1"/>
  <c r="H122" i="28" s="1"/>
  <c r="P122" i="28" s="1"/>
  <c r="H106" i="28" a="1"/>
  <c r="H106" i="28" s="1"/>
  <c r="P106" i="28" s="1"/>
  <c r="H98" i="28" a="1"/>
  <c r="H98" i="28" s="1"/>
  <c r="P98" i="28" s="1"/>
  <c r="H89" i="28" a="1"/>
  <c r="H89" i="28" s="1"/>
  <c r="P89" i="28" s="1"/>
  <c r="H71" i="28" a="1"/>
  <c r="H71" i="28" s="1"/>
  <c r="P71" i="28" s="1"/>
  <c r="H53" i="28" a="1"/>
  <c r="H53" i="28" s="1"/>
  <c r="P53" i="28" s="1"/>
  <c r="H35" i="28" a="1"/>
  <c r="H35" i="28" s="1"/>
  <c r="P35" i="28" s="1"/>
  <c r="H17" i="28" a="1"/>
  <c r="H17" i="28" s="1"/>
  <c r="P17" i="28" s="1"/>
  <c r="H154" i="28" a="1"/>
  <c r="H154" i="28" s="1"/>
  <c r="P154" i="28" s="1"/>
  <c r="H153" i="28" a="1"/>
  <c r="H153" i="28" s="1"/>
  <c r="P153" i="28" s="1"/>
  <c r="H129" i="28" a="1"/>
  <c r="H129" i="28" s="1"/>
  <c r="P129" i="28" s="1"/>
  <c r="H80" i="28" a="1"/>
  <c r="H80" i="28" s="1"/>
  <c r="P80" i="28" s="1"/>
  <c r="H62" i="28" a="1"/>
  <c r="H62" i="28" s="1"/>
  <c r="P62" i="28" s="1"/>
  <c r="H44" i="28" a="1"/>
  <c r="H44" i="28" s="1"/>
  <c r="P44" i="28" s="1"/>
  <c r="H26" i="28" a="1"/>
  <c r="H26" i="28" s="1"/>
  <c r="P26" i="28" s="1"/>
  <c r="H161" i="28" a="1"/>
  <c r="H161" i="28" s="1"/>
  <c r="P161" i="28" s="1"/>
  <c r="H137" i="28" a="1"/>
  <c r="H137" i="28" s="1"/>
  <c r="P137" i="28" s="1"/>
  <c r="H113" i="28" a="1"/>
  <c r="H113" i="28" s="1"/>
  <c r="P113" i="28" s="1"/>
  <c r="H105" i="28" a="1"/>
  <c r="H105" i="28" s="1"/>
  <c r="P105" i="28" s="1"/>
  <c r="H169" i="28" a="1"/>
  <c r="H169" i="28" s="1"/>
  <c r="P169" i="28" s="1"/>
  <c r="H145" i="28" a="1"/>
  <c r="H145" i="28" s="1"/>
  <c r="P145" i="28" s="1"/>
  <c r="H121" i="28" a="1"/>
  <c r="H121" i="28" s="1"/>
  <c r="P121" i="28" s="1"/>
  <c r="H97" i="28" a="1"/>
  <c r="H97" i="28" s="1"/>
  <c r="P97" i="28" s="1"/>
  <c r="H88" i="28" a="1"/>
  <c r="H88" i="28" s="1"/>
  <c r="P88" i="28" s="1"/>
  <c r="H70" i="28" a="1"/>
  <c r="H70" i="28" s="1"/>
  <c r="P70" i="28" s="1"/>
  <c r="H52" i="28" a="1"/>
  <c r="H52" i="28" s="1"/>
  <c r="P52" i="28" s="1"/>
  <c r="H34" i="28" a="1"/>
  <c r="H34" i="28" s="1"/>
  <c r="P34" i="28" s="1"/>
  <c r="H16" i="28" a="1"/>
  <c r="H16" i="28" s="1"/>
  <c r="P16" i="28" s="1"/>
  <c r="H8" i="28" a="1"/>
  <c r="H8" i="28" s="1"/>
  <c r="H11" i="28" a="1"/>
  <c r="H11" i="28" s="1"/>
  <c r="P11" i="28" s="1"/>
  <c r="H12" i="28" a="1"/>
  <c r="H12" i="28" s="1"/>
  <c r="P12" i="28" s="1"/>
  <c r="H18" i="28" a="1"/>
  <c r="H18" i="28" s="1"/>
  <c r="P18" i="28" s="1"/>
  <c r="H24" i="28" a="1"/>
  <c r="H24" i="28" s="1"/>
  <c r="P24" i="28" s="1"/>
  <c r="H30" i="28" a="1"/>
  <c r="H30" i="28" s="1"/>
  <c r="P30" i="28" s="1"/>
  <c r="H36" i="28" a="1"/>
  <c r="H36" i="28" s="1"/>
  <c r="P36" i="28" s="1"/>
  <c r="H42" i="28" a="1"/>
  <c r="H42" i="28" s="1"/>
  <c r="P42" i="28" s="1"/>
  <c r="H48" i="28" a="1"/>
  <c r="H48" i="28" s="1"/>
  <c r="P48" i="28" s="1"/>
  <c r="H54" i="28" a="1"/>
  <c r="H54" i="28" s="1"/>
  <c r="P54" i="28" s="1"/>
  <c r="H60" i="28" a="1"/>
  <c r="H60" i="28" s="1"/>
  <c r="P60" i="28" s="1"/>
  <c r="H66" i="28" a="1"/>
  <c r="H66" i="28" s="1"/>
  <c r="P66" i="28" s="1"/>
  <c r="H72" i="28" a="1"/>
  <c r="H72" i="28" s="1"/>
  <c r="P72" i="28" s="1"/>
  <c r="H78" i="28" a="1"/>
  <c r="H78" i="28" s="1"/>
  <c r="P78" i="28" s="1"/>
  <c r="H84" i="28" a="1"/>
  <c r="H84" i="28" s="1"/>
  <c r="P84" i="28" s="1"/>
  <c r="H90" i="28" a="1"/>
  <c r="H90" i="28" s="1"/>
  <c r="P90" i="28" s="1"/>
  <c r="H96" i="28" a="1"/>
  <c r="H96" i="28" s="1"/>
  <c r="P96" i="28" s="1"/>
  <c r="H102" i="28" a="1"/>
  <c r="H102" i="28" s="1"/>
  <c r="P102" i="28" s="1"/>
  <c r="H108" i="28" a="1"/>
  <c r="H108" i="28" s="1"/>
  <c r="P108" i="28" s="1"/>
  <c r="H114" i="28" a="1"/>
  <c r="H114" i="28" s="1"/>
  <c r="P114" i="28" s="1"/>
  <c r="H120" i="28" a="1"/>
  <c r="H120" i="28" s="1"/>
  <c r="P120" i="28" s="1"/>
  <c r="H126" i="28" a="1"/>
  <c r="H126" i="28" s="1"/>
  <c r="P126" i="28" s="1"/>
  <c r="H132" i="28" a="1"/>
  <c r="H132" i="28" s="1"/>
  <c r="P132" i="28" s="1"/>
  <c r="H138" i="28" a="1"/>
  <c r="H138" i="28" s="1"/>
  <c r="P138" i="28" s="1"/>
  <c r="H144" i="28" a="1"/>
  <c r="H144" i="28" s="1"/>
  <c r="P144" i="28" s="1"/>
  <c r="H150" i="28" a="1"/>
  <c r="H150" i="28" s="1"/>
  <c r="P150" i="28" s="1"/>
  <c r="H156" i="28" a="1"/>
  <c r="H156" i="28" s="1"/>
  <c r="P156" i="28" s="1"/>
  <c r="H162" i="28" a="1"/>
  <c r="H162" i="28" s="1"/>
  <c r="P162" i="28" s="1"/>
  <c r="H168" i="28" a="1"/>
  <c r="H168" i="28" s="1"/>
  <c r="P168" i="28" s="1"/>
  <c r="H13" i="28" a="1"/>
  <c r="H13" i="28" s="1"/>
  <c r="H19" i="28" a="1"/>
  <c r="H19" i="28" s="1"/>
  <c r="P19" i="28" s="1"/>
  <c r="H25" i="28" a="1"/>
  <c r="H25" i="28" s="1"/>
  <c r="P25" i="28" s="1"/>
  <c r="H31" i="28" a="1"/>
  <c r="H31" i="28" s="1"/>
  <c r="P31" i="28" s="1"/>
  <c r="H37" i="28" a="1"/>
  <c r="H37" i="28" s="1"/>
  <c r="P37" i="28" s="1"/>
  <c r="H43" i="28" a="1"/>
  <c r="H43" i="28" s="1"/>
  <c r="P43" i="28" s="1"/>
  <c r="H49" i="28" a="1"/>
  <c r="H49" i="28" s="1"/>
  <c r="P49" i="28" s="1"/>
  <c r="H55" i="28" a="1"/>
  <c r="H55" i="28" s="1"/>
  <c r="H61" i="28" a="1"/>
  <c r="H61" i="28" s="1"/>
  <c r="P61" i="28" s="1"/>
  <c r="H67" i="28" a="1"/>
  <c r="H67" i="28" s="1"/>
  <c r="P67" i="28" s="1"/>
  <c r="H73" i="28" a="1"/>
  <c r="H73" i="28" s="1"/>
  <c r="P73" i="28" s="1"/>
  <c r="H79" i="28" a="1"/>
  <c r="H79" i="28" s="1"/>
  <c r="P79" i="28" s="1"/>
  <c r="H85" i="28" a="1"/>
  <c r="H85" i="28" s="1"/>
  <c r="P85" i="28" s="1"/>
  <c r="H91" i="28" a="1"/>
  <c r="H91" i="28" s="1"/>
  <c r="P91" i="28" s="1"/>
  <c r="H160" i="28" a="1"/>
  <c r="H160" i="28" s="1"/>
  <c r="P160" i="28" s="1"/>
  <c r="H152" i="28" a="1"/>
  <c r="H152" i="28" s="1"/>
  <c r="P152" i="28" s="1"/>
  <c r="H136" i="28" a="1"/>
  <c r="H136" i="28" s="1"/>
  <c r="P136" i="28" s="1"/>
  <c r="H128" i="28" a="1"/>
  <c r="H128" i="28" s="1"/>
  <c r="P128" i="28" s="1"/>
  <c r="H112" i="28" a="1"/>
  <c r="H112" i="28" s="1"/>
  <c r="P112" i="28" s="1"/>
  <c r="H104" i="28" a="1"/>
  <c r="H104" i="28" s="1"/>
  <c r="P104" i="28" s="1"/>
  <c r="H87" i="28" a="1"/>
  <c r="H87" i="28" s="1"/>
  <c r="P87" i="28" s="1"/>
  <c r="H69" i="28" a="1"/>
  <c r="H69" i="28" s="1"/>
  <c r="P69" i="28" s="1"/>
  <c r="H51" i="28" a="1"/>
  <c r="H51" i="28" s="1"/>
  <c r="P51" i="28" s="1"/>
  <c r="H33" i="28" a="1"/>
  <c r="H33" i="28" s="1"/>
  <c r="P33" i="28" s="1"/>
  <c r="H15" i="28" a="1"/>
  <c r="H15" i="28" s="1"/>
  <c r="P15" i="28" s="1"/>
  <c r="H167" i="28" a="1"/>
  <c r="H167" i="28" s="1"/>
  <c r="P167" i="28" s="1"/>
  <c r="H159" i="28" a="1"/>
  <c r="H159" i="28" s="1"/>
  <c r="P159" i="28" s="1"/>
  <c r="H143" i="28" a="1"/>
  <c r="H143" i="28" s="1"/>
  <c r="P143" i="28" s="1"/>
  <c r="H135" i="28" a="1"/>
  <c r="H135" i="28" s="1"/>
  <c r="P135" i="28" s="1"/>
  <c r="H119" i="28" a="1"/>
  <c r="H119" i="28" s="1"/>
  <c r="P119" i="28" s="1"/>
  <c r="H111" i="28" a="1"/>
  <c r="H111" i="28" s="1"/>
  <c r="P111" i="28" s="1"/>
  <c r="H95" i="28" a="1"/>
  <c r="H95" i="28" s="1"/>
  <c r="P95" i="28" s="1"/>
  <c r="H77" i="28" a="1"/>
  <c r="H77" i="28" s="1"/>
  <c r="P77" i="28" s="1"/>
  <c r="H59" i="28" a="1"/>
  <c r="H59" i="28" s="1"/>
  <c r="P59" i="28" s="1"/>
  <c r="H41" i="28" a="1"/>
  <c r="H41" i="28" s="1"/>
  <c r="P41" i="28" s="1"/>
  <c r="H23" i="28" a="1"/>
  <c r="H23" i="28" s="1"/>
  <c r="P23" i="28" s="1"/>
  <c r="H151" i="28" a="1"/>
  <c r="H151" i="28" s="1"/>
  <c r="P151" i="28" s="1"/>
  <c r="H127" i="28" a="1"/>
  <c r="H127" i="28" s="1"/>
  <c r="P127" i="28" s="1"/>
  <c r="H103" i="28" a="1"/>
  <c r="H103" i="28" s="1"/>
  <c r="P103" i="28" s="1"/>
  <c r="H86" i="28" a="1"/>
  <c r="H86" i="28" s="1"/>
  <c r="P86" i="28" s="1"/>
  <c r="H68" i="28" a="1"/>
  <c r="H68" i="28" s="1"/>
  <c r="P68" i="28" s="1"/>
  <c r="H50" i="28" a="1"/>
  <c r="H50" i="28" s="1"/>
  <c r="P50" i="28" s="1"/>
  <c r="H32" i="28" a="1"/>
  <c r="H32" i="28" s="1"/>
  <c r="P32" i="28" s="1"/>
  <c r="H14" i="28" a="1"/>
  <c r="H14" i="28" s="1"/>
  <c r="P14" i="28" s="1"/>
  <c r="H166" i="28" a="1"/>
  <c r="H166" i="28" s="1"/>
  <c r="P166" i="28" s="1"/>
  <c r="H158" i="28" a="1"/>
  <c r="H158" i="28" s="1"/>
  <c r="P158" i="28" s="1"/>
  <c r="H142" i="28" a="1"/>
  <c r="H142" i="28" s="1"/>
  <c r="P142" i="28" s="1"/>
  <c r="H134" i="28" a="1"/>
  <c r="H134" i="28" s="1"/>
  <c r="P134" i="28" s="1"/>
  <c r="H118" i="28" a="1"/>
  <c r="H118" i="28" s="1"/>
  <c r="P118" i="28" s="1"/>
  <c r="H110" i="28" a="1"/>
  <c r="H110" i="28" s="1"/>
  <c r="P110" i="28" s="1"/>
  <c r="H94" i="28" a="1"/>
  <c r="H94" i="28" s="1"/>
  <c r="P94" i="28" s="1"/>
  <c r="H76" i="28" a="1"/>
  <c r="H76" i="28" s="1"/>
  <c r="P76" i="28" s="1"/>
  <c r="H58" i="28" a="1"/>
  <c r="H58" i="28" s="1"/>
  <c r="P58" i="28" s="1"/>
  <c r="H40" i="28" a="1"/>
  <c r="H40" i="28" s="1"/>
  <c r="P40" i="28" s="1"/>
  <c r="H22" i="28" a="1"/>
  <c r="H22" i="28" s="1"/>
  <c r="P22" i="28" s="1"/>
  <c r="H165" i="28" a="1"/>
  <c r="H165" i="28" s="1"/>
  <c r="P165" i="28" s="1"/>
  <c r="H149" i="28" a="1"/>
  <c r="H149" i="28" s="1"/>
  <c r="P149" i="28" s="1"/>
  <c r="H141" i="28" a="1"/>
  <c r="H141" i="28" s="1"/>
  <c r="P141" i="28" s="1"/>
  <c r="H125" i="28" a="1"/>
  <c r="H125" i="28" s="1"/>
  <c r="P125" i="28" s="1"/>
  <c r="H117" i="28" a="1"/>
  <c r="H117" i="28" s="1"/>
  <c r="P117" i="28" s="1"/>
  <c r="H101" i="28" a="1"/>
  <c r="H101" i="28" s="1"/>
  <c r="P101" i="28" s="1"/>
  <c r="H93" i="28" a="1"/>
  <c r="H93" i="28" s="1"/>
  <c r="P93" i="28" s="1"/>
  <c r="H75" i="28" a="1"/>
  <c r="H75" i="28" s="1"/>
  <c r="P75" i="28" s="1"/>
  <c r="H57" i="28" a="1"/>
  <c r="H57" i="28" s="1"/>
  <c r="P57" i="28" s="1"/>
  <c r="H39" i="28" a="1"/>
  <c r="H39" i="28" s="1"/>
  <c r="P39" i="28" s="1"/>
  <c r="H21" i="28" a="1"/>
  <c r="H21" i="28" s="1"/>
  <c r="P21" i="28" s="1"/>
  <c r="H109" i="28" a="1"/>
  <c r="H109" i="28" s="1"/>
  <c r="P109" i="28" s="1"/>
  <c r="H29" i="28" a="1"/>
  <c r="H29" i="28" s="1"/>
  <c r="P29" i="28" s="1"/>
  <c r="H157" i="28" a="1"/>
  <c r="H157" i="28" s="1"/>
  <c r="P157" i="28" s="1"/>
  <c r="H133" i="28" a="1"/>
  <c r="H133" i="28" s="1"/>
  <c r="P133" i="28" s="1"/>
  <c r="H83" i="28" a="1"/>
  <c r="H83" i="28" s="1"/>
  <c r="P83" i="28" s="1"/>
  <c r="H65" i="28" a="1"/>
  <c r="H65" i="28" s="1"/>
  <c r="P65" i="28" s="1"/>
  <c r="H47" i="28" a="1"/>
  <c r="H47" i="28" s="1"/>
  <c r="P47" i="28" s="1"/>
  <c r="H164" i="28" a="1"/>
  <c r="H164" i="28" s="1"/>
  <c r="P164" i="28" s="1"/>
  <c r="H148" i="28" a="1"/>
  <c r="H148" i="28" s="1"/>
  <c r="P148" i="28" s="1"/>
  <c r="H140" i="28" a="1"/>
  <c r="H140" i="28" s="1"/>
  <c r="P140" i="28" s="1"/>
  <c r="H124" i="28" a="1"/>
  <c r="H124" i="28" s="1"/>
  <c r="P124" i="28" s="1"/>
  <c r="H116" i="28" a="1"/>
  <c r="H116" i="28" s="1"/>
  <c r="P116" i="28" s="1"/>
  <c r="H100" i="28" a="1"/>
  <c r="H100" i="28" s="1"/>
  <c r="P100" i="28" s="1"/>
  <c r="H92" i="28" a="1"/>
  <c r="H92" i="28" s="1"/>
  <c r="P92" i="28" s="1"/>
  <c r="H74" i="28" a="1"/>
  <c r="H74" i="28" s="1"/>
  <c r="P74" i="28" s="1"/>
  <c r="H56" i="28" a="1"/>
  <c r="H56" i="28" s="1"/>
  <c r="P56" i="28" s="1"/>
  <c r="H38" i="28" a="1"/>
  <c r="H38" i="28" s="1"/>
  <c r="P38" i="28" s="1"/>
  <c r="H20" i="28" a="1"/>
  <c r="H20" i="28" s="1"/>
  <c r="P20" i="28" s="1"/>
  <c r="H10" i="28" a="1"/>
  <c r="H10" i="28" s="1"/>
  <c r="P10" i="28" s="1"/>
  <c r="Z9" i="28" l="1"/>
  <c r="BL146" i="1"/>
  <c r="BU146" i="1" s="1"/>
  <c r="AI12" i="28" a="1"/>
  <c r="AI12" i="28" s="1"/>
  <c r="AI7" i="28" a="1"/>
  <c r="AI7" i="28" s="1"/>
  <c r="P5" i="28"/>
  <c r="S7" i="28"/>
  <c r="N116" i="34"/>
  <c r="BI148" i="1"/>
  <c r="BI145" i="1"/>
  <c r="N114" i="34"/>
  <c r="BI144" i="1"/>
  <c r="N113" i="34"/>
  <c r="AK115" i="34"/>
  <c r="AM115" i="34" s="1"/>
  <c r="H3" i="28"/>
  <c r="I2" i="28" s="1"/>
  <c r="H2" i="28" s="1"/>
  <c r="Y17" i="28"/>
  <c r="Y18" i="28" s="1"/>
  <c r="X91" i="28" a="1"/>
  <c r="S193" i="28"/>
  <c r="P13" i="28"/>
  <c r="AC13" i="28"/>
  <c r="P55" i="28"/>
  <c r="AD12" i="28"/>
  <c r="AC12" i="28"/>
  <c r="AC17" i="28" s="1"/>
  <c r="Y10" i="28"/>
  <c r="Y9" i="28"/>
  <c r="P8" i="28"/>
  <c r="Y8" i="28"/>
  <c r="Y58" i="28" a="1"/>
  <c r="Y58" i="28" s="1"/>
  <c r="BV147" i="1"/>
  <c r="AI17" i="28" l="1"/>
  <c r="Q5" i="28"/>
  <c r="T5" i="28" s="1"/>
  <c r="P4" i="28"/>
  <c r="Q4" i="28" s="1"/>
  <c r="O113" i="34"/>
  <c r="P113" i="34" s="1"/>
  <c r="Q113" i="34" s="1"/>
  <c r="BJ144" i="1"/>
  <c r="O114" i="34"/>
  <c r="P114" i="34" s="1"/>
  <c r="Q114" i="34" s="1"/>
  <c r="BJ145" i="1"/>
  <c r="BL145" i="1" s="1"/>
  <c r="BU145" i="1" s="1"/>
  <c r="BJ148" i="1"/>
  <c r="BK148" i="1" s="1"/>
  <c r="BV148" i="1" s="1"/>
  <c r="O116" i="34"/>
  <c r="P116" i="34" s="1"/>
  <c r="Q116" i="34" s="1"/>
  <c r="AA12" i="28"/>
  <c r="AA1" i="28"/>
  <c r="Z1" i="28" s="1"/>
  <c r="AI1" i="28"/>
  <c r="X91" i="28"/>
  <c r="Y91" i="28" s="1" a="1"/>
  <c r="Y91" i="28" s="1"/>
  <c r="AC14" i="28"/>
  <c r="AE12" i="28"/>
  <c r="AF12" i="28"/>
  <c r="AA78" i="28"/>
  <c r="AA62" i="28"/>
  <c r="AA83" i="28"/>
  <c r="AA72" i="28"/>
  <c r="AA67" i="28"/>
  <c r="AA86" i="28"/>
  <c r="AA75" i="28"/>
  <c r="AA79" i="28"/>
  <c r="AA65" i="28"/>
  <c r="AA59" i="28"/>
  <c r="AA80" i="28"/>
  <c r="AA64" i="28"/>
  <c r="AA60" i="28"/>
  <c r="AA84" i="28"/>
  <c r="AA69" i="28"/>
  <c r="AA66" i="28"/>
  <c r="AA58" i="28"/>
  <c r="AA85" i="28"/>
  <c r="AA71" i="28"/>
  <c r="AA61" i="28"/>
  <c r="AA74" i="28"/>
  <c r="AA73" i="28"/>
  <c r="AA82" i="28"/>
  <c r="AA70" i="28"/>
  <c r="AA76" i="28"/>
  <c r="AA68" i="28"/>
  <c r="AA81" i="28"/>
  <c r="AA63" i="28"/>
  <c r="AA77" i="28"/>
  <c r="T4" i="28" l="1"/>
  <c r="R5" i="28"/>
  <c r="AK114" i="34"/>
  <c r="AM114" i="34" s="1"/>
  <c r="BL148" i="1"/>
  <c r="BU148" i="1" s="1"/>
  <c r="CC145" i="1"/>
  <c r="CV145" i="1"/>
  <c r="DC145" i="1"/>
  <c r="BK145" i="1"/>
  <c r="CC144" i="1"/>
  <c r="DC144" i="1"/>
  <c r="BK144" i="1"/>
  <c r="BV144" i="1" s="1"/>
  <c r="CV144" i="1"/>
  <c r="AK116" i="34"/>
  <c r="AM116" i="34" s="1"/>
  <c r="BL144" i="1"/>
  <c r="BU144" i="1" s="1"/>
  <c r="AK113" i="34"/>
  <c r="AM113" i="34" s="1"/>
  <c r="AH58" i="28" a="1"/>
  <c r="AH58" i="28" s="1"/>
  <c r="AH11" i="28"/>
  <c r="AB11" i="28"/>
  <c r="AH6" i="28"/>
  <c r="AB6" i="28"/>
  <c r="X7" i="28"/>
  <c r="X17" i="28"/>
  <c r="BV145" i="1" l="1"/>
  <c r="CM45" i="1"/>
  <c r="S16" i="28"/>
  <c r="S123" i="28"/>
  <c r="S156" i="28"/>
  <c r="S154" i="28"/>
  <c r="S103" i="28"/>
  <c r="S104" i="28"/>
  <c r="S65" i="28"/>
  <c r="S58" i="28"/>
  <c r="S165" i="28"/>
  <c r="S170" i="28"/>
  <c r="S98" i="28"/>
  <c r="S26" i="28"/>
  <c r="S75" i="28"/>
  <c r="S157" i="28"/>
  <c r="S85" i="28"/>
  <c r="S60" i="28"/>
  <c r="S120" i="28"/>
  <c r="S89" i="28"/>
  <c r="S35" i="28"/>
  <c r="S137" i="28"/>
  <c r="S160" i="28"/>
  <c r="S44" i="28"/>
  <c r="S17" i="28"/>
  <c r="S150" i="28"/>
  <c r="S97" i="28"/>
  <c r="S12" i="28"/>
  <c r="S81" i="28"/>
  <c r="S108" i="28"/>
  <c r="S71" i="28"/>
  <c r="S153" i="28"/>
  <c r="S164" i="28"/>
  <c r="S92" i="28"/>
  <c r="S20" i="28"/>
  <c r="S63" i="28"/>
  <c r="S151" i="28"/>
  <c r="S79" i="28"/>
  <c r="S10" i="28"/>
  <c r="S77" i="28"/>
  <c r="S168" i="28"/>
  <c r="S118" i="28"/>
  <c r="S94" i="28"/>
  <c r="S149" i="28"/>
  <c r="S50" i="28"/>
  <c r="S64" i="28"/>
  <c r="S116" i="28"/>
  <c r="S106" i="28"/>
  <c r="S38" i="28"/>
  <c r="S132" i="28"/>
  <c r="S167" i="28"/>
  <c r="S84" i="28"/>
  <c r="S147" i="28"/>
  <c r="S158" i="28"/>
  <c r="S86" i="28"/>
  <c r="S14" i="28"/>
  <c r="S51" i="28"/>
  <c r="S145" i="28"/>
  <c r="S73" i="28"/>
  <c r="S119" i="28"/>
  <c r="S36" i="28"/>
  <c r="S131" i="28"/>
  <c r="S78" i="28"/>
  <c r="S11" i="28"/>
  <c r="S54" i="28"/>
  <c r="S109" i="28"/>
  <c r="S138" i="28"/>
  <c r="S144" i="28"/>
  <c r="S110" i="28"/>
  <c r="S22" i="28"/>
  <c r="S32" i="28"/>
  <c r="S76" i="28"/>
  <c r="S100" i="28"/>
  <c r="S135" i="28"/>
  <c r="S152" i="28"/>
  <c r="S80" i="28"/>
  <c r="S8" i="28"/>
  <c r="S45" i="28"/>
  <c r="S139" i="28"/>
  <c r="S67" i="28"/>
  <c r="S29" i="28"/>
  <c r="S46" i="28"/>
  <c r="S95" i="28"/>
  <c r="S143" i="28"/>
  <c r="S107" i="28"/>
  <c r="S70" i="28"/>
  <c r="S9" i="28"/>
  <c r="S169" i="28"/>
  <c r="S19" i="28"/>
  <c r="S113" i="28"/>
  <c r="S117" i="28"/>
  <c r="S146" i="28"/>
  <c r="S74" i="28"/>
  <c r="S171" i="28"/>
  <c r="S39" i="28"/>
  <c r="S133" i="28"/>
  <c r="S61" i="28"/>
  <c r="S42" i="28"/>
  <c r="S72" i="28"/>
  <c r="S66" i="28"/>
  <c r="S155" i="28"/>
  <c r="S148" i="28"/>
  <c r="S96" i="28"/>
  <c r="S122" i="28"/>
  <c r="S90" i="28"/>
  <c r="S48" i="28"/>
  <c r="S59" i="28"/>
  <c r="S33" i="28"/>
  <c r="S101" i="28"/>
  <c r="S126" i="28"/>
  <c r="S105" i="28"/>
  <c r="S140" i="28"/>
  <c r="S68" i="28"/>
  <c r="S159" i="28"/>
  <c r="S27" i="28"/>
  <c r="S127" i="28"/>
  <c r="S55" i="28"/>
  <c r="S88" i="28"/>
  <c r="S114" i="28"/>
  <c r="S24" i="28"/>
  <c r="S166" i="28"/>
  <c r="S23" i="28"/>
  <c r="S112" i="28"/>
  <c r="S69" i="28"/>
  <c r="S37" i="28"/>
  <c r="S111" i="28"/>
  <c r="S40" i="28"/>
  <c r="S93" i="28"/>
  <c r="S53" i="28"/>
  <c r="S136" i="28"/>
  <c r="S91" i="28"/>
  <c r="S28" i="28"/>
  <c r="S162" i="28"/>
  <c r="S99" i="28"/>
  <c r="S134" i="28"/>
  <c r="S62" i="28"/>
  <c r="S141" i="28"/>
  <c r="S21" i="28"/>
  <c r="S121" i="28"/>
  <c r="S49" i="28"/>
  <c r="S130" i="28"/>
  <c r="S83" i="28"/>
  <c r="S47" i="28"/>
  <c r="S82" i="28"/>
  <c r="S161" i="28"/>
  <c r="S57" i="28"/>
  <c r="S31" i="28"/>
  <c r="S25" i="28"/>
  <c r="S41" i="28"/>
  <c r="S87" i="28"/>
  <c r="S128" i="28"/>
  <c r="S56" i="28"/>
  <c r="S129" i="28"/>
  <c r="S15" i="28"/>
  <c r="S115" i="28"/>
  <c r="S43" i="28"/>
  <c r="S142" i="28"/>
  <c r="S102" i="28"/>
  <c r="S125" i="28"/>
  <c r="S18" i="28"/>
  <c r="S124" i="28"/>
  <c r="S4" i="28" l="1"/>
  <c r="S52" i="28"/>
  <c r="S13" i="28"/>
  <c r="S30" i="28"/>
  <c r="AI13" i="28" l="1" a="1"/>
  <c r="AI13" i="28" s="1"/>
  <c r="A220" i="28"/>
  <c r="A232" i="28"/>
  <c r="A244" i="28"/>
  <c r="A221" i="28"/>
  <c r="A233" i="28"/>
  <c r="A245" i="28"/>
  <c r="A210" i="28"/>
  <c r="A222" i="28"/>
  <c r="A234" i="28"/>
  <c r="A246" i="28"/>
  <c r="A211" i="28"/>
  <c r="A223" i="28"/>
  <c r="A235" i="28"/>
  <c r="A247" i="28"/>
  <c r="A212" i="28"/>
  <c r="A224" i="28"/>
  <c r="A236" i="28"/>
  <c r="A248" i="28"/>
  <c r="A213" i="28"/>
  <c r="A225" i="28"/>
  <c r="A237" i="28"/>
  <c r="A249" i="28"/>
  <c r="A214" i="28"/>
  <c r="A226" i="28"/>
  <c r="A238" i="28"/>
  <c r="A215" i="28"/>
  <c r="A227" i="28"/>
  <c r="A239" i="28"/>
  <c r="A216" i="28"/>
  <c r="A228" i="28"/>
  <c r="A240" i="28"/>
  <c r="A230" i="28"/>
  <c r="A242" i="28"/>
  <c r="A217" i="28"/>
  <c r="A229" i="28"/>
  <c r="A241" i="28"/>
  <c r="A218" i="28"/>
  <c r="A219" i="28"/>
  <c r="A231" i="28"/>
  <c r="A243" i="28"/>
  <c r="AD8" i="28"/>
  <c r="AD2" i="28" s="1"/>
  <c r="AC8" i="28"/>
  <c r="AD7" i="28"/>
  <c r="AJ13" i="28" a="1"/>
  <c r="AJ13" i="28" s="1"/>
  <c r="AJ7" i="28" a="1"/>
  <c r="AJ7" i="28" s="1"/>
  <c r="AJ8" i="28" a="1"/>
  <c r="AJ8" i="28" s="1"/>
  <c r="AJ2" i="28" s="1"/>
  <c r="AI8" i="28" a="1"/>
  <c r="AI8" i="28" s="1"/>
  <c r="AI9" i="28" s="1"/>
  <c r="AJ12" i="28" a="1"/>
  <c r="AJ12" i="28" s="1"/>
  <c r="AD13" i="28"/>
  <c r="Y13" i="28"/>
  <c r="Y11" i="28"/>
  <c r="Y14" i="28"/>
  <c r="Y12" i="28"/>
  <c r="Y16" i="28"/>
  <c r="Y15" i="28"/>
  <c r="AI18" i="28" l="1"/>
  <c r="AD1" i="28"/>
  <c r="AD17" i="28"/>
  <c r="AF13" i="28"/>
  <c r="AD18" i="28"/>
  <c r="AC2" i="28"/>
  <c r="AA2" i="28"/>
  <c r="Z2" i="28" s="1"/>
  <c r="AJ1" i="28"/>
  <c r="AK7" i="28"/>
  <c r="AK1" i="28" s="1"/>
  <c r="AI2" i="28"/>
  <c r="Z16" i="28"/>
  <c r="AE8" i="28"/>
  <c r="AE2" i="28" s="1"/>
  <c r="AF7" i="28"/>
  <c r="AF1" i="28" s="1"/>
  <c r="AJ18" i="28"/>
  <c r="AF8" i="28"/>
  <c r="AF2" i="28" s="1"/>
  <c r="AJ9" i="28"/>
  <c r="AJ3" i="28" s="1"/>
  <c r="AK12" i="28"/>
  <c r="AI14" i="28"/>
  <c r="AI19" i="28" s="1"/>
  <c r="AK13" i="28"/>
  <c r="A163" i="28"/>
  <c r="A196" i="28"/>
  <c r="A197" i="28"/>
  <c r="A209" i="28"/>
  <c r="A198" i="28"/>
  <c r="A199" i="28"/>
  <c r="A188" i="28"/>
  <c r="A200" i="28"/>
  <c r="A189" i="28"/>
  <c r="A201" i="28"/>
  <c r="A190" i="28"/>
  <c r="A202" i="28"/>
  <c r="A191" i="28"/>
  <c r="A203" i="28"/>
  <c r="A194" i="28"/>
  <c r="A192" i="28"/>
  <c r="A204" i="28"/>
  <c r="A193" i="28"/>
  <c r="A205" i="28"/>
  <c r="A195" i="28"/>
  <c r="A150" i="28"/>
  <c r="A108" i="28"/>
  <c r="A107" i="28"/>
  <c r="A30" i="28"/>
  <c r="A35" i="28"/>
  <c r="A83" i="28"/>
  <c r="A20" i="28"/>
  <c r="A40" i="28"/>
  <c r="A125" i="28"/>
  <c r="A149" i="28"/>
  <c r="A136" i="28"/>
  <c r="A7" i="28"/>
  <c r="A60" i="28"/>
  <c r="A8" i="28"/>
  <c r="A185" i="28"/>
  <c r="A48" i="28"/>
  <c r="A146" i="28"/>
  <c r="A27" i="28"/>
  <c r="A71" i="28"/>
  <c r="A18" i="28"/>
  <c r="A93" i="28"/>
  <c r="A56" i="28"/>
  <c r="A63" i="28"/>
  <c r="A86" i="28"/>
  <c r="A114" i="28"/>
  <c r="A187" i="28"/>
  <c r="A152" i="28"/>
  <c r="A142" i="28"/>
  <c r="A178" i="28"/>
  <c r="A112" i="28"/>
  <c r="A38" i="28"/>
  <c r="A159" i="28"/>
  <c r="A144" i="28"/>
  <c r="A174" i="28"/>
  <c r="A72" i="28"/>
  <c r="A133" i="28"/>
  <c r="A75" i="28"/>
  <c r="A131" i="28"/>
  <c r="A52" i="28"/>
  <c r="A91" i="28"/>
  <c r="A184" i="28"/>
  <c r="A148" i="28"/>
  <c r="A67" i="28"/>
  <c r="A80" i="28"/>
  <c r="A45" i="28"/>
  <c r="A161" i="28"/>
  <c r="A168" i="28"/>
  <c r="A181" i="28"/>
  <c r="A169" i="28"/>
  <c r="A85" i="28"/>
  <c r="A65" i="28"/>
  <c r="A76" i="28"/>
  <c r="A74" i="28"/>
  <c r="A19" i="28"/>
  <c r="A68" i="28"/>
  <c r="A103" i="28"/>
  <c r="A102" i="28"/>
  <c r="A130" i="28"/>
  <c r="A21" i="28"/>
  <c r="A70" i="28"/>
  <c r="A129" i="28"/>
  <c r="A165" i="28"/>
  <c r="A10" i="28"/>
  <c r="A186" i="28"/>
  <c r="A157" i="28"/>
  <c r="A101" i="28"/>
  <c r="A156" i="28"/>
  <c r="A122" i="28"/>
  <c r="A90" i="28"/>
  <c r="A28" i="28"/>
  <c r="A59" i="28"/>
  <c r="A98" i="28"/>
  <c r="A113" i="28"/>
  <c r="A88" i="28"/>
  <c r="A127" i="28"/>
  <c r="A32" i="28"/>
  <c r="A87" i="28"/>
  <c r="A43" i="28"/>
  <c r="A164" i="28"/>
  <c r="A17" i="28"/>
  <c r="A61" i="28"/>
  <c r="A31" i="28"/>
  <c r="A180" i="28"/>
  <c r="A73" i="28"/>
  <c r="A81" i="28"/>
  <c r="A42" i="28"/>
  <c r="A50" i="28"/>
  <c r="A95" i="28"/>
  <c r="A23" i="28"/>
  <c r="A14" i="28"/>
  <c r="A139" i="28"/>
  <c r="A105" i="28"/>
  <c r="A104" i="28"/>
  <c r="A128" i="28"/>
  <c r="A46" i="28"/>
  <c r="A82" i="28"/>
  <c r="A154" i="28"/>
  <c r="A55" i="28"/>
  <c r="A49" i="28"/>
  <c r="A84" i="28"/>
  <c r="A97" i="28"/>
  <c r="A134" i="28"/>
  <c r="A109" i="28"/>
  <c r="A47" i="28"/>
  <c r="A99" i="28"/>
  <c r="A15" i="28"/>
  <c r="A182" i="28"/>
  <c r="A170" i="28"/>
  <c r="A138" i="28"/>
  <c r="A124" i="28"/>
  <c r="A141" i="28"/>
  <c r="A162" i="28"/>
  <c r="A160" i="28"/>
  <c r="A22" i="28"/>
  <c r="A119" i="28"/>
  <c r="A116" i="28"/>
  <c r="A89" i="28"/>
  <c r="A158" i="28"/>
  <c r="A66" i="28"/>
  <c r="A120" i="28"/>
  <c r="A11" i="28"/>
  <c r="A39" i="28"/>
  <c r="A12" i="28"/>
  <c r="A171" i="28"/>
  <c r="A147" i="28"/>
  <c r="A143" i="28"/>
  <c r="A115" i="28"/>
  <c r="A41" i="28"/>
  <c r="A29" i="28"/>
  <c r="A140" i="28"/>
  <c r="A94" i="28"/>
  <c r="A166" i="28"/>
  <c r="A172" i="28"/>
  <c r="A79" i="28"/>
  <c r="A96" i="28"/>
  <c r="A126" i="28"/>
  <c r="A64" i="28"/>
  <c r="A26" i="28"/>
  <c r="A132" i="28"/>
  <c r="A110" i="28"/>
  <c r="A16" i="28"/>
  <c r="A123" i="28"/>
  <c r="A51" i="28"/>
  <c r="A44" i="28"/>
  <c r="A78" i="28"/>
  <c r="A111" i="28"/>
  <c r="A33" i="28"/>
  <c r="A13" i="28"/>
  <c r="A167" i="28"/>
  <c r="A24" i="28"/>
  <c r="A100" i="28"/>
  <c r="A117" i="28"/>
  <c r="A37" i="28"/>
  <c r="A69" i="28"/>
  <c r="A53" i="28"/>
  <c r="A175" i="28"/>
  <c r="A145" i="28"/>
  <c r="A177" i="28"/>
  <c r="A179" i="28"/>
  <c r="A25" i="28"/>
  <c r="A36" i="28"/>
  <c r="A155" i="28"/>
  <c r="A121" i="28"/>
  <c r="A137" i="28"/>
  <c r="A135" i="28"/>
  <c r="A183" i="28"/>
  <c r="A151" i="28"/>
  <c r="A173" i="28"/>
  <c r="A92" i="28"/>
  <c r="A176" i="28"/>
  <c r="A77" i="28"/>
  <c r="A58" i="28"/>
  <c r="A106" i="28"/>
  <c r="A9" i="28"/>
  <c r="A57" i="28"/>
  <c r="A54" i="28"/>
  <c r="A118" i="28"/>
  <c r="A153" i="28"/>
  <c r="A62" i="28"/>
  <c r="A34" i="28"/>
  <c r="AD9" i="28"/>
  <c r="AC18" i="28"/>
  <c r="AE13" i="28"/>
  <c r="AK8" i="28"/>
  <c r="AK2" i="28" s="1"/>
  <c r="AD14" i="28"/>
  <c r="AJ14" i="28"/>
  <c r="AJ17" i="28"/>
  <c r="AC9" i="28"/>
  <c r="AC19" i="28" s="1"/>
  <c r="AE7" i="28"/>
  <c r="AE1" i="28" s="1"/>
  <c r="AD19" i="28" l="1"/>
  <c r="AC3" i="28"/>
  <c r="AF14" i="28"/>
  <c r="AK17" i="28"/>
  <c r="AD3" i="28"/>
  <c r="AF9" i="28"/>
  <c r="AF3" i="28" s="1"/>
  <c r="AI3" i="28"/>
  <c r="AE18" i="28"/>
  <c r="A6" i="28"/>
  <c r="A5" i="28" s="1" a="1"/>
  <c r="A5" i="28" s="1"/>
  <c r="AK9" i="28"/>
  <c r="AI10" i="28" s="1"/>
  <c r="AF18" i="28"/>
  <c r="AF17" i="28"/>
  <c r="AK18" i="28"/>
  <c r="AE17" i="28"/>
  <c r="AE14" i="28"/>
  <c r="AD15" i="28" s="1"/>
  <c r="AK14" i="28"/>
  <c r="AI15" i="28" s="1"/>
  <c r="AJ19" i="28"/>
  <c r="AE9" i="28"/>
  <c r="AE3" i="28" s="1"/>
  <c r="AD10" i="28" l="1"/>
  <c r="AK3" i="28"/>
  <c r="AJ10" i="28"/>
  <c r="AE19" i="28"/>
  <c r="AF19" i="28"/>
  <c r="AC15" i="28"/>
  <c r="AK19" i="28"/>
  <c r="AJ15" i="28"/>
  <c r="AC10" i="28"/>
  <c r="AL40" i="1" l="1"/>
  <c r="BZ40" i="1" s="1"/>
  <c r="AM40" i="1"/>
  <c r="BG40" i="1" s="1" a="1"/>
  <c r="BG40" i="1" s="1"/>
  <c r="AO40" i="1"/>
  <c r="AP40" i="1"/>
  <c r="AQ40" i="1"/>
  <c r="AR40" i="1"/>
  <c r="AS40" i="1"/>
  <c r="AL41" i="1"/>
  <c r="AM41" i="1"/>
  <c r="BG41" i="1" s="1" a="1"/>
  <c r="BG41" i="1" s="1"/>
  <c r="AO41" i="1"/>
  <c r="AP41" i="1"/>
  <c r="AQ41" i="1"/>
  <c r="AR41" i="1"/>
  <c r="AS41" i="1"/>
  <c r="AL42" i="1"/>
  <c r="BO183" i="1" s="1"/>
  <c r="AM42" i="1"/>
  <c r="BG42" i="1" s="1" a="1"/>
  <c r="BG42" i="1" s="1"/>
  <c r="AO42" i="1"/>
  <c r="AP42" i="1"/>
  <c r="AQ42" i="1"/>
  <c r="AR42" i="1"/>
  <c r="AS42" i="1"/>
  <c r="AL43" i="1"/>
  <c r="AM43" i="1"/>
  <c r="BG43" i="1" s="1" a="1"/>
  <c r="BG43" i="1" s="1"/>
  <c r="AO43" i="1"/>
  <c r="AP43" i="1"/>
  <c r="AQ43" i="1"/>
  <c r="AR43" i="1"/>
  <c r="AS43" i="1"/>
  <c r="AL44" i="1"/>
  <c r="AM44" i="1"/>
  <c r="BG44" i="1" s="1" a="1"/>
  <c r="BG44" i="1" s="1"/>
  <c r="AO44" i="1"/>
  <c r="AP44" i="1"/>
  <c r="AQ44" i="1"/>
  <c r="AR44" i="1"/>
  <c r="AS44" i="1"/>
  <c r="AL45" i="1"/>
  <c r="AM45" i="1"/>
  <c r="BG45" i="1" s="1" a="1"/>
  <c r="BG45" i="1" s="1"/>
  <c r="AO45" i="1"/>
  <c r="AP45" i="1"/>
  <c r="AQ45" i="1"/>
  <c r="AR45" i="1"/>
  <c r="AS45" i="1"/>
  <c r="AL46" i="1"/>
  <c r="AM46" i="1"/>
  <c r="BG46" i="1" s="1" a="1"/>
  <c r="BG46" i="1" s="1"/>
  <c r="AO46" i="1"/>
  <c r="AP46" i="1"/>
  <c r="AQ46" i="1"/>
  <c r="AR46" i="1"/>
  <c r="AS46" i="1"/>
  <c r="AL47" i="1"/>
  <c r="AM47" i="1"/>
  <c r="BG47" i="1" s="1" a="1"/>
  <c r="BG47" i="1" s="1"/>
  <c r="AO47" i="1"/>
  <c r="AP47" i="1"/>
  <c r="AQ47" i="1"/>
  <c r="AR47" i="1"/>
  <c r="AS47" i="1"/>
  <c r="AL48" i="1"/>
  <c r="AM48" i="1"/>
  <c r="BG48" i="1" s="1" a="1"/>
  <c r="BG48" i="1" s="1"/>
  <c r="AO48" i="1"/>
  <c r="AP48" i="1"/>
  <c r="AQ48" i="1"/>
  <c r="AR48" i="1"/>
  <c r="AS48" i="1"/>
  <c r="AL49" i="1"/>
  <c r="AM49" i="1"/>
  <c r="BG49" i="1" s="1" a="1"/>
  <c r="BG49" i="1" s="1"/>
  <c r="AO49" i="1"/>
  <c r="AP49" i="1"/>
  <c r="AQ49" i="1"/>
  <c r="AR49" i="1"/>
  <c r="AS49" i="1"/>
  <c r="AL50" i="1"/>
  <c r="AM50" i="1"/>
  <c r="BG50" i="1" s="1" a="1"/>
  <c r="BG50" i="1" s="1"/>
  <c r="AO50" i="1"/>
  <c r="AP50" i="1"/>
  <c r="AQ50" i="1"/>
  <c r="AR50" i="1"/>
  <c r="AS50" i="1"/>
  <c r="AL51" i="1"/>
  <c r="AM51" i="1"/>
  <c r="BG51" i="1" s="1" a="1"/>
  <c r="BG51" i="1" s="1"/>
  <c r="AO51" i="1"/>
  <c r="AP51" i="1"/>
  <c r="AQ51" i="1"/>
  <c r="AR51" i="1"/>
  <c r="AS51" i="1"/>
  <c r="AL52" i="1"/>
  <c r="AM52" i="1"/>
  <c r="BG52" i="1" s="1" a="1"/>
  <c r="BG52" i="1" s="1"/>
  <c r="AO52" i="1"/>
  <c r="AP52" i="1"/>
  <c r="AQ52" i="1"/>
  <c r="AR52" i="1"/>
  <c r="AS52" i="1"/>
  <c r="AL53" i="1"/>
  <c r="AM53" i="1"/>
  <c r="BG53" i="1" s="1" a="1"/>
  <c r="BG53" i="1" s="1"/>
  <c r="AO53" i="1"/>
  <c r="AP53" i="1"/>
  <c r="AQ53" i="1"/>
  <c r="AR53" i="1"/>
  <c r="AS53" i="1"/>
  <c r="AL54" i="1"/>
  <c r="AM54" i="1"/>
  <c r="BG54" i="1" s="1" a="1"/>
  <c r="BG54" i="1" s="1"/>
  <c r="AO54" i="1"/>
  <c r="AP54" i="1"/>
  <c r="AQ54" i="1"/>
  <c r="AR54" i="1"/>
  <c r="AS54" i="1"/>
  <c r="AL55" i="1"/>
  <c r="AM55" i="1"/>
  <c r="BG55" i="1" s="1" a="1"/>
  <c r="BG55" i="1" s="1"/>
  <c r="AO55" i="1"/>
  <c r="AP55" i="1"/>
  <c r="AQ55" i="1"/>
  <c r="AR55" i="1"/>
  <c r="AS55" i="1"/>
  <c r="AL56" i="1"/>
  <c r="AM56" i="1"/>
  <c r="BG56" i="1" s="1" a="1"/>
  <c r="BG56" i="1" s="1"/>
  <c r="AO56" i="1"/>
  <c r="AP56" i="1"/>
  <c r="AQ56" i="1"/>
  <c r="AR56" i="1"/>
  <c r="AS56" i="1"/>
  <c r="AL57" i="1"/>
  <c r="AM57" i="1"/>
  <c r="BG57" i="1" s="1" a="1"/>
  <c r="BG57" i="1" s="1"/>
  <c r="AO57" i="1"/>
  <c r="AP57" i="1"/>
  <c r="AQ57" i="1"/>
  <c r="AR57" i="1"/>
  <c r="AS57" i="1"/>
  <c r="AL58" i="1"/>
  <c r="AM58" i="1"/>
  <c r="BG58" i="1" s="1" a="1"/>
  <c r="BG58" i="1" s="1"/>
  <c r="AO58" i="1"/>
  <c r="AP58" i="1"/>
  <c r="AQ58" i="1"/>
  <c r="AR58" i="1"/>
  <c r="AS58" i="1"/>
  <c r="AU58" i="1"/>
  <c r="AL59" i="1"/>
  <c r="AM59" i="1"/>
  <c r="BG59" i="1" s="1" a="1"/>
  <c r="BG59" i="1" s="1"/>
  <c r="AO59" i="1"/>
  <c r="AP59" i="1"/>
  <c r="AQ59" i="1"/>
  <c r="AR59" i="1"/>
  <c r="AS59" i="1"/>
  <c r="AU59" i="1"/>
  <c r="AL60" i="1"/>
  <c r="AM60" i="1"/>
  <c r="BG60" i="1" s="1" a="1"/>
  <c r="BG60" i="1" s="1"/>
  <c r="AO60" i="1"/>
  <c r="AP60" i="1"/>
  <c r="AQ60" i="1"/>
  <c r="AR60" i="1"/>
  <c r="AS60" i="1"/>
  <c r="AL61" i="1"/>
  <c r="AM61" i="1"/>
  <c r="BG61" i="1" s="1" a="1"/>
  <c r="BG61" i="1" s="1"/>
  <c r="AO61" i="1"/>
  <c r="AP61" i="1"/>
  <c r="AQ61" i="1"/>
  <c r="AR61" i="1"/>
  <c r="AS61" i="1"/>
  <c r="AL62" i="1"/>
  <c r="AM62" i="1"/>
  <c r="BG62" i="1" s="1" a="1"/>
  <c r="BG62" i="1" s="1"/>
  <c r="AO62" i="1"/>
  <c r="AP62" i="1"/>
  <c r="AQ62" i="1"/>
  <c r="AR62" i="1"/>
  <c r="AS62" i="1"/>
  <c r="AL63" i="1"/>
  <c r="AM63" i="1"/>
  <c r="BG63" i="1" s="1" a="1"/>
  <c r="BG63" i="1" s="1"/>
  <c r="AO63" i="1"/>
  <c r="AP63" i="1"/>
  <c r="AQ63" i="1"/>
  <c r="AR63" i="1"/>
  <c r="AS63" i="1"/>
  <c r="AL64" i="1"/>
  <c r="AM64" i="1"/>
  <c r="BG64" i="1" s="1" a="1"/>
  <c r="BG64" i="1" s="1"/>
  <c r="AO64" i="1"/>
  <c r="AP64" i="1"/>
  <c r="AQ64" i="1"/>
  <c r="AR64" i="1"/>
  <c r="AS64" i="1"/>
  <c r="AL65" i="1"/>
  <c r="AM65" i="1"/>
  <c r="BG65" i="1" s="1" a="1"/>
  <c r="BG65" i="1" s="1"/>
  <c r="AO65" i="1"/>
  <c r="AP65" i="1"/>
  <c r="AQ65" i="1"/>
  <c r="AR65" i="1"/>
  <c r="AS65" i="1"/>
  <c r="AL66" i="1"/>
  <c r="AM66" i="1"/>
  <c r="BG66" i="1" s="1" a="1"/>
  <c r="BG66" i="1" s="1"/>
  <c r="AO66" i="1"/>
  <c r="AP66" i="1"/>
  <c r="AQ66" i="1"/>
  <c r="AR66" i="1"/>
  <c r="AS66" i="1"/>
  <c r="AL67" i="1"/>
  <c r="AM67" i="1"/>
  <c r="BG67" i="1" s="1" a="1"/>
  <c r="BG67" i="1" s="1"/>
  <c r="AO67" i="1"/>
  <c r="AP67" i="1"/>
  <c r="AQ67" i="1"/>
  <c r="AR67" i="1"/>
  <c r="AS67" i="1"/>
  <c r="AL68" i="1"/>
  <c r="AM68" i="1"/>
  <c r="BG68" i="1" s="1" a="1"/>
  <c r="BG68" i="1" s="1"/>
  <c r="AO68" i="1"/>
  <c r="AP68" i="1"/>
  <c r="AQ68" i="1"/>
  <c r="AR68" i="1"/>
  <c r="AS68" i="1"/>
  <c r="AL69" i="1"/>
  <c r="AM69" i="1"/>
  <c r="BG69" i="1" s="1" a="1"/>
  <c r="BG69" i="1" s="1"/>
  <c r="AO69" i="1"/>
  <c r="AP69" i="1"/>
  <c r="AQ69" i="1"/>
  <c r="AR69" i="1"/>
  <c r="AS69" i="1"/>
  <c r="AL70" i="1"/>
  <c r="AM70" i="1"/>
  <c r="BG70" i="1" s="1" a="1"/>
  <c r="BG70" i="1" s="1"/>
  <c r="AO70" i="1"/>
  <c r="AP70" i="1"/>
  <c r="AQ70" i="1"/>
  <c r="AR70" i="1"/>
  <c r="AS70" i="1"/>
  <c r="AL71" i="1"/>
  <c r="AM71" i="1"/>
  <c r="BG71" i="1" s="1" a="1"/>
  <c r="BG71" i="1" s="1"/>
  <c r="AO71" i="1"/>
  <c r="AP71" i="1"/>
  <c r="AQ71" i="1"/>
  <c r="AR71" i="1"/>
  <c r="AS71" i="1"/>
  <c r="AL72" i="1"/>
  <c r="AM72" i="1"/>
  <c r="BG72" i="1" s="1" a="1"/>
  <c r="BG72" i="1" s="1"/>
  <c r="AO72" i="1"/>
  <c r="AP72" i="1"/>
  <c r="AQ72" i="1"/>
  <c r="AR72" i="1"/>
  <c r="AS72" i="1"/>
  <c r="AL73" i="1"/>
  <c r="AM73" i="1"/>
  <c r="BG73" i="1" s="1" a="1"/>
  <c r="BG73" i="1" s="1"/>
  <c r="AO73" i="1"/>
  <c r="AP73" i="1"/>
  <c r="AQ73" i="1"/>
  <c r="AR73" i="1"/>
  <c r="AS73" i="1"/>
  <c r="AL74" i="1"/>
  <c r="AM74" i="1"/>
  <c r="BG74" i="1" s="1" a="1"/>
  <c r="BG74" i="1" s="1"/>
  <c r="AO74" i="1"/>
  <c r="AP74" i="1"/>
  <c r="AQ74" i="1"/>
  <c r="AR74" i="1"/>
  <c r="AS74" i="1"/>
  <c r="AL75" i="1"/>
  <c r="AM75" i="1"/>
  <c r="BG75" i="1" s="1" a="1"/>
  <c r="BG75" i="1" s="1"/>
  <c r="AO75" i="1"/>
  <c r="AP75" i="1"/>
  <c r="AQ75" i="1"/>
  <c r="AR75" i="1"/>
  <c r="AS75" i="1"/>
  <c r="AL76" i="1"/>
  <c r="AM76" i="1"/>
  <c r="BG76" i="1" s="1" a="1"/>
  <c r="BG76" i="1" s="1"/>
  <c r="AO76" i="1"/>
  <c r="AP76" i="1"/>
  <c r="AQ76" i="1"/>
  <c r="AR76" i="1"/>
  <c r="AS76" i="1"/>
  <c r="AL77" i="1"/>
  <c r="AM77" i="1"/>
  <c r="BG77" i="1" s="1" a="1"/>
  <c r="BG77" i="1" s="1"/>
  <c r="AO77" i="1"/>
  <c r="AP77" i="1"/>
  <c r="AQ77" i="1"/>
  <c r="AR77" i="1"/>
  <c r="AS77" i="1"/>
  <c r="AL78" i="1"/>
  <c r="AM78" i="1"/>
  <c r="BG78" i="1" s="1" a="1"/>
  <c r="BG78" i="1" s="1"/>
  <c r="AO78" i="1"/>
  <c r="AP78" i="1"/>
  <c r="AQ78" i="1"/>
  <c r="AR78" i="1"/>
  <c r="AS78" i="1"/>
  <c r="AL79" i="1"/>
  <c r="AM79" i="1"/>
  <c r="BG79" i="1" s="1" a="1"/>
  <c r="BG79" i="1" s="1"/>
  <c r="AO79" i="1"/>
  <c r="AP79" i="1"/>
  <c r="AQ79" i="1"/>
  <c r="AR79" i="1"/>
  <c r="AS79" i="1"/>
  <c r="AL80" i="1"/>
  <c r="AM80" i="1"/>
  <c r="BG80" i="1" s="1" a="1"/>
  <c r="BG80" i="1" s="1"/>
  <c r="AO80" i="1"/>
  <c r="AP80" i="1"/>
  <c r="AQ80" i="1"/>
  <c r="AR80" i="1"/>
  <c r="AS80" i="1"/>
  <c r="AL81" i="1"/>
  <c r="AM81" i="1"/>
  <c r="BG81" i="1" s="1" a="1"/>
  <c r="BG81" i="1" s="1"/>
  <c r="AO81" i="1"/>
  <c r="AP81" i="1"/>
  <c r="AQ81" i="1"/>
  <c r="AR81" i="1"/>
  <c r="AS81" i="1"/>
  <c r="AL82" i="1"/>
  <c r="AM82" i="1"/>
  <c r="BG82" i="1" s="1" a="1"/>
  <c r="BG82" i="1" s="1"/>
  <c r="AO82" i="1"/>
  <c r="AP82" i="1"/>
  <c r="AQ82" i="1"/>
  <c r="AR82" i="1"/>
  <c r="AS82" i="1"/>
  <c r="AL83" i="1"/>
  <c r="AM83" i="1"/>
  <c r="BG83" i="1" s="1" a="1"/>
  <c r="BG83" i="1" s="1"/>
  <c r="AO83" i="1"/>
  <c r="AP83" i="1"/>
  <c r="AQ83" i="1"/>
  <c r="AR83" i="1"/>
  <c r="AS83" i="1"/>
  <c r="AL84" i="1"/>
  <c r="AM84" i="1"/>
  <c r="BG84" i="1" s="1" a="1"/>
  <c r="BG84" i="1" s="1"/>
  <c r="AO84" i="1"/>
  <c r="AP84" i="1"/>
  <c r="AQ84" i="1"/>
  <c r="AR84" i="1"/>
  <c r="AS84" i="1"/>
  <c r="AL85" i="1"/>
  <c r="AM85" i="1"/>
  <c r="BG85" i="1" s="1" a="1"/>
  <c r="BG85" i="1" s="1"/>
  <c r="AO85" i="1"/>
  <c r="AP85" i="1"/>
  <c r="AQ85" i="1"/>
  <c r="AR85" i="1"/>
  <c r="AS85" i="1"/>
  <c r="AL86" i="1"/>
  <c r="AM86" i="1"/>
  <c r="BG86" i="1" s="1" a="1"/>
  <c r="BG86" i="1" s="1"/>
  <c r="AO86" i="1"/>
  <c r="AP86" i="1"/>
  <c r="AQ86" i="1"/>
  <c r="AR86" i="1"/>
  <c r="AS86" i="1"/>
  <c r="AL87" i="1"/>
  <c r="AM87" i="1"/>
  <c r="BG87" i="1" s="1" a="1"/>
  <c r="BG87" i="1" s="1"/>
  <c r="AO87" i="1"/>
  <c r="AP87" i="1"/>
  <c r="AQ87" i="1"/>
  <c r="AR87" i="1"/>
  <c r="AS87" i="1"/>
  <c r="AL88" i="1"/>
  <c r="AM88" i="1"/>
  <c r="BG88" i="1" s="1" a="1"/>
  <c r="BG88" i="1" s="1"/>
  <c r="AO88" i="1"/>
  <c r="AP88" i="1"/>
  <c r="AQ88" i="1"/>
  <c r="AR88" i="1"/>
  <c r="AS88" i="1"/>
  <c r="AL89" i="1"/>
  <c r="AM89" i="1"/>
  <c r="BG89" i="1" s="1" a="1"/>
  <c r="BG89" i="1" s="1"/>
  <c r="AO89" i="1"/>
  <c r="AP89" i="1"/>
  <c r="AQ89" i="1"/>
  <c r="AR89" i="1"/>
  <c r="AS89" i="1"/>
  <c r="AL90" i="1"/>
  <c r="AM90" i="1"/>
  <c r="BG90" i="1" s="1" a="1"/>
  <c r="BG90" i="1" s="1"/>
  <c r="AO90" i="1"/>
  <c r="AP90" i="1"/>
  <c r="AQ90" i="1"/>
  <c r="AR90" i="1"/>
  <c r="AS90" i="1"/>
  <c r="AL91" i="1"/>
  <c r="AM91" i="1"/>
  <c r="BG91" i="1" s="1" a="1"/>
  <c r="BG91" i="1" s="1"/>
  <c r="AO91" i="1"/>
  <c r="AP91" i="1"/>
  <c r="AQ91" i="1"/>
  <c r="AR91" i="1"/>
  <c r="AS91" i="1"/>
  <c r="AL92" i="1"/>
  <c r="AM92" i="1"/>
  <c r="BG92" i="1" s="1" a="1"/>
  <c r="BG92" i="1" s="1"/>
  <c r="AO92" i="1"/>
  <c r="AP92" i="1"/>
  <c r="AQ92" i="1"/>
  <c r="AR92" i="1"/>
  <c r="AS92" i="1"/>
  <c r="AL93" i="1"/>
  <c r="AM93" i="1"/>
  <c r="BG93" i="1" s="1" a="1"/>
  <c r="BG93" i="1" s="1"/>
  <c r="AO93" i="1"/>
  <c r="AP93" i="1"/>
  <c r="AQ93" i="1"/>
  <c r="AR93" i="1"/>
  <c r="AS93" i="1"/>
  <c r="AL94" i="1"/>
  <c r="AM94" i="1"/>
  <c r="BG94" i="1" s="1" a="1"/>
  <c r="BG94" i="1" s="1"/>
  <c r="AO94" i="1"/>
  <c r="AP94" i="1"/>
  <c r="AQ94" i="1"/>
  <c r="AR94" i="1"/>
  <c r="AS94" i="1"/>
  <c r="AL95" i="1"/>
  <c r="AM95" i="1"/>
  <c r="BG95" i="1" s="1" a="1"/>
  <c r="BG95" i="1" s="1"/>
  <c r="AO95" i="1"/>
  <c r="AP95" i="1"/>
  <c r="AQ95" i="1"/>
  <c r="AR95" i="1"/>
  <c r="AS95" i="1"/>
  <c r="AL96" i="1"/>
  <c r="AM96" i="1"/>
  <c r="BG96" i="1" s="1" a="1"/>
  <c r="BG96" i="1" s="1"/>
  <c r="AO96" i="1"/>
  <c r="AP96" i="1"/>
  <c r="AQ96" i="1"/>
  <c r="AR96" i="1"/>
  <c r="AS96" i="1"/>
  <c r="AL97" i="1"/>
  <c r="AM97" i="1"/>
  <c r="BG97" i="1" s="1" a="1"/>
  <c r="BG97" i="1" s="1"/>
  <c r="AO97" i="1"/>
  <c r="AP97" i="1"/>
  <c r="AQ97" i="1"/>
  <c r="AR97" i="1"/>
  <c r="AS97" i="1"/>
  <c r="AL98" i="1"/>
  <c r="AM98" i="1"/>
  <c r="BG98" i="1" s="1" a="1"/>
  <c r="BG98" i="1" s="1"/>
  <c r="AO98" i="1"/>
  <c r="AP98" i="1"/>
  <c r="AQ98" i="1"/>
  <c r="AR98" i="1"/>
  <c r="AS98" i="1"/>
  <c r="AL99" i="1"/>
  <c r="AM99" i="1"/>
  <c r="BG99" i="1" s="1" a="1"/>
  <c r="BG99" i="1" s="1"/>
  <c r="AO99" i="1"/>
  <c r="AP99" i="1"/>
  <c r="AQ99" i="1"/>
  <c r="AR99" i="1"/>
  <c r="AS99" i="1"/>
  <c r="AL100" i="1"/>
  <c r="AM100" i="1"/>
  <c r="BG100" i="1" s="1" a="1"/>
  <c r="BG100" i="1" s="1"/>
  <c r="AO100" i="1"/>
  <c r="AP100" i="1"/>
  <c r="AQ100" i="1"/>
  <c r="AR100" i="1"/>
  <c r="AS100" i="1"/>
  <c r="AL101" i="1"/>
  <c r="AM101" i="1"/>
  <c r="BG101" i="1" s="1" a="1"/>
  <c r="BG101" i="1" s="1"/>
  <c r="AO101" i="1"/>
  <c r="AP101" i="1"/>
  <c r="AQ101" i="1"/>
  <c r="AR101" i="1"/>
  <c r="AS101" i="1"/>
  <c r="AL102" i="1"/>
  <c r="AM102" i="1"/>
  <c r="BG102" i="1" s="1" a="1"/>
  <c r="BG102" i="1" s="1"/>
  <c r="AO102" i="1"/>
  <c r="AP102" i="1"/>
  <c r="AQ102" i="1"/>
  <c r="AR102" i="1"/>
  <c r="AS102" i="1"/>
  <c r="AL103" i="1"/>
  <c r="AM103" i="1"/>
  <c r="BG103" i="1" s="1" a="1"/>
  <c r="BG103" i="1" s="1"/>
  <c r="AO103" i="1"/>
  <c r="AP103" i="1"/>
  <c r="AQ103" i="1"/>
  <c r="AR103" i="1"/>
  <c r="AS103" i="1"/>
  <c r="AL104" i="1"/>
  <c r="AM104" i="1"/>
  <c r="BG104" i="1" s="1" a="1"/>
  <c r="BG104" i="1" s="1"/>
  <c r="AO104" i="1"/>
  <c r="AP104" i="1"/>
  <c r="AQ104" i="1"/>
  <c r="AR104" i="1"/>
  <c r="AS104" i="1"/>
  <c r="AL105" i="1"/>
  <c r="AM105" i="1"/>
  <c r="BG105" i="1" s="1" a="1"/>
  <c r="BG105" i="1" s="1"/>
  <c r="AO105" i="1"/>
  <c r="AP105" i="1"/>
  <c r="AQ105" i="1"/>
  <c r="AR105" i="1"/>
  <c r="AS105" i="1"/>
  <c r="AL106" i="1"/>
  <c r="AM106" i="1"/>
  <c r="BG106" i="1" s="1" a="1"/>
  <c r="BG106" i="1" s="1"/>
  <c r="AO106" i="1"/>
  <c r="AP106" i="1"/>
  <c r="AQ106" i="1"/>
  <c r="AR106" i="1"/>
  <c r="AS106" i="1"/>
  <c r="AL107" i="1"/>
  <c r="AM107" i="1"/>
  <c r="BG107" i="1" s="1" a="1"/>
  <c r="BG107" i="1" s="1"/>
  <c r="AO107" i="1"/>
  <c r="AP107" i="1"/>
  <c r="AQ107" i="1"/>
  <c r="AR107" i="1"/>
  <c r="AS107" i="1"/>
  <c r="AL108" i="1"/>
  <c r="AM108" i="1"/>
  <c r="BG108" i="1" s="1" a="1"/>
  <c r="BG108" i="1" s="1"/>
  <c r="AO108" i="1"/>
  <c r="AP108" i="1"/>
  <c r="AQ108" i="1"/>
  <c r="AR108" i="1"/>
  <c r="AS108" i="1"/>
  <c r="AL109" i="1"/>
  <c r="AM109" i="1"/>
  <c r="BG109" i="1" s="1" a="1"/>
  <c r="BG109" i="1" s="1"/>
  <c r="AO109" i="1"/>
  <c r="AP109" i="1"/>
  <c r="AQ109" i="1"/>
  <c r="AR109" i="1"/>
  <c r="AS109" i="1"/>
  <c r="AL110" i="1"/>
  <c r="AM110" i="1"/>
  <c r="BG110" i="1" s="1" a="1"/>
  <c r="BG110" i="1" s="1"/>
  <c r="AO110" i="1"/>
  <c r="AP110" i="1"/>
  <c r="AQ110" i="1"/>
  <c r="AR110" i="1"/>
  <c r="AS110" i="1"/>
  <c r="AL111" i="1"/>
  <c r="AM111" i="1"/>
  <c r="BG111" i="1" s="1" a="1"/>
  <c r="BG111" i="1" s="1"/>
  <c r="AO111" i="1"/>
  <c r="AP111" i="1"/>
  <c r="AQ111" i="1"/>
  <c r="AR111" i="1"/>
  <c r="AS111" i="1"/>
  <c r="AL112" i="1"/>
  <c r="AM112" i="1"/>
  <c r="BG112" i="1" s="1" a="1"/>
  <c r="BG112" i="1" s="1"/>
  <c r="AO112" i="1"/>
  <c r="AP112" i="1"/>
  <c r="AQ112" i="1"/>
  <c r="AR112" i="1"/>
  <c r="AS112" i="1"/>
  <c r="AL113" i="1"/>
  <c r="AM113" i="1"/>
  <c r="BG113" i="1" s="1" a="1"/>
  <c r="BG113" i="1" s="1"/>
  <c r="AO113" i="1"/>
  <c r="AP113" i="1"/>
  <c r="AQ113" i="1"/>
  <c r="AR113" i="1"/>
  <c r="AS113" i="1"/>
  <c r="AL114" i="1"/>
  <c r="AM114" i="1"/>
  <c r="BG114" i="1" s="1" a="1"/>
  <c r="BG114" i="1" s="1"/>
  <c r="AO114" i="1"/>
  <c r="AP114" i="1"/>
  <c r="AQ114" i="1"/>
  <c r="AR114" i="1"/>
  <c r="AS114" i="1"/>
  <c r="AL115" i="1"/>
  <c r="AM115" i="1"/>
  <c r="BG115" i="1" s="1" a="1"/>
  <c r="BG115" i="1" s="1"/>
  <c r="AO115" i="1"/>
  <c r="AP115" i="1"/>
  <c r="AQ115" i="1"/>
  <c r="AR115" i="1"/>
  <c r="AS115" i="1"/>
  <c r="AT115" i="1"/>
  <c r="AL116" i="1"/>
  <c r="AM116" i="1"/>
  <c r="BG116" i="1" s="1" a="1"/>
  <c r="BG116" i="1" s="1"/>
  <c r="AO116" i="1"/>
  <c r="AP116" i="1"/>
  <c r="AQ116" i="1"/>
  <c r="AR116" i="1"/>
  <c r="AS116" i="1"/>
  <c r="AT116" i="1"/>
  <c r="AL117" i="1"/>
  <c r="AM117" i="1"/>
  <c r="BG117" i="1" s="1" a="1"/>
  <c r="BG117" i="1" s="1"/>
  <c r="AO117" i="1"/>
  <c r="AP117" i="1"/>
  <c r="AQ117" i="1"/>
  <c r="AR117" i="1"/>
  <c r="AS117" i="1"/>
  <c r="AT117" i="1"/>
  <c r="AL118" i="1"/>
  <c r="AM118" i="1"/>
  <c r="BG118" i="1" s="1" a="1"/>
  <c r="BG118" i="1" s="1"/>
  <c r="AO118" i="1"/>
  <c r="AP118" i="1"/>
  <c r="AQ118" i="1"/>
  <c r="AR118" i="1"/>
  <c r="AS118" i="1"/>
  <c r="AT118" i="1"/>
  <c r="AL119" i="1"/>
  <c r="AM119" i="1"/>
  <c r="BG119" i="1" s="1" a="1"/>
  <c r="BG119" i="1" s="1"/>
  <c r="AO119" i="1"/>
  <c r="AP119" i="1"/>
  <c r="AQ119" i="1"/>
  <c r="AR119" i="1"/>
  <c r="AS119" i="1"/>
  <c r="AT119" i="1"/>
  <c r="AL120" i="1"/>
  <c r="AM120" i="1"/>
  <c r="BG120" i="1" s="1" a="1"/>
  <c r="BG120" i="1" s="1"/>
  <c r="AO120" i="1"/>
  <c r="AP120" i="1"/>
  <c r="AQ120" i="1"/>
  <c r="AR120" i="1"/>
  <c r="AS120" i="1"/>
  <c r="AT120" i="1"/>
  <c r="AL121" i="1"/>
  <c r="AM121" i="1"/>
  <c r="BG121" i="1" s="1" a="1"/>
  <c r="BG121" i="1" s="1"/>
  <c r="AO121" i="1"/>
  <c r="AP121" i="1"/>
  <c r="AQ121" i="1"/>
  <c r="AR121" i="1"/>
  <c r="AS121" i="1"/>
  <c r="AT121" i="1"/>
  <c r="AL122" i="1"/>
  <c r="AM122" i="1"/>
  <c r="BG122" i="1" s="1" a="1"/>
  <c r="BG122" i="1" s="1"/>
  <c r="AO122" i="1"/>
  <c r="AP122" i="1"/>
  <c r="AQ122" i="1"/>
  <c r="AR122" i="1"/>
  <c r="AS122" i="1"/>
  <c r="AT122" i="1"/>
  <c r="AL123" i="1"/>
  <c r="AM123" i="1"/>
  <c r="BG123" i="1" s="1" a="1"/>
  <c r="BG123" i="1" s="1"/>
  <c r="AO123" i="1"/>
  <c r="AP123" i="1"/>
  <c r="AQ123" i="1"/>
  <c r="AR123" i="1"/>
  <c r="AS123" i="1"/>
  <c r="AT123" i="1"/>
  <c r="AL124" i="1"/>
  <c r="AM124" i="1"/>
  <c r="BG124" i="1" s="1" a="1"/>
  <c r="BG124" i="1" s="1"/>
  <c r="AO124" i="1"/>
  <c r="AP124" i="1"/>
  <c r="AQ124" i="1"/>
  <c r="AR124" i="1"/>
  <c r="AS124" i="1"/>
  <c r="AT124" i="1"/>
  <c r="AL125" i="1"/>
  <c r="AM125" i="1"/>
  <c r="BG125" i="1" s="1" a="1"/>
  <c r="BG125" i="1" s="1"/>
  <c r="AO125" i="1"/>
  <c r="AP125" i="1"/>
  <c r="AQ125" i="1"/>
  <c r="AR125" i="1"/>
  <c r="AS125" i="1"/>
  <c r="AT125" i="1"/>
  <c r="AL126" i="1"/>
  <c r="AM126" i="1"/>
  <c r="BG126" i="1" s="1" a="1"/>
  <c r="BG126" i="1" s="1"/>
  <c r="AO126" i="1"/>
  <c r="AP126" i="1"/>
  <c r="AQ126" i="1"/>
  <c r="AR126" i="1"/>
  <c r="AS126" i="1"/>
  <c r="AT126" i="1"/>
  <c r="AL127" i="1"/>
  <c r="AM127" i="1"/>
  <c r="BG127" i="1" s="1" a="1"/>
  <c r="BG127" i="1" s="1"/>
  <c r="AO127" i="1"/>
  <c r="AP127" i="1"/>
  <c r="AQ127" i="1"/>
  <c r="AR127" i="1"/>
  <c r="AS127" i="1"/>
  <c r="AT127" i="1"/>
  <c r="AL128" i="1"/>
  <c r="AM128" i="1"/>
  <c r="BG128" i="1" s="1" a="1"/>
  <c r="BG128" i="1" s="1"/>
  <c r="AO128" i="1"/>
  <c r="AP128" i="1"/>
  <c r="AQ128" i="1"/>
  <c r="AR128" i="1"/>
  <c r="AS128" i="1"/>
  <c r="AT128" i="1"/>
  <c r="AL129" i="1"/>
  <c r="AM129" i="1"/>
  <c r="BG129" i="1" s="1" a="1"/>
  <c r="BG129" i="1" s="1"/>
  <c r="AO129" i="1"/>
  <c r="AP129" i="1"/>
  <c r="AQ129" i="1"/>
  <c r="AR129" i="1"/>
  <c r="AS129" i="1"/>
  <c r="AT129" i="1"/>
  <c r="AL130" i="1"/>
  <c r="AM130" i="1"/>
  <c r="BG130" i="1" s="1" a="1"/>
  <c r="BG130" i="1" s="1"/>
  <c r="AO130" i="1"/>
  <c r="AP130" i="1"/>
  <c r="AQ130" i="1"/>
  <c r="AS130" i="1"/>
  <c r="AT130" i="1"/>
  <c r="AL131" i="1"/>
  <c r="AM131" i="1"/>
  <c r="BG131" i="1" s="1" a="1"/>
  <c r="BG131" i="1" s="1"/>
  <c r="AO131" i="1"/>
  <c r="AP131" i="1"/>
  <c r="AQ131" i="1"/>
  <c r="AS131" i="1"/>
  <c r="AT131" i="1"/>
  <c r="AL132" i="1"/>
  <c r="AM132" i="1"/>
  <c r="BG132" i="1" s="1" a="1"/>
  <c r="BG132" i="1" s="1"/>
  <c r="AO132" i="1"/>
  <c r="AP132" i="1"/>
  <c r="AQ132" i="1"/>
  <c r="AS132" i="1"/>
  <c r="AT132" i="1"/>
  <c r="AL133" i="1"/>
  <c r="AM133" i="1"/>
  <c r="BG133" i="1" s="1" a="1"/>
  <c r="BG133" i="1" s="1"/>
  <c r="AO133" i="1"/>
  <c r="AP133" i="1"/>
  <c r="AQ133" i="1"/>
  <c r="AS133" i="1"/>
  <c r="AT133" i="1"/>
  <c r="AL134" i="1"/>
  <c r="AM134" i="1"/>
  <c r="BG134" i="1" s="1" a="1"/>
  <c r="BG134" i="1" s="1"/>
  <c r="AO134" i="1"/>
  <c r="AP134" i="1"/>
  <c r="AQ134" i="1"/>
  <c r="AS134" i="1"/>
  <c r="AT134" i="1"/>
  <c r="AL135" i="1"/>
  <c r="AM135" i="1"/>
  <c r="BG135" i="1" s="1" a="1"/>
  <c r="BG135" i="1" s="1"/>
  <c r="AO135" i="1"/>
  <c r="AP135" i="1"/>
  <c r="AQ135" i="1"/>
  <c r="AS135" i="1"/>
  <c r="AT135" i="1"/>
  <c r="AL136" i="1"/>
  <c r="AM136" i="1"/>
  <c r="BG136" i="1" s="1" a="1"/>
  <c r="BG136" i="1" s="1"/>
  <c r="AO136" i="1"/>
  <c r="AP136" i="1"/>
  <c r="AQ136" i="1"/>
  <c r="AS136" i="1"/>
  <c r="AT136" i="1"/>
  <c r="AL137" i="1"/>
  <c r="AM137" i="1"/>
  <c r="BG137" i="1" s="1" a="1"/>
  <c r="BG137" i="1" s="1"/>
  <c r="AO137" i="1"/>
  <c r="AP137" i="1"/>
  <c r="AQ137" i="1"/>
  <c r="AS137" i="1"/>
  <c r="AT137" i="1"/>
  <c r="AL138" i="1"/>
  <c r="AM138" i="1"/>
  <c r="BG138" i="1" s="1" a="1"/>
  <c r="BG138" i="1" s="1"/>
  <c r="AO138" i="1"/>
  <c r="AP138" i="1"/>
  <c r="AQ138" i="1"/>
  <c r="AS138" i="1"/>
  <c r="AT138" i="1"/>
  <c r="AL139" i="1"/>
  <c r="AM139" i="1"/>
  <c r="BG139" i="1" s="1" a="1"/>
  <c r="BG139" i="1" s="1"/>
  <c r="AO139" i="1"/>
  <c r="AP139" i="1"/>
  <c r="AQ139" i="1"/>
  <c r="AT139" i="1"/>
  <c r="AL140" i="1"/>
  <c r="AM140" i="1"/>
  <c r="BG140" i="1" s="1" a="1"/>
  <c r="BG140" i="1" s="1"/>
  <c r="AO140" i="1"/>
  <c r="AP140" i="1"/>
  <c r="AQ140" i="1"/>
  <c r="AL141" i="1"/>
  <c r="AM141" i="1"/>
  <c r="BG141" i="1" s="1" a="1"/>
  <c r="BG141" i="1" s="1"/>
  <c r="AO141" i="1"/>
  <c r="AP141" i="1"/>
  <c r="AQ141" i="1"/>
  <c r="AS141" i="1"/>
  <c r="AL142" i="1"/>
  <c r="AM142" i="1"/>
  <c r="BG142" i="1" s="1" a="1"/>
  <c r="BG142" i="1" s="1"/>
  <c r="AO142" i="1"/>
  <c r="AP142" i="1"/>
  <c r="AQ142" i="1"/>
  <c r="AS142" i="1"/>
  <c r="AL143" i="1"/>
  <c r="AM143" i="1"/>
  <c r="BG143" i="1" s="1" a="1"/>
  <c r="BG143" i="1" s="1"/>
  <c r="AO143" i="1"/>
  <c r="AP143" i="1"/>
  <c r="AQ143" i="1"/>
  <c r="AS143" i="1"/>
  <c r="AJ40" i="1"/>
  <c r="AH40" i="1" s="1"/>
  <c r="AN40" i="1" s="1"/>
  <c r="AJ41" i="1"/>
  <c r="AH41" i="1" s="1"/>
  <c r="AN41" i="1" s="1"/>
  <c r="AJ42" i="1"/>
  <c r="AH42" i="1" s="1"/>
  <c r="AJ43" i="1"/>
  <c r="AH43" i="1" s="1"/>
  <c r="AN43" i="1" s="1"/>
  <c r="AJ44" i="1"/>
  <c r="AH44" i="1" s="1"/>
  <c r="AN44" i="1" s="1"/>
  <c r="AJ45" i="1"/>
  <c r="AH45" i="1" s="1"/>
  <c r="AN45" i="1" s="1"/>
  <c r="AJ46" i="1"/>
  <c r="AH46" i="1" s="1"/>
  <c r="AN46" i="1" s="1"/>
  <c r="AJ47" i="1"/>
  <c r="AH47" i="1" s="1"/>
  <c r="AJ48" i="1"/>
  <c r="AH48" i="1" s="1"/>
  <c r="AN48" i="1" s="1"/>
  <c r="AJ49" i="1"/>
  <c r="AH49" i="1" s="1"/>
  <c r="AN49" i="1" s="1"/>
  <c r="AJ50" i="1"/>
  <c r="AH50" i="1" s="1"/>
  <c r="AJ51" i="1"/>
  <c r="AH51" i="1" s="1"/>
  <c r="AJ52" i="1"/>
  <c r="AH52" i="1" s="1"/>
  <c r="AJ53" i="1"/>
  <c r="AH53" i="1" s="1"/>
  <c r="AJ54" i="1"/>
  <c r="AH54" i="1" s="1"/>
  <c r="AJ55" i="1"/>
  <c r="AH55" i="1" s="1"/>
  <c r="AN55" i="1" s="1"/>
  <c r="AJ56" i="1"/>
  <c r="AH56" i="1" s="1"/>
  <c r="AJ57" i="1"/>
  <c r="AH57" i="1" s="1"/>
  <c r="AN57" i="1" s="1"/>
  <c r="AJ58" i="1"/>
  <c r="AH58" i="1" s="1"/>
  <c r="AJ59" i="1"/>
  <c r="AH59" i="1" s="1"/>
  <c r="AJ60" i="1"/>
  <c r="AH60" i="1" s="1"/>
  <c r="AJ61" i="1"/>
  <c r="AH61" i="1" s="1"/>
  <c r="AJ62" i="1"/>
  <c r="AH62" i="1" s="1"/>
  <c r="AJ63" i="1"/>
  <c r="AH63" i="1" s="1"/>
  <c r="AJ64" i="1"/>
  <c r="AH64" i="1" s="1"/>
  <c r="AN64" i="1" s="1"/>
  <c r="AJ65" i="1"/>
  <c r="AH65" i="1" s="1"/>
  <c r="AN65" i="1" s="1"/>
  <c r="AJ66" i="1"/>
  <c r="AH66" i="1" s="1"/>
  <c r="AN66" i="1" s="1"/>
  <c r="AJ67" i="1"/>
  <c r="AH67" i="1" s="1"/>
  <c r="AJ68" i="1"/>
  <c r="AH68" i="1" s="1"/>
  <c r="AN68" i="1" s="1"/>
  <c r="AJ69" i="1"/>
  <c r="AH69" i="1" s="1"/>
  <c r="AN69" i="1" s="1"/>
  <c r="AJ70" i="1"/>
  <c r="AH70" i="1" s="1"/>
  <c r="AN70" i="1" s="1"/>
  <c r="AJ71" i="1"/>
  <c r="AH71" i="1" s="1"/>
  <c r="AN71" i="1" s="1"/>
  <c r="AJ72" i="1"/>
  <c r="AH72" i="1" s="1"/>
  <c r="AN72" i="1" s="1"/>
  <c r="AJ73" i="1"/>
  <c r="AH73" i="1" s="1"/>
  <c r="AN73" i="1" s="1"/>
  <c r="AJ74" i="1"/>
  <c r="AH74" i="1" s="1"/>
  <c r="AN74" i="1" s="1"/>
  <c r="AJ75" i="1"/>
  <c r="AH75" i="1" s="1"/>
  <c r="AJ76" i="1"/>
  <c r="AH76" i="1" s="1"/>
  <c r="AN76" i="1" s="1"/>
  <c r="AJ77" i="1"/>
  <c r="AH77" i="1" s="1"/>
  <c r="AJ78" i="1"/>
  <c r="AH78" i="1" s="1"/>
  <c r="AN78" i="1" s="1"/>
  <c r="AJ79" i="1"/>
  <c r="AH79" i="1" s="1"/>
  <c r="AN79" i="1" s="1"/>
  <c r="AJ80" i="1"/>
  <c r="AH80" i="1" s="1"/>
  <c r="AN80" i="1" s="1"/>
  <c r="AJ81" i="1"/>
  <c r="AH81" i="1" s="1"/>
  <c r="AJ82" i="1"/>
  <c r="AH82" i="1" s="1"/>
  <c r="AN82" i="1" s="1"/>
  <c r="AJ83" i="1"/>
  <c r="AH83" i="1" s="1"/>
  <c r="AN83" i="1" s="1"/>
  <c r="AJ84" i="1"/>
  <c r="AH84" i="1" s="1"/>
  <c r="AN84" i="1" s="1"/>
  <c r="AJ85" i="1"/>
  <c r="AH85" i="1" s="1"/>
  <c r="AN85" i="1" s="1"/>
  <c r="AJ86" i="1"/>
  <c r="AH86" i="1" s="1"/>
  <c r="AN86" i="1" s="1"/>
  <c r="AJ87" i="1"/>
  <c r="AH87" i="1" s="1"/>
  <c r="AJ88" i="1"/>
  <c r="AH88" i="1" s="1"/>
  <c r="AN88" i="1" s="1"/>
  <c r="AJ89" i="1"/>
  <c r="AH89" i="1" s="1"/>
  <c r="AJ90" i="1"/>
  <c r="AH90" i="1" s="1"/>
  <c r="AN90" i="1" s="1"/>
  <c r="AJ91" i="1"/>
  <c r="AH91" i="1" s="1"/>
  <c r="AJ92" i="1"/>
  <c r="AH92" i="1" s="1"/>
  <c r="AN92" i="1" s="1"/>
  <c r="AJ93" i="1"/>
  <c r="AH93" i="1" s="1"/>
  <c r="AN93" i="1" s="1"/>
  <c r="AJ94" i="1"/>
  <c r="AH94" i="1" s="1"/>
  <c r="AJ95" i="1"/>
  <c r="AH95" i="1" s="1"/>
  <c r="AN95" i="1" s="1"/>
  <c r="AJ96" i="1"/>
  <c r="AH96" i="1" s="1"/>
  <c r="AN96" i="1" s="1"/>
  <c r="AJ97" i="1"/>
  <c r="AH97" i="1" s="1"/>
  <c r="AN97" i="1" s="1"/>
  <c r="AJ98" i="1"/>
  <c r="AH98" i="1" s="1"/>
  <c r="AJ99" i="1"/>
  <c r="AH99" i="1" s="1"/>
  <c r="AN99" i="1" s="1"/>
  <c r="AJ100" i="1"/>
  <c r="AH100" i="1" s="1"/>
  <c r="AJ101" i="1"/>
  <c r="AH101" i="1" s="1"/>
  <c r="AN101" i="1" s="1"/>
  <c r="AJ102" i="1"/>
  <c r="AH102" i="1" s="1"/>
  <c r="AJ103" i="1"/>
  <c r="AH103" i="1" s="1"/>
  <c r="AN103" i="1" s="1"/>
  <c r="AJ104" i="1"/>
  <c r="AH104" i="1" s="1"/>
  <c r="AJ105" i="1"/>
  <c r="AH105" i="1" s="1"/>
  <c r="AN105" i="1" s="1"/>
  <c r="AJ106" i="1"/>
  <c r="AH106" i="1" s="1"/>
  <c r="AN106" i="1" s="1"/>
  <c r="AJ107" i="1"/>
  <c r="AH107" i="1" s="1"/>
  <c r="AN107" i="1" s="1"/>
  <c r="AJ108" i="1"/>
  <c r="AH108" i="1" s="1"/>
  <c r="AN108" i="1" s="1"/>
  <c r="AJ109" i="1"/>
  <c r="AH109" i="1" s="1"/>
  <c r="AN109" i="1" s="1"/>
  <c r="AJ110" i="1"/>
  <c r="AH110" i="1" s="1"/>
  <c r="AN110" i="1" s="1"/>
  <c r="AJ111" i="1"/>
  <c r="AH111" i="1" s="1"/>
  <c r="AN111" i="1" s="1"/>
  <c r="AJ112" i="1"/>
  <c r="AH112" i="1" s="1"/>
  <c r="AN112" i="1" s="1"/>
  <c r="AJ113" i="1"/>
  <c r="AH113" i="1" s="1"/>
  <c r="AN113" i="1" s="1"/>
  <c r="AJ114" i="1"/>
  <c r="AH114" i="1" s="1"/>
  <c r="AN114" i="1" s="1"/>
  <c r="AJ115" i="1"/>
  <c r="AH115" i="1" s="1"/>
  <c r="AN115" i="1" s="1"/>
  <c r="AJ116" i="1"/>
  <c r="AH116" i="1" s="1"/>
  <c r="AN116" i="1" s="1"/>
  <c r="AJ117" i="1"/>
  <c r="AH117" i="1" s="1"/>
  <c r="AN117" i="1" s="1"/>
  <c r="AJ118" i="1"/>
  <c r="AH118" i="1" s="1"/>
  <c r="AN118" i="1" s="1"/>
  <c r="AJ119" i="1"/>
  <c r="AH119" i="1" s="1"/>
  <c r="AJ120" i="1"/>
  <c r="AH120" i="1" s="1"/>
  <c r="AN120" i="1" s="1"/>
  <c r="AJ121" i="1"/>
  <c r="AH121" i="1" s="1"/>
  <c r="AJ122" i="1"/>
  <c r="AH122" i="1" s="1"/>
  <c r="AN122" i="1" s="1"/>
  <c r="AJ123" i="1"/>
  <c r="AH123" i="1" s="1"/>
  <c r="AN123" i="1" s="1"/>
  <c r="AJ124" i="1"/>
  <c r="AH124" i="1" s="1"/>
  <c r="AJ125" i="1"/>
  <c r="AH125" i="1" s="1"/>
  <c r="AN125" i="1" s="1"/>
  <c r="AJ126" i="1"/>
  <c r="AH126" i="1" s="1"/>
  <c r="AN126" i="1" s="1"/>
  <c r="AJ127" i="1"/>
  <c r="AH127" i="1" s="1"/>
  <c r="AJ128" i="1"/>
  <c r="AH128" i="1" s="1"/>
  <c r="AN128" i="1" s="1"/>
  <c r="AJ129" i="1"/>
  <c r="AH129" i="1" s="1"/>
  <c r="AN129" i="1" s="1"/>
  <c r="AJ130" i="1"/>
  <c r="AH130" i="1" s="1"/>
  <c r="AJ131" i="1"/>
  <c r="AH131" i="1" s="1"/>
  <c r="AJ132" i="1"/>
  <c r="AH132" i="1" s="1"/>
  <c r="AJ133" i="1"/>
  <c r="AH133" i="1" s="1"/>
  <c r="AJ134" i="1"/>
  <c r="AH134" i="1" s="1"/>
  <c r="AJ135" i="1"/>
  <c r="AH135" i="1" s="1"/>
  <c r="AN135" i="1" s="1"/>
  <c r="AJ136" i="1"/>
  <c r="AH136" i="1" s="1"/>
  <c r="AN136" i="1" s="1"/>
  <c r="AJ137" i="1"/>
  <c r="AH137" i="1" s="1"/>
  <c r="AN137" i="1" s="1"/>
  <c r="AJ138" i="1"/>
  <c r="AH138" i="1" s="1"/>
  <c r="AN138" i="1" s="1"/>
  <c r="AJ139" i="1"/>
  <c r="AH139" i="1" s="1"/>
  <c r="AJ140" i="1"/>
  <c r="AH140" i="1" s="1"/>
  <c r="AJ141" i="1"/>
  <c r="AH141" i="1" s="1"/>
  <c r="AN141" i="1" s="1"/>
  <c r="AJ142" i="1"/>
  <c r="AH142" i="1" s="1"/>
  <c r="AJ143" i="1"/>
  <c r="AH143" i="1" s="1"/>
  <c r="E112" i="34" l="1"/>
  <c r="Z112" i="34"/>
  <c r="Z111" i="34"/>
  <c r="E111" i="34"/>
  <c r="Z110" i="34"/>
  <c r="E110" i="34"/>
  <c r="Z109" i="34"/>
  <c r="E109" i="34"/>
  <c r="Z108" i="34"/>
  <c r="E108" i="34"/>
  <c r="Z107" i="34"/>
  <c r="E107" i="34"/>
  <c r="Z106" i="34"/>
  <c r="E106" i="34"/>
  <c r="Z105" i="34"/>
  <c r="E105" i="34"/>
  <c r="Z104" i="34"/>
  <c r="E104" i="34"/>
  <c r="Z103" i="34"/>
  <c r="E103" i="34"/>
  <c r="Z102" i="34"/>
  <c r="E102" i="34"/>
  <c r="E101" i="34"/>
  <c r="Z101" i="34"/>
  <c r="Z100" i="34"/>
  <c r="E100" i="34"/>
  <c r="Z99" i="34"/>
  <c r="E99" i="34"/>
  <c r="Z98" i="34"/>
  <c r="E98" i="34"/>
  <c r="Z97" i="34"/>
  <c r="E97" i="34"/>
  <c r="Z96" i="34"/>
  <c r="E96" i="34"/>
  <c r="Z95" i="34"/>
  <c r="E95" i="34"/>
  <c r="Z94" i="34"/>
  <c r="E94" i="34"/>
  <c r="Z93" i="34"/>
  <c r="E93" i="34"/>
  <c r="E92" i="34"/>
  <c r="Z92" i="34"/>
  <c r="Z91" i="34"/>
  <c r="E91" i="34"/>
  <c r="Z90" i="34"/>
  <c r="E90" i="34"/>
  <c r="E89" i="34"/>
  <c r="Z89" i="34"/>
  <c r="Z88" i="34"/>
  <c r="E88" i="34"/>
  <c r="E87" i="34"/>
  <c r="Z87" i="34"/>
  <c r="Z86" i="34"/>
  <c r="E86" i="34"/>
  <c r="Z85" i="34"/>
  <c r="E85" i="34"/>
  <c r="Z84" i="34"/>
  <c r="E84" i="34"/>
  <c r="Z83" i="34"/>
  <c r="E83" i="34"/>
  <c r="E82" i="34"/>
  <c r="Z82" i="34"/>
  <c r="E81" i="34"/>
  <c r="Z81" i="34"/>
  <c r="Z80" i="34"/>
  <c r="E80" i="34"/>
  <c r="Z79" i="34"/>
  <c r="E79" i="34"/>
  <c r="Z78" i="34"/>
  <c r="E78" i="34"/>
  <c r="Z77" i="34"/>
  <c r="E77" i="34"/>
  <c r="Z76" i="34"/>
  <c r="E76" i="34"/>
  <c r="Z75" i="34"/>
  <c r="E75" i="34"/>
  <c r="Z74" i="34"/>
  <c r="E74" i="34"/>
  <c r="Z73" i="34"/>
  <c r="E73" i="34"/>
  <c r="E72" i="34"/>
  <c r="Z72" i="34"/>
  <c r="E71" i="34"/>
  <c r="Z71" i="34"/>
  <c r="E70" i="34"/>
  <c r="Z70" i="34"/>
  <c r="Z69" i="34"/>
  <c r="E69" i="34"/>
  <c r="Z68" i="34"/>
  <c r="E68" i="34"/>
  <c r="Z67" i="34"/>
  <c r="E67" i="34"/>
  <c r="Z66" i="34"/>
  <c r="E66" i="34"/>
  <c r="Z65" i="34"/>
  <c r="E65" i="34"/>
  <c r="Z64" i="34"/>
  <c r="E64" i="34"/>
  <c r="E63" i="34"/>
  <c r="Z63" i="34"/>
  <c r="Z62" i="34"/>
  <c r="E62" i="34"/>
  <c r="Z61" i="34"/>
  <c r="E61" i="34"/>
  <c r="Z60" i="34"/>
  <c r="E60" i="34"/>
  <c r="Z59" i="34"/>
  <c r="E59" i="34"/>
  <c r="Z58" i="34"/>
  <c r="E58" i="34"/>
  <c r="Z57" i="34"/>
  <c r="E57" i="34"/>
  <c r="E56" i="34"/>
  <c r="Z56" i="34"/>
  <c r="E55" i="34"/>
  <c r="Z55" i="34"/>
  <c r="Z54" i="34"/>
  <c r="E54" i="34"/>
  <c r="Z53" i="34"/>
  <c r="E53" i="34"/>
  <c r="Z52" i="34"/>
  <c r="E52" i="34"/>
  <c r="E51" i="34"/>
  <c r="Z51" i="34"/>
  <c r="E50" i="34"/>
  <c r="Z50" i="34"/>
  <c r="Z49" i="34"/>
  <c r="E49" i="34"/>
  <c r="Z48" i="34"/>
  <c r="E48" i="34"/>
  <c r="Z47" i="34"/>
  <c r="E47" i="34"/>
  <c r="E46" i="34"/>
  <c r="Z46" i="34"/>
  <c r="Z45" i="34"/>
  <c r="E45" i="34"/>
  <c r="Z44" i="34"/>
  <c r="E44" i="34"/>
  <c r="Z43" i="34"/>
  <c r="E43" i="34"/>
  <c r="Z42" i="34"/>
  <c r="E42" i="34"/>
  <c r="Z41" i="34"/>
  <c r="E41" i="34"/>
  <c r="Z40" i="34"/>
  <c r="E40" i="34"/>
  <c r="E39" i="34"/>
  <c r="Z39" i="34"/>
  <c r="Z38" i="34"/>
  <c r="E38" i="34"/>
  <c r="Z37" i="34"/>
  <c r="E37" i="34"/>
  <c r="Z36" i="34"/>
  <c r="E36" i="34"/>
  <c r="Z35" i="34"/>
  <c r="E35" i="34"/>
  <c r="E34" i="34"/>
  <c r="Z34" i="34"/>
  <c r="E33" i="34"/>
  <c r="Z33" i="34"/>
  <c r="BC143" i="1"/>
  <c r="M112" i="34"/>
  <c r="G112" i="34"/>
  <c r="BC139" i="1"/>
  <c r="G111" i="34"/>
  <c r="M111" i="34"/>
  <c r="BC138" i="1"/>
  <c r="M110" i="34"/>
  <c r="G110" i="34"/>
  <c r="BC137" i="1"/>
  <c r="BC136" i="1"/>
  <c r="BC135" i="1"/>
  <c r="G109" i="34"/>
  <c r="M109" i="34"/>
  <c r="G108" i="34"/>
  <c r="M108" i="34"/>
  <c r="BC132" i="1"/>
  <c r="M107" i="34"/>
  <c r="G107" i="34"/>
  <c r="BC131" i="1"/>
  <c r="G106" i="34"/>
  <c r="M106" i="34"/>
  <c r="M105" i="34"/>
  <c r="G105" i="34"/>
  <c r="BC129" i="1"/>
  <c r="T74" i="34"/>
  <c r="BC127" i="1"/>
  <c r="BC126" i="1"/>
  <c r="G104" i="34"/>
  <c r="M104" i="34"/>
  <c r="BC124" i="1"/>
  <c r="G103" i="34"/>
  <c r="T103" i="34"/>
  <c r="G102" i="34"/>
  <c r="T102" i="34"/>
  <c r="BC122" i="1"/>
  <c r="G101" i="34"/>
  <c r="T101" i="34"/>
  <c r="G100" i="34"/>
  <c r="T100" i="34"/>
  <c r="M99" i="34"/>
  <c r="G99" i="34"/>
  <c r="BC119" i="1"/>
  <c r="G98" i="34"/>
  <c r="M98" i="34"/>
  <c r="M97" i="34"/>
  <c r="G97" i="34"/>
  <c r="BC117" i="1"/>
  <c r="BC116" i="1"/>
  <c r="BC115" i="1"/>
  <c r="BC113" i="1"/>
  <c r="G96" i="34"/>
  <c r="M96" i="34"/>
  <c r="BC112" i="1"/>
  <c r="M95" i="34"/>
  <c r="G95" i="34"/>
  <c r="BC111" i="1"/>
  <c r="G94" i="34"/>
  <c r="M94" i="34"/>
  <c r="G93" i="34"/>
  <c r="M93" i="34"/>
  <c r="G92" i="34"/>
  <c r="M92" i="34"/>
  <c r="BC107" i="1"/>
  <c r="G91" i="34"/>
  <c r="M91" i="34"/>
  <c r="M90" i="34"/>
  <c r="G90" i="34"/>
  <c r="BC105" i="1"/>
  <c r="G89" i="34"/>
  <c r="M89" i="34"/>
  <c r="M88" i="34"/>
  <c r="G88" i="34"/>
  <c r="BC103" i="1"/>
  <c r="G87" i="34"/>
  <c r="M87" i="34"/>
  <c r="BC102" i="1"/>
  <c r="BC101" i="1"/>
  <c r="G86" i="34"/>
  <c r="M86" i="34"/>
  <c r="G85" i="34"/>
  <c r="M85" i="34"/>
  <c r="BC98" i="1"/>
  <c r="G84" i="34"/>
  <c r="M84" i="34"/>
  <c r="BC97" i="1"/>
  <c r="M83" i="34"/>
  <c r="G83" i="34"/>
  <c r="BC96" i="1"/>
  <c r="M82" i="34"/>
  <c r="G82" i="34"/>
  <c r="G81" i="34"/>
  <c r="M81" i="34"/>
  <c r="M80" i="34"/>
  <c r="G80" i="34"/>
  <c r="BC93" i="1"/>
  <c r="G79" i="34"/>
  <c r="M79" i="34"/>
  <c r="G78" i="34"/>
  <c r="M78" i="34"/>
  <c r="M77" i="34"/>
  <c r="G77" i="34"/>
  <c r="G76" i="34"/>
  <c r="M76" i="34"/>
  <c r="BC89" i="1"/>
  <c r="G75" i="34"/>
  <c r="M75" i="34"/>
  <c r="BC88" i="1"/>
  <c r="M74" i="34"/>
  <c r="G74" i="34"/>
  <c r="T73" i="34"/>
  <c r="G73" i="34"/>
  <c r="BC85" i="1"/>
  <c r="BC83" i="1"/>
  <c r="BC82" i="1"/>
  <c r="M72" i="34"/>
  <c r="G72" i="34"/>
  <c r="BC80" i="1"/>
  <c r="G71" i="34"/>
  <c r="M71" i="34"/>
  <c r="G70" i="34"/>
  <c r="M70" i="34"/>
  <c r="M69" i="34"/>
  <c r="G69" i="34"/>
  <c r="G68" i="34"/>
  <c r="M68" i="34"/>
  <c r="BC76" i="1"/>
  <c r="G67" i="34"/>
  <c r="M67" i="34"/>
  <c r="M66" i="34"/>
  <c r="G66" i="34"/>
  <c r="T65" i="34"/>
  <c r="G65" i="34"/>
  <c r="BC73" i="1"/>
  <c r="G64" i="34"/>
  <c r="T64" i="34"/>
  <c r="T63" i="34"/>
  <c r="G63" i="34"/>
  <c r="M62" i="34"/>
  <c r="G62" i="34"/>
  <c r="BC70" i="1"/>
  <c r="G61" i="34"/>
  <c r="M61" i="34"/>
  <c r="G60" i="34"/>
  <c r="M60" i="34"/>
  <c r="BC68" i="1"/>
  <c r="M59" i="34"/>
  <c r="G59" i="34"/>
  <c r="BC67" i="1"/>
  <c r="M58" i="34"/>
  <c r="G58" i="34"/>
  <c r="BC65" i="1"/>
  <c r="M57" i="34"/>
  <c r="G57" i="34"/>
  <c r="G56" i="34"/>
  <c r="M56" i="34"/>
  <c r="BC63" i="1"/>
  <c r="G55" i="34"/>
  <c r="M55" i="34"/>
  <c r="M54" i="34"/>
  <c r="G54" i="34"/>
  <c r="BC61" i="1"/>
  <c r="T53" i="34"/>
  <c r="G53" i="34"/>
  <c r="G52" i="34"/>
  <c r="T52" i="34"/>
  <c r="BC58" i="1"/>
  <c r="G51" i="34"/>
  <c r="T51" i="34"/>
  <c r="G50" i="34"/>
  <c r="T50" i="34"/>
  <c r="BC56" i="1"/>
  <c r="T49" i="34"/>
  <c r="G49" i="34"/>
  <c r="BC55" i="1"/>
  <c r="T48" i="34"/>
  <c r="G48" i="34"/>
  <c r="G47" i="34"/>
  <c r="T47" i="34"/>
  <c r="BC53" i="1"/>
  <c r="T46" i="34"/>
  <c r="G46" i="34"/>
  <c r="T45" i="34"/>
  <c r="G45" i="34"/>
  <c r="BC51" i="1"/>
  <c r="G44" i="34"/>
  <c r="M44" i="34"/>
  <c r="BC50" i="1"/>
  <c r="M43" i="34"/>
  <c r="G43" i="34"/>
  <c r="BC49" i="1"/>
  <c r="M42" i="34"/>
  <c r="G42" i="34"/>
  <c r="M41" i="34"/>
  <c r="G41" i="34"/>
  <c r="G40" i="34"/>
  <c r="M40" i="34"/>
  <c r="BC46" i="1"/>
  <c r="G39" i="34"/>
  <c r="T39" i="34"/>
  <c r="BC45" i="1"/>
  <c r="T38" i="34"/>
  <c r="G38" i="34"/>
  <c r="BC44" i="1"/>
  <c r="T37" i="34"/>
  <c r="G37" i="34"/>
  <c r="T36" i="34"/>
  <c r="G36" i="34"/>
  <c r="G35" i="34"/>
  <c r="T35" i="34"/>
  <c r="BC41" i="1"/>
  <c r="G34" i="34"/>
  <c r="T34" i="34"/>
  <c r="BC40" i="1"/>
  <c r="T33" i="34"/>
  <c r="G33" i="34"/>
  <c r="CY97" i="1"/>
  <c r="DC97" i="1"/>
  <c r="DD97" i="1"/>
  <c r="CY96" i="1"/>
  <c r="DC96" i="1"/>
  <c r="DD96" i="1"/>
  <c r="CY86" i="1"/>
  <c r="DC86" i="1"/>
  <c r="DD86" i="1"/>
  <c r="CY85" i="1"/>
  <c r="DC85" i="1"/>
  <c r="DD85" i="1"/>
  <c r="CY84" i="1"/>
  <c r="DD84" i="1"/>
  <c r="DC84" i="1"/>
  <c r="CY83" i="1"/>
  <c r="DC83" i="1"/>
  <c r="DD83" i="1"/>
  <c r="CY73" i="1"/>
  <c r="DC73" i="1"/>
  <c r="DD73" i="1"/>
  <c r="CY46" i="1"/>
  <c r="DD46" i="1"/>
  <c r="DC46" i="1"/>
  <c r="CY45" i="1"/>
  <c r="DC45" i="1"/>
  <c r="DD45" i="1"/>
  <c r="CY44" i="1"/>
  <c r="DD44" i="1"/>
  <c r="DC44" i="1"/>
  <c r="CY43" i="1"/>
  <c r="DC43" i="1"/>
  <c r="DD43" i="1"/>
  <c r="CU143" i="1"/>
  <c r="DB143" i="1"/>
  <c r="CA142" i="1"/>
  <c r="CT142" i="1"/>
  <c r="CU142" i="1"/>
  <c r="DB142" i="1"/>
  <c r="DA142" i="1"/>
  <c r="CT141" i="1"/>
  <c r="CU141" i="1"/>
  <c r="DA141" i="1"/>
  <c r="DB141" i="1"/>
  <c r="CT140" i="1"/>
  <c r="CU140" i="1"/>
  <c r="DB140" i="1"/>
  <c r="DA140" i="1"/>
  <c r="CA139" i="1"/>
  <c r="CT139" i="1"/>
  <c r="CU139" i="1"/>
  <c r="DA139" i="1"/>
  <c r="DB139" i="1"/>
  <c r="CT138" i="1"/>
  <c r="CU138" i="1"/>
  <c r="DB138" i="1"/>
  <c r="DA138" i="1"/>
  <c r="CB137" i="1"/>
  <c r="CT137" i="1"/>
  <c r="CU137" i="1"/>
  <c r="DA137" i="1"/>
  <c r="DB137" i="1"/>
  <c r="CB136" i="1"/>
  <c r="CU136" i="1"/>
  <c r="DB136" i="1"/>
  <c r="CB135" i="1"/>
  <c r="CU135" i="1"/>
  <c r="DB135" i="1"/>
  <c r="CU134" i="1"/>
  <c r="DB134" i="1"/>
  <c r="CU133" i="1"/>
  <c r="DB133" i="1"/>
  <c r="CA132" i="1"/>
  <c r="CT132" i="1"/>
  <c r="CU132" i="1"/>
  <c r="DA132" i="1"/>
  <c r="DB132" i="1"/>
  <c r="CB131" i="1"/>
  <c r="CT131" i="1"/>
  <c r="CU131" i="1"/>
  <c r="DA131" i="1"/>
  <c r="DB131" i="1"/>
  <c r="CT130" i="1"/>
  <c r="CU130" i="1"/>
  <c r="DB130" i="1"/>
  <c r="DA130" i="1"/>
  <c r="CT129" i="1"/>
  <c r="CU129" i="1"/>
  <c r="DA129" i="1"/>
  <c r="DB129" i="1"/>
  <c r="CT128" i="1"/>
  <c r="CU128" i="1"/>
  <c r="DB128" i="1"/>
  <c r="DA128" i="1"/>
  <c r="CB127" i="1"/>
  <c r="CT127" i="1"/>
  <c r="CU127" i="1"/>
  <c r="DB127" i="1"/>
  <c r="DA127" i="1"/>
  <c r="CA126" i="1"/>
  <c r="CU126" i="1"/>
  <c r="DA126" i="1"/>
  <c r="DB126" i="1"/>
  <c r="CT126" i="1"/>
  <c r="CB125" i="1"/>
  <c r="CT125" i="1"/>
  <c r="CU125" i="1"/>
  <c r="DB125" i="1"/>
  <c r="DA125" i="1"/>
  <c r="DB124" i="1"/>
  <c r="CU124" i="1"/>
  <c r="DB123" i="1"/>
  <c r="CU123" i="1"/>
  <c r="CU122" i="1"/>
  <c r="DB122" i="1"/>
  <c r="CU121" i="1"/>
  <c r="DB121" i="1"/>
  <c r="DA120" i="1"/>
  <c r="CU120" i="1"/>
  <c r="DB120" i="1"/>
  <c r="CT120" i="1"/>
  <c r="CA119" i="1"/>
  <c r="CT119" i="1"/>
  <c r="CU119" i="1"/>
  <c r="DB119" i="1"/>
  <c r="DA119" i="1"/>
  <c r="CT118" i="1"/>
  <c r="DA118" i="1"/>
  <c r="DB118" i="1"/>
  <c r="CU118" i="1"/>
  <c r="DA117" i="1"/>
  <c r="DB117" i="1"/>
  <c r="CT117" i="1"/>
  <c r="CU117" i="1"/>
  <c r="CB116" i="1"/>
  <c r="CT116" i="1"/>
  <c r="DA116" i="1"/>
  <c r="CU116" i="1"/>
  <c r="DB116" i="1"/>
  <c r="CA115" i="1"/>
  <c r="CT115" i="1"/>
  <c r="CU115" i="1"/>
  <c r="DB115" i="1"/>
  <c r="DA115" i="1"/>
  <c r="DA114" i="1"/>
  <c r="CT114" i="1"/>
  <c r="CU114" i="1"/>
  <c r="DB114" i="1"/>
  <c r="CB113" i="1"/>
  <c r="CU113" i="1"/>
  <c r="CT113" i="1"/>
  <c r="DB113" i="1"/>
  <c r="DA113" i="1"/>
  <c r="CT112" i="1"/>
  <c r="CU112" i="1"/>
  <c r="DA112" i="1"/>
  <c r="DB112" i="1"/>
  <c r="CB111" i="1"/>
  <c r="CT111" i="1"/>
  <c r="DA111" i="1"/>
  <c r="CU111" i="1"/>
  <c r="DB111" i="1"/>
  <c r="CB110" i="1"/>
  <c r="CT110" i="1"/>
  <c r="CU110" i="1"/>
  <c r="DA110" i="1"/>
  <c r="DB110" i="1"/>
  <c r="CA109" i="1"/>
  <c r="CT109" i="1"/>
  <c r="DB109" i="1"/>
  <c r="DA109" i="1"/>
  <c r="CU109" i="1"/>
  <c r="CB108" i="1"/>
  <c r="CT108" i="1"/>
  <c r="CU108" i="1"/>
  <c r="DA108" i="1"/>
  <c r="DB108" i="1"/>
  <c r="CB107" i="1"/>
  <c r="CT107" i="1"/>
  <c r="CU107" i="1"/>
  <c r="DA107" i="1"/>
  <c r="DB107" i="1"/>
  <c r="CA106" i="1"/>
  <c r="CT106" i="1"/>
  <c r="CU106" i="1"/>
  <c r="DB106" i="1"/>
  <c r="DA106" i="1"/>
  <c r="DB105" i="1"/>
  <c r="CU105" i="1"/>
  <c r="CT104" i="1"/>
  <c r="DA104" i="1"/>
  <c r="DB104" i="1"/>
  <c r="CU104" i="1"/>
  <c r="CB103" i="1"/>
  <c r="CT103" i="1"/>
  <c r="CU103" i="1"/>
  <c r="DA103" i="1"/>
  <c r="DB103" i="1"/>
  <c r="CB102" i="1"/>
  <c r="CT102" i="1"/>
  <c r="CU102" i="1"/>
  <c r="DB102" i="1"/>
  <c r="DA102" i="1"/>
  <c r="CA101" i="1"/>
  <c r="CT101" i="1"/>
  <c r="DB101" i="1"/>
  <c r="CU101" i="1"/>
  <c r="DA101" i="1"/>
  <c r="DB100" i="1"/>
  <c r="CU100" i="1"/>
  <c r="CT99" i="1"/>
  <c r="CU99" i="1"/>
  <c r="DA99" i="1"/>
  <c r="DB99" i="1"/>
  <c r="CA98" i="1"/>
  <c r="CT98" i="1"/>
  <c r="CU98" i="1"/>
  <c r="DA98" i="1"/>
  <c r="DB98" i="1"/>
  <c r="CB97" i="1"/>
  <c r="CT97" i="1"/>
  <c r="CZ97" i="1"/>
  <c r="DB97" i="1"/>
  <c r="CU97" i="1"/>
  <c r="DA97" i="1"/>
  <c r="CS97" i="1"/>
  <c r="CT96" i="1"/>
  <c r="CZ96" i="1"/>
  <c r="CS96" i="1"/>
  <c r="DA96" i="1"/>
  <c r="DB96" i="1"/>
  <c r="CU96" i="1"/>
  <c r="CA95" i="1"/>
  <c r="CT95" i="1"/>
  <c r="CU95" i="1"/>
  <c r="DA95" i="1"/>
  <c r="DB95" i="1"/>
  <c r="CA94" i="1"/>
  <c r="CT94" i="1"/>
  <c r="CU94" i="1"/>
  <c r="DA94" i="1"/>
  <c r="DB94" i="1"/>
  <c r="CB93" i="1"/>
  <c r="CT93" i="1"/>
  <c r="DB93" i="1"/>
  <c r="CU93" i="1"/>
  <c r="DA93" i="1"/>
  <c r="CT92" i="1"/>
  <c r="DA92" i="1"/>
  <c r="DB92" i="1"/>
  <c r="CU92" i="1"/>
  <c r="CB91" i="1"/>
  <c r="CT91" i="1"/>
  <c r="CU91" i="1"/>
  <c r="DA91" i="1"/>
  <c r="DB91" i="1"/>
  <c r="CA90" i="1"/>
  <c r="CT90" i="1"/>
  <c r="CU90" i="1"/>
  <c r="DA90" i="1"/>
  <c r="DB90" i="1"/>
  <c r="CB89" i="1"/>
  <c r="CT89" i="1"/>
  <c r="DB89" i="1"/>
  <c r="CU89" i="1"/>
  <c r="DA89" i="1"/>
  <c r="CZ88" i="1"/>
  <c r="CS88" i="1"/>
  <c r="CU88" i="1"/>
  <c r="DB88" i="1"/>
  <c r="CZ87" i="1"/>
  <c r="CS87" i="1"/>
  <c r="CU87" i="1"/>
  <c r="DB87" i="1"/>
  <c r="CT86" i="1"/>
  <c r="CZ86" i="1"/>
  <c r="DB86" i="1"/>
  <c r="CU86" i="1"/>
  <c r="DA86" i="1"/>
  <c r="CS86" i="1"/>
  <c r="CB85" i="1"/>
  <c r="CT85" i="1"/>
  <c r="CZ85" i="1"/>
  <c r="CS85" i="1"/>
  <c r="DA85" i="1"/>
  <c r="DB85" i="1"/>
  <c r="CU85" i="1"/>
  <c r="CT84" i="1"/>
  <c r="CZ84" i="1"/>
  <c r="CS84" i="1"/>
  <c r="CU84" i="1"/>
  <c r="DA84" i="1"/>
  <c r="DB84" i="1"/>
  <c r="CB83" i="1"/>
  <c r="CT83" i="1"/>
  <c r="CZ83" i="1"/>
  <c r="CS83" i="1"/>
  <c r="CU83" i="1"/>
  <c r="DA83" i="1"/>
  <c r="DB83" i="1"/>
  <c r="CB82" i="1"/>
  <c r="CT82" i="1"/>
  <c r="DB82" i="1"/>
  <c r="CU82" i="1"/>
  <c r="DA82" i="1"/>
  <c r="CA81" i="1"/>
  <c r="CT81" i="1"/>
  <c r="DA81" i="1"/>
  <c r="DB81" i="1"/>
  <c r="CU81" i="1"/>
  <c r="CT80" i="1"/>
  <c r="CU80" i="1"/>
  <c r="DA80" i="1"/>
  <c r="DB80" i="1"/>
  <c r="CT79" i="1"/>
  <c r="CU79" i="1"/>
  <c r="DA79" i="1"/>
  <c r="DB79" i="1"/>
  <c r="CT78" i="1"/>
  <c r="DB78" i="1"/>
  <c r="CU78" i="1"/>
  <c r="DA78" i="1"/>
  <c r="DB77" i="1"/>
  <c r="CU77" i="1"/>
  <c r="CB76" i="1"/>
  <c r="CT76" i="1"/>
  <c r="CU76" i="1"/>
  <c r="DA76" i="1"/>
  <c r="DB76" i="1"/>
  <c r="CU75" i="1"/>
  <c r="DB75" i="1"/>
  <c r="CU74" i="1"/>
  <c r="DB74" i="1"/>
  <c r="CS73" i="1"/>
  <c r="CT73" i="1"/>
  <c r="CU73" i="1"/>
  <c r="CZ73" i="1"/>
  <c r="DB73" i="1"/>
  <c r="DA73" i="1"/>
  <c r="CT72" i="1"/>
  <c r="CU72" i="1"/>
  <c r="DB72" i="1"/>
  <c r="DA72" i="1"/>
  <c r="CT71" i="1"/>
  <c r="CU71" i="1"/>
  <c r="DA71" i="1"/>
  <c r="DB71" i="1"/>
  <c r="CS70" i="1"/>
  <c r="CU70" i="1"/>
  <c r="CZ70" i="1"/>
  <c r="DB70" i="1"/>
  <c r="CT69" i="1"/>
  <c r="CU69" i="1"/>
  <c r="DA69" i="1"/>
  <c r="DB69" i="1"/>
  <c r="CS68" i="1"/>
  <c r="CU68" i="1"/>
  <c r="CZ68" i="1"/>
  <c r="DB68" i="1"/>
  <c r="CB67" i="1"/>
  <c r="CT67" i="1"/>
  <c r="CU67" i="1"/>
  <c r="DA67" i="1"/>
  <c r="DB67" i="1"/>
  <c r="CT66" i="1"/>
  <c r="CU66" i="1"/>
  <c r="DA66" i="1"/>
  <c r="DB66" i="1"/>
  <c r="CT65" i="1"/>
  <c r="CU65" i="1"/>
  <c r="DA65" i="1"/>
  <c r="DB65" i="1"/>
  <c r="CT64" i="1"/>
  <c r="CU64" i="1"/>
  <c r="DA64" i="1"/>
  <c r="DB64" i="1"/>
  <c r="CT63" i="1"/>
  <c r="CU63" i="1"/>
  <c r="DA63" i="1"/>
  <c r="DB63" i="1"/>
  <c r="CB62" i="1"/>
  <c r="CT62" i="1"/>
  <c r="CU62" i="1"/>
  <c r="DA62" i="1"/>
  <c r="DB62" i="1"/>
  <c r="CU61" i="1"/>
  <c r="DB61" i="1"/>
  <c r="CB60" i="1"/>
  <c r="CU60" i="1"/>
  <c r="DB60" i="1"/>
  <c r="CS59" i="1"/>
  <c r="CU59" i="1"/>
  <c r="CZ59" i="1"/>
  <c r="DB59" i="1"/>
  <c r="CS58" i="1"/>
  <c r="CU58" i="1"/>
  <c r="CZ58" i="1"/>
  <c r="DB58" i="1"/>
  <c r="CS57" i="1"/>
  <c r="CU57" i="1"/>
  <c r="CZ57" i="1"/>
  <c r="DB57" i="1"/>
  <c r="CS56" i="1"/>
  <c r="CU56" i="1"/>
  <c r="CZ56" i="1"/>
  <c r="DB56" i="1"/>
  <c r="CS55" i="1"/>
  <c r="CU55" i="1"/>
  <c r="CZ55" i="1"/>
  <c r="DB55" i="1"/>
  <c r="CS54" i="1"/>
  <c r="CU54" i="1"/>
  <c r="CZ54" i="1"/>
  <c r="DB54" i="1"/>
  <c r="CS53" i="1"/>
  <c r="CU53" i="1"/>
  <c r="CZ53" i="1"/>
  <c r="DB53" i="1"/>
  <c r="CS52" i="1"/>
  <c r="CU52" i="1"/>
  <c r="CZ52" i="1"/>
  <c r="DB52" i="1"/>
  <c r="CT51" i="1"/>
  <c r="CU51" i="1"/>
  <c r="DA51" i="1"/>
  <c r="DB51" i="1"/>
  <c r="CT50" i="1"/>
  <c r="CU50" i="1"/>
  <c r="DA50" i="1"/>
  <c r="DB50" i="1"/>
  <c r="CT49" i="1"/>
  <c r="CU49" i="1"/>
  <c r="DA49" i="1"/>
  <c r="DB49" i="1"/>
  <c r="CT48" i="1"/>
  <c r="CU48" i="1"/>
  <c r="DB48" i="1"/>
  <c r="DA48" i="1"/>
  <c r="CT47" i="1"/>
  <c r="CU47" i="1"/>
  <c r="DA47" i="1"/>
  <c r="DB47" i="1"/>
  <c r="CB46" i="1"/>
  <c r="CS46" i="1"/>
  <c r="CT46" i="1"/>
  <c r="CU46" i="1"/>
  <c r="CZ46" i="1"/>
  <c r="DB46" i="1"/>
  <c r="DA46" i="1"/>
  <c r="BZ45" i="1"/>
  <c r="CS45" i="1"/>
  <c r="CT45" i="1"/>
  <c r="CU45" i="1"/>
  <c r="CZ45" i="1"/>
  <c r="DA45" i="1"/>
  <c r="DB45" i="1"/>
  <c r="CS44" i="1"/>
  <c r="CT44" i="1"/>
  <c r="CU44" i="1"/>
  <c r="CZ44" i="1"/>
  <c r="DB44" i="1"/>
  <c r="DA44" i="1"/>
  <c r="CB43" i="1"/>
  <c r="CS43" i="1"/>
  <c r="CT43" i="1"/>
  <c r="CU43" i="1"/>
  <c r="CZ43" i="1"/>
  <c r="DA43" i="1"/>
  <c r="DB43" i="1"/>
  <c r="AZ44" i="1"/>
  <c r="CA141" i="1"/>
  <c r="CB65" i="1"/>
  <c r="AK143" i="1"/>
  <c r="AK142" i="1"/>
  <c r="BE142" i="1" s="1"/>
  <c r="AK141" i="1"/>
  <c r="BE141" i="1" s="1"/>
  <c r="AK140" i="1"/>
  <c r="AK139" i="1"/>
  <c r="BE139" i="1" s="1"/>
  <c r="AK138" i="1"/>
  <c r="BE138" i="1" s="1"/>
  <c r="AK137" i="1"/>
  <c r="BE137" i="1" s="1"/>
  <c r="AK136" i="1"/>
  <c r="BE136" i="1" s="1"/>
  <c r="AK135" i="1"/>
  <c r="BE135" i="1" s="1"/>
  <c r="AK134" i="1"/>
  <c r="AK133" i="1"/>
  <c r="AK132" i="1"/>
  <c r="AK131" i="1"/>
  <c r="AK130" i="1"/>
  <c r="AK129" i="1"/>
  <c r="BE129" i="1" s="1"/>
  <c r="AK128" i="1"/>
  <c r="BE128" i="1" s="1"/>
  <c r="AK127" i="1"/>
  <c r="BE127" i="1" s="1"/>
  <c r="AK126" i="1"/>
  <c r="BE126" i="1" s="1"/>
  <c r="AK125" i="1"/>
  <c r="BE125" i="1" s="1"/>
  <c r="AK124" i="1"/>
  <c r="BE124" i="1" s="1"/>
  <c r="AK123" i="1"/>
  <c r="BE123" i="1" s="1"/>
  <c r="AK122" i="1"/>
  <c r="BE122" i="1" s="1"/>
  <c r="AK121" i="1"/>
  <c r="BE121" i="1" s="1"/>
  <c r="AK120" i="1"/>
  <c r="BE120" i="1" s="1"/>
  <c r="AK119" i="1"/>
  <c r="BE119" i="1" s="1"/>
  <c r="AK118" i="1"/>
  <c r="BE118" i="1" s="1"/>
  <c r="AK117" i="1"/>
  <c r="BE117" i="1" s="1"/>
  <c r="AK116" i="1"/>
  <c r="BE116" i="1" s="1"/>
  <c r="AK115" i="1"/>
  <c r="BE115" i="1" s="1"/>
  <c r="AK114" i="1"/>
  <c r="BE114" i="1" s="1"/>
  <c r="AK113" i="1"/>
  <c r="BE113" i="1" s="1"/>
  <c r="AK112" i="1"/>
  <c r="BE112" i="1" s="1"/>
  <c r="AK111" i="1"/>
  <c r="BE111" i="1" s="1"/>
  <c r="AK110" i="1"/>
  <c r="BE110" i="1" s="1"/>
  <c r="AK109" i="1"/>
  <c r="BE109" i="1" s="1"/>
  <c r="AK108" i="1"/>
  <c r="BE108" i="1" s="1"/>
  <c r="AK107" i="1"/>
  <c r="BE107" i="1" s="1"/>
  <c r="AK106" i="1"/>
  <c r="BE106" i="1" s="1"/>
  <c r="AK105" i="1"/>
  <c r="BE105" i="1" s="1"/>
  <c r="AK104" i="1"/>
  <c r="BE104" i="1" s="1"/>
  <c r="AK103" i="1"/>
  <c r="BE103" i="1" s="1"/>
  <c r="AK102" i="1"/>
  <c r="BE102" i="1" s="1"/>
  <c r="AK101" i="1"/>
  <c r="BE101" i="1" s="1"/>
  <c r="AK100" i="1"/>
  <c r="BE100" i="1" s="1"/>
  <c r="AK99" i="1"/>
  <c r="BE99" i="1" s="1"/>
  <c r="AK98" i="1"/>
  <c r="BE98" i="1" s="1"/>
  <c r="AK97" i="1"/>
  <c r="BE97" i="1" s="1"/>
  <c r="AK96" i="1"/>
  <c r="BE96" i="1" s="1"/>
  <c r="AK95" i="1"/>
  <c r="BE95" i="1" s="1"/>
  <c r="AK94" i="1"/>
  <c r="BE94" i="1" s="1"/>
  <c r="AK93" i="1"/>
  <c r="BE93" i="1" s="1"/>
  <c r="AK92" i="1"/>
  <c r="BE92" i="1" s="1"/>
  <c r="AK91" i="1"/>
  <c r="BE91" i="1" s="1"/>
  <c r="AK90" i="1"/>
  <c r="BE90" i="1" s="1"/>
  <c r="AK89" i="1"/>
  <c r="BE89" i="1" s="1"/>
  <c r="AK88" i="1"/>
  <c r="BE88" i="1" s="1"/>
  <c r="AK87" i="1"/>
  <c r="BE87" i="1" s="1"/>
  <c r="AK86" i="1"/>
  <c r="BE86" i="1" s="1"/>
  <c r="AK85" i="1"/>
  <c r="BE85" i="1" s="1"/>
  <c r="AK84" i="1"/>
  <c r="BE84" i="1" s="1"/>
  <c r="AK83" i="1"/>
  <c r="BE83" i="1" s="1"/>
  <c r="AK82" i="1"/>
  <c r="BE82" i="1" s="1"/>
  <c r="AK81" i="1"/>
  <c r="BE81" i="1" s="1"/>
  <c r="AK80" i="1"/>
  <c r="BE80" i="1" s="1"/>
  <c r="AK79" i="1"/>
  <c r="BE79" i="1" s="1"/>
  <c r="AK78" i="1"/>
  <c r="BE78" i="1" s="1"/>
  <c r="AK77" i="1"/>
  <c r="BE77" i="1" s="1"/>
  <c r="AK76" i="1"/>
  <c r="BE76" i="1" s="1"/>
  <c r="AK75" i="1"/>
  <c r="BE75" i="1" s="1"/>
  <c r="AK74" i="1"/>
  <c r="BE74" i="1" s="1"/>
  <c r="AK73" i="1"/>
  <c r="BE73" i="1" s="1"/>
  <c r="AK72" i="1"/>
  <c r="BE72" i="1" s="1"/>
  <c r="AK71" i="1"/>
  <c r="BE71" i="1" s="1"/>
  <c r="AK70" i="1"/>
  <c r="BE70" i="1" s="1"/>
  <c r="AK69" i="1"/>
  <c r="BE69" i="1" s="1"/>
  <c r="AK68" i="1"/>
  <c r="BE68" i="1" s="1"/>
  <c r="AK67" i="1"/>
  <c r="BE67" i="1" s="1"/>
  <c r="AK66" i="1"/>
  <c r="BE66" i="1" s="1"/>
  <c r="AK65" i="1"/>
  <c r="BE65" i="1" s="1"/>
  <c r="AK64" i="1"/>
  <c r="BE64" i="1" s="1"/>
  <c r="AK63" i="1"/>
  <c r="BE63" i="1" s="1"/>
  <c r="AK62" i="1"/>
  <c r="BE62" i="1" s="1"/>
  <c r="AK61" i="1"/>
  <c r="BE61" i="1" s="1"/>
  <c r="AK60" i="1"/>
  <c r="BE60" i="1" s="1"/>
  <c r="AK59" i="1"/>
  <c r="BE59" i="1" s="1"/>
  <c r="AK58" i="1"/>
  <c r="BE58" i="1" s="1"/>
  <c r="AK57" i="1"/>
  <c r="BE57" i="1" s="1"/>
  <c r="AK56" i="1"/>
  <c r="BE56" i="1" s="1"/>
  <c r="AK55" i="1"/>
  <c r="BE55" i="1" s="1"/>
  <c r="AK54" i="1"/>
  <c r="BE54" i="1" s="1"/>
  <c r="AK53" i="1"/>
  <c r="BE53" i="1" s="1"/>
  <c r="AK52" i="1"/>
  <c r="BE52" i="1" s="1"/>
  <c r="AK51" i="1"/>
  <c r="BE51" i="1" s="1"/>
  <c r="AK50" i="1"/>
  <c r="BE50" i="1" s="1"/>
  <c r="AK49" i="1"/>
  <c r="BE49" i="1" s="1"/>
  <c r="AK48" i="1"/>
  <c r="BE48" i="1" s="1"/>
  <c r="AK47" i="1"/>
  <c r="BE47" i="1" s="1"/>
  <c r="AK46" i="1"/>
  <c r="BE46" i="1" s="1"/>
  <c r="AK45" i="1"/>
  <c r="BE45" i="1" s="1"/>
  <c r="AK44" i="1"/>
  <c r="BE44" i="1" s="1"/>
  <c r="AK43" i="1"/>
  <c r="BE43" i="1" s="1"/>
  <c r="AK42" i="1"/>
  <c r="BE42" i="1" s="1"/>
  <c r="AK41" i="1"/>
  <c r="BE41" i="1" s="1"/>
  <c r="AK40" i="1"/>
  <c r="BE40" i="1" s="1"/>
  <c r="AZ49" i="1"/>
  <c r="AZ56" i="1"/>
  <c r="AZ94" i="1"/>
  <c r="CB139" i="1"/>
  <c r="AZ92" i="1"/>
  <c r="AR141" i="1"/>
  <c r="CB55" i="1"/>
  <c r="AZ125" i="1"/>
  <c r="AZ58" i="1"/>
  <c r="AR142" i="1"/>
  <c r="AZ80" i="1"/>
  <c r="CA120" i="1"/>
  <c r="AZ134" i="1"/>
  <c r="AR140" i="1"/>
  <c r="CB109" i="1"/>
  <c r="AZ107" i="1"/>
  <c r="AZ143" i="1"/>
  <c r="AZ113" i="1"/>
  <c r="AZ70" i="1"/>
  <c r="CB58" i="1"/>
  <c r="CB88" i="1"/>
  <c r="CB81" i="1"/>
  <c r="AZ120" i="1"/>
  <c r="AZ57" i="1"/>
  <c r="AZ40" i="1"/>
  <c r="AZ41" i="1"/>
  <c r="AZ47" i="1"/>
  <c r="AZ142" i="1"/>
  <c r="CA103" i="1"/>
  <c r="CA93" i="1"/>
  <c r="AZ110" i="1"/>
  <c r="BC57" i="1"/>
  <c r="AZ55" i="1"/>
  <c r="AZ48" i="1"/>
  <c r="BZ43" i="1"/>
  <c r="CA129" i="1"/>
  <c r="CA137" i="1"/>
  <c r="CA128" i="1"/>
  <c r="CB90" i="1"/>
  <c r="AZ67" i="1"/>
  <c r="CB98" i="1"/>
  <c r="AZ122" i="1"/>
  <c r="CB106" i="1"/>
  <c r="AZ103" i="1"/>
  <c r="CB79" i="1"/>
  <c r="AZ77" i="1"/>
  <c r="AZ64" i="1"/>
  <c r="CB74" i="1"/>
  <c r="CB140" i="1"/>
  <c r="CA107" i="1"/>
  <c r="AZ82" i="1"/>
  <c r="CB77" i="1"/>
  <c r="AZ45" i="1"/>
  <c r="CB119" i="1"/>
  <c r="AZ60" i="1"/>
  <c r="AZ91" i="1"/>
  <c r="BC134" i="1"/>
  <c r="AZ129" i="1"/>
  <c r="CA127" i="1"/>
  <c r="BC125" i="1"/>
  <c r="BC110" i="1"/>
  <c r="AZ101" i="1"/>
  <c r="CA97" i="1"/>
  <c r="CA89" i="1"/>
  <c r="CB132" i="1"/>
  <c r="AZ96" i="1"/>
  <c r="CB94" i="1"/>
  <c r="CA67" i="1"/>
  <c r="CB40" i="1"/>
  <c r="AT109" i="1"/>
  <c r="AT113" i="1"/>
  <c r="AT106" i="1"/>
  <c r="AR136" i="1"/>
  <c r="CB141" i="1"/>
  <c r="AZ104" i="1"/>
  <c r="AZ108" i="1"/>
  <c r="BC108" i="1"/>
  <c r="CB120" i="1"/>
  <c r="AT108" i="1"/>
  <c r="CB133" i="1"/>
  <c r="CD46" i="1"/>
  <c r="AT46" i="1"/>
  <c r="BY46" i="1"/>
  <c r="CA46" i="1"/>
  <c r="AZ106" i="1"/>
  <c r="BC106" i="1"/>
  <c r="CA102" i="1"/>
  <c r="AZ59" i="1"/>
  <c r="BC59" i="1"/>
  <c r="CB124" i="1"/>
  <c r="CB123" i="1"/>
  <c r="BC120" i="1"/>
  <c r="AZ138" i="1"/>
  <c r="AT143" i="1"/>
  <c r="AZ130" i="1"/>
  <c r="CA108" i="1"/>
  <c r="AT101" i="1"/>
  <c r="AZ136" i="1"/>
  <c r="AZ124" i="1"/>
  <c r="CB112" i="1"/>
  <c r="BC142" i="1"/>
  <c r="AZ79" i="1"/>
  <c r="BC79" i="1"/>
  <c r="CA72" i="1"/>
  <c r="CB64" i="1"/>
  <c r="AZ140" i="1"/>
  <c r="BC140" i="1"/>
  <c r="CA140" i="1"/>
  <c r="AZ131" i="1"/>
  <c r="AR137" i="1"/>
  <c r="AT102" i="1"/>
  <c r="AZ132" i="1"/>
  <c r="CB128" i="1"/>
  <c r="CA117" i="1"/>
  <c r="CB117" i="1"/>
  <c r="AT110" i="1"/>
  <c r="AT107" i="1"/>
  <c r="CB72" i="1"/>
  <c r="CB118" i="1"/>
  <c r="CA118" i="1"/>
  <c r="BC130" i="1"/>
  <c r="AZ65" i="1"/>
  <c r="AZ46" i="1"/>
  <c r="AZ115" i="1"/>
  <c r="AT100" i="1"/>
  <c r="AZ97" i="1"/>
  <c r="AZ84" i="1"/>
  <c r="CB57" i="1"/>
  <c r="AZ53" i="1"/>
  <c r="CA111" i="1"/>
  <c r="CB99" i="1"/>
  <c r="BC94" i="1"/>
  <c r="BC64" i="1"/>
  <c r="BZ46" i="1"/>
  <c r="AZ135" i="1"/>
  <c r="AZ117" i="1"/>
  <c r="BC92" i="1"/>
  <c r="BC91" i="1"/>
  <c r="AZ89" i="1"/>
  <c r="CA82" i="1"/>
  <c r="AZ73" i="1"/>
  <c r="AZ68" i="1"/>
  <c r="CB59" i="1"/>
  <c r="AZ54" i="1"/>
  <c r="CB47" i="1"/>
  <c r="CB45" i="1"/>
  <c r="AZ42" i="1"/>
  <c r="BC104" i="1"/>
  <c r="AZ137" i="1"/>
  <c r="AZ126" i="1"/>
  <c r="AZ83" i="1"/>
  <c r="AZ63" i="1"/>
  <c r="AZ50" i="1"/>
  <c r="CB48" i="1"/>
  <c r="AZ98" i="1"/>
  <c r="CB121" i="1"/>
  <c r="BC84" i="1"/>
  <c r="CB53" i="1"/>
  <c r="AZ43" i="1"/>
  <c r="AT90" i="1"/>
  <c r="AT52" i="1"/>
  <c r="AT49" i="1"/>
  <c r="BC121" i="1"/>
  <c r="AZ121" i="1"/>
  <c r="CA110" i="1"/>
  <c r="BC109" i="1"/>
  <c r="AZ109" i="1"/>
  <c r="CB105" i="1"/>
  <c r="CA104" i="1"/>
  <c r="CB104" i="1"/>
  <c r="AT103" i="1"/>
  <c r="BC100" i="1"/>
  <c r="AZ100" i="1"/>
  <c r="AZ99" i="1"/>
  <c r="BC99" i="1"/>
  <c r="CA96" i="1"/>
  <c r="BZ96" i="1"/>
  <c r="CB96" i="1"/>
  <c r="AZ95" i="1"/>
  <c r="BC95" i="1"/>
  <c r="BC90" i="1"/>
  <c r="AZ90" i="1"/>
  <c r="CB87" i="1"/>
  <c r="CA86" i="1"/>
  <c r="CB86" i="1"/>
  <c r="CD86" i="1"/>
  <c r="BC75" i="1"/>
  <c r="AZ75" i="1"/>
  <c r="CB69" i="1"/>
  <c r="CA69" i="1"/>
  <c r="BC66" i="1"/>
  <c r="AZ66" i="1"/>
  <c r="CA99" i="1"/>
  <c r="AZ139" i="1"/>
  <c r="AZ102" i="1"/>
  <c r="CB95" i="1"/>
  <c r="AZ93" i="1"/>
  <c r="AZ85" i="1"/>
  <c r="BZ58" i="1"/>
  <c r="DB41" i="1"/>
  <c r="CZ40" i="1"/>
  <c r="AT48" i="1"/>
  <c r="AT47" i="1"/>
  <c r="AT44" i="1"/>
  <c r="BY44" i="1"/>
  <c r="CD44" i="1"/>
  <c r="AT42" i="1"/>
  <c r="AT40" i="1"/>
  <c r="CS40" i="1"/>
  <c r="CU40" i="1"/>
  <c r="AR130" i="1"/>
  <c r="CB129" i="1"/>
  <c r="AZ123" i="1"/>
  <c r="BC123" i="1"/>
  <c r="CB122" i="1"/>
  <c r="CA116" i="1"/>
  <c r="CA76" i="1"/>
  <c r="CB70" i="1"/>
  <c r="CS42" i="1"/>
  <c r="CU42" i="1"/>
  <c r="CZ42" i="1"/>
  <c r="DB42" i="1"/>
  <c r="CA43" i="1"/>
  <c r="AZ61" i="1"/>
  <c r="CZ41" i="1"/>
  <c r="AZ119" i="1"/>
  <c r="AZ76" i="1"/>
  <c r="BC43" i="1"/>
  <c r="AZ51" i="1"/>
  <c r="BC42" i="1"/>
  <c r="CB41" i="1"/>
  <c r="CU41" i="1"/>
  <c r="AZ72" i="1"/>
  <c r="AZ52" i="1"/>
  <c r="CS41" i="1"/>
  <c r="DB40" i="1"/>
  <c r="CA143" i="1"/>
  <c r="CB143" i="1"/>
  <c r="CB142" i="1"/>
  <c r="AZ141" i="1"/>
  <c r="BC141" i="1"/>
  <c r="AS139" i="1"/>
  <c r="CA138" i="1"/>
  <c r="CB138" i="1"/>
  <c r="CA134" i="1"/>
  <c r="CB134" i="1"/>
  <c r="AZ133" i="1"/>
  <c r="BC133" i="1"/>
  <c r="CA131" i="1"/>
  <c r="CA130" i="1"/>
  <c r="CB130" i="1"/>
  <c r="AZ128" i="1"/>
  <c r="BC128" i="1"/>
  <c r="AZ118" i="1"/>
  <c r="BC118" i="1"/>
  <c r="CB101" i="1"/>
  <c r="AZ127" i="1"/>
  <c r="AZ116" i="1"/>
  <c r="CB114" i="1"/>
  <c r="CB126" i="1"/>
  <c r="CA125" i="1"/>
  <c r="AZ114" i="1"/>
  <c r="BC114" i="1"/>
  <c r="CA113" i="1"/>
  <c r="AT111" i="1"/>
  <c r="AT105" i="1"/>
  <c r="CB100" i="1"/>
  <c r="AZ112" i="1"/>
  <c r="AZ105" i="1"/>
  <c r="AZ111" i="1"/>
  <c r="CB115" i="1"/>
  <c r="AT114" i="1"/>
  <c r="AT93" i="1"/>
  <c r="BZ85" i="1"/>
  <c r="CA85" i="1"/>
  <c r="CB84" i="1"/>
  <c r="BZ84" i="1"/>
  <c r="CA80" i="1"/>
  <c r="AZ81" i="1"/>
  <c r="BC81" i="1"/>
  <c r="AT74" i="1"/>
  <c r="CA91" i="1"/>
  <c r="AZ88" i="1"/>
  <c r="BC87" i="1"/>
  <c r="AZ87" i="1"/>
  <c r="AZ86" i="1"/>
  <c r="BC86" i="1"/>
  <c r="CB66" i="1"/>
  <c r="CA66" i="1"/>
  <c r="AZ78" i="1"/>
  <c r="BC78" i="1"/>
  <c r="AT89" i="1"/>
  <c r="AT84" i="1"/>
  <c r="CA71" i="1"/>
  <c r="CB71" i="1"/>
  <c r="CB80" i="1"/>
  <c r="CA92" i="1"/>
  <c r="CB92" i="1"/>
  <c r="CA83" i="1"/>
  <c r="AZ71" i="1"/>
  <c r="BC71" i="1"/>
  <c r="AZ62" i="1"/>
  <c r="BC62" i="1"/>
  <c r="BZ56" i="1"/>
  <c r="CB56" i="1"/>
  <c r="BC54" i="1"/>
  <c r="AT69" i="1"/>
  <c r="CB78" i="1"/>
  <c r="CA78" i="1"/>
  <c r="BZ68" i="1"/>
  <c r="CB68" i="1"/>
  <c r="AZ74" i="1"/>
  <c r="BC74" i="1"/>
  <c r="BZ55" i="1"/>
  <c r="CD85" i="1"/>
  <c r="AZ69" i="1"/>
  <c r="BC69" i="1"/>
  <c r="BZ57" i="1"/>
  <c r="BZ52" i="1"/>
  <c r="CB52" i="1"/>
  <c r="BZ44" i="1"/>
  <c r="CA44" i="1"/>
  <c r="CB44" i="1"/>
  <c r="CB61" i="1"/>
  <c r="BC52" i="1"/>
  <c r="AT62" i="1"/>
  <c r="CB54" i="1"/>
  <c r="CA49" i="1"/>
  <c r="CB49" i="1"/>
  <c r="CA73" i="1"/>
  <c r="CB73" i="1"/>
  <c r="BY43" i="1"/>
  <c r="AT43" i="1"/>
  <c r="BY45" i="1"/>
  <c r="AT45" i="1"/>
  <c r="CA45" i="1"/>
  <c r="AT50" i="1"/>
  <c r="CB42" i="1"/>
  <c r="BZ42" i="1"/>
  <c r="CB75" i="1"/>
  <c r="BC72" i="1"/>
  <c r="CB63" i="1"/>
  <c r="BC60" i="1"/>
  <c r="CB51" i="1"/>
  <c r="BC48" i="1"/>
  <c r="BZ41" i="1"/>
  <c r="AT41" i="1"/>
  <c r="CB50" i="1"/>
  <c r="BC47" i="1"/>
  <c r="AT63" i="1"/>
  <c r="AT51" i="1"/>
  <c r="CA50" i="1"/>
  <c r="BC77" i="1"/>
  <c r="AV130" i="1" l="1"/>
  <c r="BE130" i="1"/>
  <c r="AV131" i="1"/>
  <c r="BE131" i="1"/>
  <c r="AV132" i="1"/>
  <c r="BE132" i="1"/>
  <c r="AV133" i="1"/>
  <c r="BE133" i="1"/>
  <c r="AV134" i="1"/>
  <c r="BE134" i="1"/>
  <c r="AV140" i="1"/>
  <c r="BE140" i="1"/>
  <c r="AV143" i="1"/>
  <c r="BE143" i="1"/>
  <c r="AU40" i="1"/>
  <c r="AY40" i="1" s="1"/>
  <c r="R33" i="34"/>
  <c r="D33" i="34"/>
  <c r="AL33" i="34"/>
  <c r="AU41" i="1"/>
  <c r="AY41" i="1" s="1"/>
  <c r="D34" i="34"/>
  <c r="R34" i="34"/>
  <c r="AL34" i="34"/>
  <c r="CD42" i="1"/>
  <c r="R35" i="34"/>
  <c r="D35" i="34"/>
  <c r="AL35" i="34"/>
  <c r="CD43" i="1"/>
  <c r="D36" i="34"/>
  <c r="R36" i="34"/>
  <c r="AL36" i="34"/>
  <c r="AU44" i="1"/>
  <c r="AY44" i="1" s="1"/>
  <c r="R37" i="34"/>
  <c r="D37" i="34"/>
  <c r="AL37" i="34"/>
  <c r="CD45" i="1"/>
  <c r="R38" i="34"/>
  <c r="D38" i="34"/>
  <c r="AL38" i="34"/>
  <c r="AU46" i="1"/>
  <c r="AY46" i="1" s="1"/>
  <c r="R39" i="34"/>
  <c r="D39" i="34"/>
  <c r="AL39" i="34"/>
  <c r="CY47" i="1"/>
  <c r="K40" i="34"/>
  <c r="D40" i="34"/>
  <c r="AL40" i="34"/>
  <c r="CY48" i="1"/>
  <c r="D41" i="34"/>
  <c r="K41" i="34"/>
  <c r="AL41" i="34"/>
  <c r="CY49" i="1"/>
  <c r="K42" i="34"/>
  <c r="D42" i="34"/>
  <c r="AL42" i="34"/>
  <c r="CS50" i="1"/>
  <c r="D43" i="34"/>
  <c r="K43" i="34"/>
  <c r="AL43" i="34"/>
  <c r="CY51" i="1"/>
  <c r="K44" i="34"/>
  <c r="D44" i="34"/>
  <c r="AL44" i="34"/>
  <c r="CY52" i="1"/>
  <c r="D45" i="34"/>
  <c r="R45" i="34"/>
  <c r="AL45" i="34"/>
  <c r="CT53" i="1"/>
  <c r="R46" i="34"/>
  <c r="D46" i="34"/>
  <c r="AL46" i="34"/>
  <c r="CT54" i="1"/>
  <c r="D47" i="34"/>
  <c r="R47" i="34"/>
  <c r="AL47" i="34"/>
  <c r="CY55" i="1"/>
  <c r="D48" i="34"/>
  <c r="R48" i="34"/>
  <c r="AL48" i="34"/>
  <c r="CY56" i="1"/>
  <c r="R49" i="34"/>
  <c r="D49" i="34"/>
  <c r="AL49" i="34"/>
  <c r="CT57" i="1"/>
  <c r="D50" i="34"/>
  <c r="R50" i="34"/>
  <c r="AL50" i="34"/>
  <c r="D51" i="34"/>
  <c r="R51" i="34"/>
  <c r="CY59" i="1"/>
  <c r="D52" i="34"/>
  <c r="R52" i="34"/>
  <c r="AL52" i="34"/>
  <c r="CY60" i="1"/>
  <c r="CY61" i="1"/>
  <c r="R53" i="34"/>
  <c r="D53" i="34"/>
  <c r="AL53" i="34"/>
  <c r="CS62" i="1"/>
  <c r="D54" i="34"/>
  <c r="K54" i="34"/>
  <c r="AL54" i="34"/>
  <c r="CY63" i="1"/>
  <c r="D55" i="34"/>
  <c r="K55" i="34"/>
  <c r="AL55" i="34"/>
  <c r="CY64" i="1"/>
  <c r="K56" i="34"/>
  <c r="D56" i="34"/>
  <c r="CS65" i="1"/>
  <c r="D57" i="34"/>
  <c r="K57" i="34"/>
  <c r="CZ66" i="1"/>
  <c r="CY67" i="1"/>
  <c r="D58" i="34"/>
  <c r="K58" i="34"/>
  <c r="AL58" i="34"/>
  <c r="CY68" i="1"/>
  <c r="K59" i="34"/>
  <c r="D59" i="34"/>
  <c r="AL59" i="34"/>
  <c r="CS69" i="1"/>
  <c r="D60" i="34"/>
  <c r="K60" i="34"/>
  <c r="AL60" i="34"/>
  <c r="CY70" i="1"/>
  <c r="K61" i="34"/>
  <c r="D61" i="34"/>
  <c r="AL61" i="34"/>
  <c r="CY71" i="1"/>
  <c r="D62" i="34"/>
  <c r="K62" i="34"/>
  <c r="AL62" i="34"/>
  <c r="CY72" i="1"/>
  <c r="R63" i="34"/>
  <c r="D63" i="34"/>
  <c r="AL63" i="34"/>
  <c r="R64" i="34"/>
  <c r="D64" i="34"/>
  <c r="AL64" i="34"/>
  <c r="CZ74" i="1"/>
  <c r="R65" i="34"/>
  <c r="D65" i="34"/>
  <c r="AL65" i="34"/>
  <c r="CY75" i="1"/>
  <c r="K66" i="34"/>
  <c r="D66" i="34"/>
  <c r="AL66" i="34"/>
  <c r="CY76" i="1"/>
  <c r="K67" i="34"/>
  <c r="D67" i="34"/>
  <c r="AL67" i="34"/>
  <c r="DA77" i="1"/>
  <c r="K68" i="34"/>
  <c r="D68" i="34"/>
  <c r="AL68" i="34"/>
  <c r="CS78" i="1"/>
  <c r="K69" i="34"/>
  <c r="D69" i="34"/>
  <c r="AL69" i="34"/>
  <c r="CY79" i="1"/>
  <c r="K70" i="34"/>
  <c r="D70" i="34"/>
  <c r="AL70" i="34"/>
  <c r="CY80" i="1"/>
  <c r="D71" i="34"/>
  <c r="K71" i="34"/>
  <c r="AL71" i="34"/>
  <c r="CZ81" i="1"/>
  <c r="D72" i="34"/>
  <c r="K72" i="34"/>
  <c r="AL72" i="34"/>
  <c r="DD82" i="1"/>
  <c r="CY87" i="1"/>
  <c r="D73" i="34"/>
  <c r="R73" i="34"/>
  <c r="AL73" i="34"/>
  <c r="D74" i="34"/>
  <c r="K74" i="34"/>
  <c r="CZ89" i="1"/>
  <c r="K75" i="34"/>
  <c r="D75" i="34"/>
  <c r="AL75" i="34"/>
  <c r="CY90" i="1"/>
  <c r="D76" i="34"/>
  <c r="K76" i="34"/>
  <c r="AL76" i="34"/>
  <c r="CY91" i="1"/>
  <c r="K77" i="34"/>
  <c r="D77" i="34"/>
  <c r="AL77" i="34"/>
  <c r="CZ92" i="1"/>
  <c r="K78" i="34"/>
  <c r="D78" i="34"/>
  <c r="AL78" i="34"/>
  <c r="CZ93" i="1"/>
  <c r="K79" i="34"/>
  <c r="D79" i="34"/>
  <c r="AL79" i="34"/>
  <c r="CY94" i="1"/>
  <c r="K80" i="34"/>
  <c r="D80" i="34"/>
  <c r="AL80" i="34"/>
  <c r="CY95" i="1"/>
  <c r="K81" i="34"/>
  <c r="D81" i="34"/>
  <c r="D82" i="34"/>
  <c r="K82" i="34"/>
  <c r="K83" i="34"/>
  <c r="D83" i="34"/>
  <c r="DD98" i="1"/>
  <c r="K84" i="34"/>
  <c r="D84" i="34"/>
  <c r="AL84" i="34"/>
  <c r="CY99" i="1"/>
  <c r="D85" i="34"/>
  <c r="K85" i="34"/>
  <c r="CT100" i="1"/>
  <c r="K86" i="34"/>
  <c r="D86" i="34"/>
  <c r="CY101" i="1"/>
  <c r="CZ102" i="1"/>
  <c r="CY103" i="1"/>
  <c r="K87" i="34"/>
  <c r="D87" i="34"/>
  <c r="AL87" i="34"/>
  <c r="CS104" i="1"/>
  <c r="D88" i="34"/>
  <c r="K88" i="34"/>
  <c r="AL88" i="34"/>
  <c r="CZ105" i="1"/>
  <c r="D89" i="34"/>
  <c r="K89" i="34"/>
  <c r="AL89" i="34"/>
  <c r="CS106" i="1"/>
  <c r="K90" i="34"/>
  <c r="D90" i="34"/>
  <c r="AL90" i="34"/>
  <c r="CZ107" i="1"/>
  <c r="K91" i="34"/>
  <c r="D91" i="34"/>
  <c r="CZ108" i="1"/>
  <c r="CY109" i="1"/>
  <c r="D92" i="34"/>
  <c r="K92" i="34"/>
  <c r="AL92" i="34"/>
  <c r="CY110" i="1"/>
  <c r="K93" i="34"/>
  <c r="D93" i="34"/>
  <c r="AL93" i="34"/>
  <c r="CY111" i="1"/>
  <c r="D94" i="34"/>
  <c r="K94" i="34"/>
  <c r="CZ112" i="1"/>
  <c r="K95" i="34"/>
  <c r="D95" i="34"/>
  <c r="CS113" i="1"/>
  <c r="D96" i="34"/>
  <c r="K96" i="34"/>
  <c r="CY114" i="1"/>
  <c r="CZ115" i="1"/>
  <c r="CZ116" i="1"/>
  <c r="CY117" i="1"/>
  <c r="CZ118" i="1"/>
  <c r="K97" i="34"/>
  <c r="D97" i="34"/>
  <c r="AL97" i="34"/>
  <c r="CY119" i="1"/>
  <c r="D98" i="34"/>
  <c r="K98" i="34"/>
  <c r="AL98" i="34"/>
  <c r="CZ120" i="1"/>
  <c r="D99" i="34"/>
  <c r="K99" i="34"/>
  <c r="CY121" i="1"/>
  <c r="R100" i="34"/>
  <c r="D100" i="34"/>
  <c r="AL100" i="34"/>
  <c r="CS122" i="1"/>
  <c r="R101" i="34"/>
  <c r="D101" i="34"/>
  <c r="AL101" i="34"/>
  <c r="CY123" i="1"/>
  <c r="R102" i="34"/>
  <c r="D102" i="34"/>
  <c r="AL102" i="34"/>
  <c r="CS124" i="1"/>
  <c r="D103" i="34"/>
  <c r="R103" i="34"/>
  <c r="AL103" i="34"/>
  <c r="CZ125" i="1"/>
  <c r="D104" i="34"/>
  <c r="K104" i="34"/>
  <c r="AL104" i="34"/>
  <c r="CY126" i="1"/>
  <c r="CZ128" i="1"/>
  <c r="R74" i="34"/>
  <c r="CS129" i="1"/>
  <c r="CY130" i="1"/>
  <c r="K105" i="34"/>
  <c r="D105" i="34"/>
  <c r="AL105" i="34"/>
  <c r="CY131" i="1"/>
  <c r="D106" i="34"/>
  <c r="K106" i="34"/>
  <c r="AL106" i="34"/>
  <c r="CZ132" i="1"/>
  <c r="K107" i="34"/>
  <c r="D107" i="34"/>
  <c r="AL107" i="34"/>
  <c r="DA133" i="1"/>
  <c r="K108" i="34"/>
  <c r="D108" i="34"/>
  <c r="AL108" i="34"/>
  <c r="BZ134" i="1"/>
  <c r="D109" i="34"/>
  <c r="K109" i="34"/>
  <c r="AL109" i="34"/>
  <c r="DD135" i="1"/>
  <c r="CT136" i="1"/>
  <c r="CZ137" i="1"/>
  <c r="CY138" i="1"/>
  <c r="K110" i="34"/>
  <c r="D110" i="34"/>
  <c r="DD139" i="1"/>
  <c r="K111" i="34"/>
  <c r="D111" i="34"/>
  <c r="BZ140" i="1"/>
  <c r="D112" i="34"/>
  <c r="K112" i="34"/>
  <c r="CY141" i="1"/>
  <c r="DD142" i="1"/>
  <c r="CY143" i="1"/>
  <c r="AF33" i="34"/>
  <c r="AD33" i="34"/>
  <c r="AD34" i="34"/>
  <c r="AF34" i="34"/>
  <c r="AF35" i="34"/>
  <c r="AD35" i="34"/>
  <c r="AD36" i="34"/>
  <c r="AF36" i="34"/>
  <c r="AF37" i="34"/>
  <c r="AD37" i="34"/>
  <c r="AD38" i="34"/>
  <c r="AF38" i="34"/>
  <c r="AF39" i="34"/>
  <c r="AD39" i="34"/>
  <c r="AF45" i="34"/>
  <c r="AD45" i="34"/>
  <c r="AF46" i="34"/>
  <c r="AD46" i="34"/>
  <c r="AF47" i="34"/>
  <c r="AD47" i="34"/>
  <c r="AF48" i="34"/>
  <c r="AD48" i="34"/>
  <c r="AD49" i="34"/>
  <c r="AF49" i="34"/>
  <c r="AF50" i="34"/>
  <c r="AD50" i="34"/>
  <c r="AD51" i="34"/>
  <c r="AF51" i="34"/>
  <c r="AF52" i="34"/>
  <c r="AD52" i="34"/>
  <c r="AF53" i="34"/>
  <c r="AD53" i="34"/>
  <c r="AD63" i="34"/>
  <c r="AF63" i="34"/>
  <c r="AD64" i="34"/>
  <c r="AF64" i="34"/>
  <c r="AD65" i="34"/>
  <c r="AF65" i="34"/>
  <c r="AD73" i="34"/>
  <c r="AF73" i="34"/>
  <c r="AD100" i="34"/>
  <c r="AF100" i="34"/>
  <c r="AD101" i="34"/>
  <c r="AF101" i="34"/>
  <c r="AD102" i="34"/>
  <c r="AF102" i="34"/>
  <c r="AF103" i="34"/>
  <c r="AD103" i="34"/>
  <c r="AF74" i="34"/>
  <c r="AD74" i="34"/>
  <c r="CA124" i="1"/>
  <c r="CT122" i="1"/>
  <c r="DD87" i="1"/>
  <c r="DA87" i="1"/>
  <c r="CD140" i="1"/>
  <c r="BY140" i="1"/>
  <c r="CZ77" i="1"/>
  <c r="BY87" i="1"/>
  <c r="CT87" i="1"/>
  <c r="CA87" i="1"/>
  <c r="CR87" i="1"/>
  <c r="CW87" i="1"/>
  <c r="DA60" i="1"/>
  <c r="CS77" i="1"/>
  <c r="CS140" i="1"/>
  <c r="CZ75" i="1"/>
  <c r="CA122" i="1"/>
  <c r="CT123" i="1"/>
  <c r="DA61" i="1"/>
  <c r="CD99" i="1"/>
  <c r="BZ77" i="1"/>
  <c r="CT61" i="1"/>
  <c r="CT124" i="1"/>
  <c r="CS75" i="1"/>
  <c r="CS99" i="1"/>
  <c r="DA121" i="1"/>
  <c r="CZ99" i="1"/>
  <c r="DA123" i="1"/>
  <c r="BZ75" i="1"/>
  <c r="DA124" i="1"/>
  <c r="CR98" i="1"/>
  <c r="CW98" i="1"/>
  <c r="CD98" i="1"/>
  <c r="CY98" i="1"/>
  <c r="CA121" i="1"/>
  <c r="CY82" i="1"/>
  <c r="DD99" i="1"/>
  <c r="BZ105" i="1"/>
  <c r="DA74" i="1"/>
  <c r="CS98" i="1"/>
  <c r="AU140" i="1"/>
  <c r="CR140" i="1"/>
  <c r="CW140" i="1"/>
  <c r="CW82" i="1"/>
  <c r="CR82" i="1"/>
  <c r="AV88" i="1"/>
  <c r="CR99" i="1"/>
  <c r="CW99" i="1"/>
  <c r="CS82" i="1"/>
  <c r="CT121" i="1"/>
  <c r="CT60" i="1"/>
  <c r="CZ98" i="1"/>
  <c r="DA122" i="1"/>
  <c r="CY140" i="1"/>
  <c r="CA74" i="1"/>
  <c r="BZ117" i="1"/>
  <c r="CT74" i="1"/>
  <c r="CZ82" i="1"/>
  <c r="CZ140" i="1"/>
  <c r="DD140" i="1"/>
  <c r="BZ138" i="1"/>
  <c r="CD115" i="1"/>
  <c r="CY58" i="1"/>
  <c r="AT58" i="1"/>
  <c r="BY78" i="1"/>
  <c r="CS130" i="1"/>
  <c r="CS107" i="1"/>
  <c r="CS115" i="1"/>
  <c r="BZ130" i="1"/>
  <c r="DD107" i="1"/>
  <c r="DD115" i="1"/>
  <c r="BZ100" i="1"/>
  <c r="BZ136" i="1"/>
  <c r="CZ135" i="1"/>
  <c r="DA143" i="1"/>
  <c r="CY107" i="1"/>
  <c r="CZ130" i="1"/>
  <c r="DA105" i="1"/>
  <c r="CZ141" i="1"/>
  <c r="CT105" i="1"/>
  <c r="CZ134" i="1"/>
  <c r="DD130" i="1"/>
  <c r="BZ141" i="1"/>
  <c r="CZ100" i="1"/>
  <c r="CS141" i="1"/>
  <c r="CD142" i="1"/>
  <c r="BY142" i="1"/>
  <c r="BZ107" i="1"/>
  <c r="CZ142" i="1"/>
  <c r="BY126" i="1"/>
  <c r="CD130" i="1"/>
  <c r="CS135" i="1"/>
  <c r="CS142" i="1"/>
  <c r="CS108" i="1"/>
  <c r="CZ133" i="1"/>
  <c r="CZ136" i="1"/>
  <c r="CS133" i="1"/>
  <c r="BZ142" i="1"/>
  <c r="CR141" i="1"/>
  <c r="CW141" i="1"/>
  <c r="CS136" i="1"/>
  <c r="AU108" i="1"/>
  <c r="CR108" i="1"/>
  <c r="CW108" i="1"/>
  <c r="BZ114" i="1"/>
  <c r="CT143" i="1"/>
  <c r="DD108" i="1"/>
  <c r="DD141" i="1"/>
  <c r="AU115" i="1"/>
  <c r="CW115" i="1"/>
  <c r="CR115" i="1"/>
  <c r="AU130" i="1"/>
  <c r="CR130" i="1"/>
  <c r="CW130" i="1"/>
  <c r="CY108" i="1"/>
  <c r="AU126" i="1"/>
  <c r="AU109" i="1"/>
  <c r="CW109" i="1"/>
  <c r="CR109" i="1"/>
  <c r="CY115" i="1"/>
  <c r="BZ133" i="1"/>
  <c r="CR142" i="1"/>
  <c r="CW142" i="1"/>
  <c r="CS109" i="1"/>
  <c r="CS134" i="1"/>
  <c r="BZ108" i="1"/>
  <c r="BY130" i="1"/>
  <c r="AU107" i="1"/>
  <c r="AY107" i="1" s="1"/>
  <c r="CW107" i="1"/>
  <c r="CR107" i="1"/>
  <c r="BY108" i="1"/>
  <c r="BY107" i="1"/>
  <c r="CS100" i="1"/>
  <c r="CZ109" i="1"/>
  <c r="DD109" i="1"/>
  <c r="CY142" i="1"/>
  <c r="AU138" i="1"/>
  <c r="CD104" i="1"/>
  <c r="CT40" i="1"/>
  <c r="CD64" i="1"/>
  <c r="BY128" i="1"/>
  <c r="CA75" i="1"/>
  <c r="CZ76" i="1"/>
  <c r="CS117" i="1"/>
  <c r="CZ51" i="1"/>
  <c r="CS61" i="1"/>
  <c r="CZ64" i="1"/>
  <c r="DA70" i="1"/>
  <c r="DD136" i="1"/>
  <c r="CZ49" i="1"/>
  <c r="CS74" i="1"/>
  <c r="CZ79" i="1"/>
  <c r="CS51" i="1"/>
  <c r="CS72" i="1"/>
  <c r="CZ113" i="1"/>
  <c r="CS128" i="1"/>
  <c r="BZ128" i="1"/>
  <c r="CZ47" i="1"/>
  <c r="CS49" i="1"/>
  <c r="DA58" i="1"/>
  <c r="CT77" i="1"/>
  <c r="CS47" i="1"/>
  <c r="CT52" i="1"/>
  <c r="CS80" i="1"/>
  <c r="CS126" i="1"/>
  <c r="CZ71" i="1"/>
  <c r="CZ139" i="1"/>
  <c r="DD116" i="1"/>
  <c r="CT58" i="1"/>
  <c r="CS101" i="1"/>
  <c r="CZ124" i="1"/>
  <c r="DD128" i="1"/>
  <c r="BZ120" i="1"/>
  <c r="CZ69" i="1"/>
  <c r="CS90" i="1"/>
  <c r="CA54" i="1"/>
  <c r="DA53" i="1"/>
  <c r="DA55" i="1"/>
  <c r="DA57" i="1"/>
  <c r="DA59" i="1"/>
  <c r="CS64" i="1"/>
  <c r="CS66" i="1"/>
  <c r="CT68" i="1"/>
  <c r="CT70" i="1"/>
  <c r="CS76" i="1"/>
  <c r="CZ95" i="1"/>
  <c r="CZ104" i="1"/>
  <c r="CZ106" i="1"/>
  <c r="CZ122" i="1"/>
  <c r="CS132" i="1"/>
  <c r="CT133" i="1"/>
  <c r="CT135" i="1"/>
  <c r="CS137" i="1"/>
  <c r="DD49" i="1"/>
  <c r="DD53" i="1"/>
  <c r="DD57" i="1"/>
  <c r="DD61" i="1"/>
  <c r="DD65" i="1"/>
  <c r="DD69" i="1"/>
  <c r="DD77" i="1"/>
  <c r="DD81" i="1"/>
  <c r="DD92" i="1"/>
  <c r="DD100" i="1"/>
  <c r="DD104" i="1"/>
  <c r="DD112" i="1"/>
  <c r="DD120" i="1"/>
  <c r="DD124" i="1"/>
  <c r="CY128" i="1"/>
  <c r="DD132" i="1"/>
  <c r="CZ61" i="1"/>
  <c r="CZ78" i="1"/>
  <c r="CZ80" i="1"/>
  <c r="CZ90" i="1"/>
  <c r="CS121" i="1"/>
  <c r="CS123" i="1"/>
  <c r="CZ126" i="1"/>
  <c r="DA134" i="1"/>
  <c r="DA136" i="1"/>
  <c r="CZ143" i="1"/>
  <c r="CY53" i="1"/>
  <c r="CY57" i="1"/>
  <c r="CY65" i="1"/>
  <c r="CY69" i="1"/>
  <c r="CY77" i="1"/>
  <c r="CY81" i="1"/>
  <c r="CY92" i="1"/>
  <c r="CY100" i="1"/>
  <c r="CY104" i="1"/>
  <c r="CY112" i="1"/>
  <c r="CY116" i="1"/>
  <c r="CY120" i="1"/>
  <c r="CY124" i="1"/>
  <c r="CY132" i="1"/>
  <c r="CY136" i="1"/>
  <c r="CT55" i="1"/>
  <c r="CT59" i="1"/>
  <c r="CZ63" i="1"/>
  <c r="CZ65" i="1"/>
  <c r="CZ67" i="1"/>
  <c r="DA75" i="1"/>
  <c r="DA88" i="1"/>
  <c r="CS89" i="1"/>
  <c r="CS92" i="1"/>
  <c r="CZ101" i="1"/>
  <c r="CS110" i="1"/>
  <c r="CS119" i="1"/>
  <c r="CS143" i="1"/>
  <c r="DD50" i="1"/>
  <c r="DD62" i="1"/>
  <c r="DD74" i="1"/>
  <c r="DD78" i="1"/>
  <c r="DD89" i="1"/>
  <c r="DD93" i="1"/>
  <c r="DD101" i="1"/>
  <c r="DD105" i="1"/>
  <c r="DD113" i="1"/>
  <c r="DD117" i="1"/>
  <c r="DD121" i="1"/>
  <c r="DD125" i="1"/>
  <c r="CY133" i="1"/>
  <c r="CS94" i="1"/>
  <c r="CS103" i="1"/>
  <c r="CS105" i="1"/>
  <c r="CZ110" i="1"/>
  <c r="CZ117" i="1"/>
  <c r="CZ119" i="1"/>
  <c r="CS127" i="1"/>
  <c r="CS138" i="1"/>
  <c r="DD54" i="1"/>
  <c r="DD58" i="1"/>
  <c r="DD66" i="1"/>
  <c r="DD70" i="1"/>
  <c r="CY129" i="1"/>
  <c r="DD137" i="1"/>
  <c r="DA56" i="1"/>
  <c r="CZ94" i="1"/>
  <c r="CZ103" i="1"/>
  <c r="CS112" i="1"/>
  <c r="CS118" i="1"/>
  <c r="CZ121" i="1"/>
  <c r="CY50" i="1"/>
  <c r="CY54" i="1"/>
  <c r="CY62" i="1"/>
  <c r="CY66" i="1"/>
  <c r="CY74" i="1"/>
  <c r="CY78" i="1"/>
  <c r="CY89" i="1"/>
  <c r="CY93" i="1"/>
  <c r="CY105" i="1"/>
  <c r="CY113" i="1"/>
  <c r="CY125" i="1"/>
  <c r="DD129" i="1"/>
  <c r="DD133" i="1"/>
  <c r="CY137" i="1"/>
  <c r="DA52" i="1"/>
  <c r="DA54" i="1"/>
  <c r="CS63" i="1"/>
  <c r="CS67" i="1"/>
  <c r="CT75" i="1"/>
  <c r="CS93" i="1"/>
  <c r="CS114" i="1"/>
  <c r="CS125" i="1"/>
  <c r="CT134" i="1"/>
  <c r="DD51" i="1"/>
  <c r="DD55" i="1"/>
  <c r="DD59" i="1"/>
  <c r="DD63" i="1"/>
  <c r="DD67" i="1"/>
  <c r="DD71" i="1"/>
  <c r="DD75" i="1"/>
  <c r="DD79" i="1"/>
  <c r="DD90" i="1"/>
  <c r="DD94" i="1"/>
  <c r="DD102" i="1"/>
  <c r="DD106" i="1"/>
  <c r="DD110" i="1"/>
  <c r="DD118" i="1"/>
  <c r="DD126" i="1"/>
  <c r="DD134" i="1"/>
  <c r="DD138" i="1"/>
  <c r="CZ48" i="1"/>
  <c r="CZ50" i="1"/>
  <c r="CZ60" i="1"/>
  <c r="CS71" i="1"/>
  <c r="CS79" i="1"/>
  <c r="CS81" i="1"/>
  <c r="CT88" i="1"/>
  <c r="DA100" i="1"/>
  <c r="CZ123" i="1"/>
  <c r="CZ127" i="1"/>
  <c r="CZ129" i="1"/>
  <c r="CZ131" i="1"/>
  <c r="CZ138" i="1"/>
  <c r="DD47" i="1"/>
  <c r="DD114" i="1"/>
  <c r="DD122" i="1"/>
  <c r="CY134" i="1"/>
  <c r="CZ62" i="1"/>
  <c r="DA68" i="1"/>
  <c r="CS91" i="1"/>
  <c r="CZ114" i="1"/>
  <c r="CS116" i="1"/>
  <c r="CS131" i="1"/>
  <c r="CY102" i="1"/>
  <c r="CY106" i="1"/>
  <c r="CY118" i="1"/>
  <c r="CY122" i="1"/>
  <c r="CT56" i="1"/>
  <c r="CZ91" i="1"/>
  <c r="CS102" i="1"/>
  <c r="CS120" i="1"/>
  <c r="DA135" i="1"/>
  <c r="DD48" i="1"/>
  <c r="DD52" i="1"/>
  <c r="DD60" i="1"/>
  <c r="DD64" i="1"/>
  <c r="DD72" i="1"/>
  <c r="DD119" i="1"/>
  <c r="DD123" i="1"/>
  <c r="CY127" i="1"/>
  <c r="CY139" i="1"/>
  <c r="CS48" i="1"/>
  <c r="CS60" i="1"/>
  <c r="CZ72" i="1"/>
  <c r="CS111" i="1"/>
  <c r="CS139" i="1"/>
  <c r="DD56" i="1"/>
  <c r="DD68" i="1"/>
  <c r="DD76" i="1"/>
  <c r="DD80" i="1"/>
  <c r="DD88" i="1"/>
  <c r="DD91" i="1"/>
  <c r="DD95" i="1"/>
  <c r="DD103" i="1"/>
  <c r="DD111" i="1"/>
  <c r="DD127" i="1"/>
  <c r="DD131" i="1"/>
  <c r="CY135" i="1"/>
  <c r="DD143" i="1"/>
  <c r="CS95" i="1"/>
  <c r="CZ111" i="1"/>
  <c r="CD47" i="1"/>
  <c r="CR47" i="1"/>
  <c r="CW47" i="1"/>
  <c r="CD48" i="1"/>
  <c r="CW48" i="1"/>
  <c r="CR48" i="1"/>
  <c r="AU49" i="1"/>
  <c r="AY49" i="1" s="1"/>
  <c r="CR49" i="1"/>
  <c r="CW49" i="1"/>
  <c r="AU50" i="1"/>
  <c r="CR50" i="1"/>
  <c r="CW50" i="1"/>
  <c r="AU51" i="1"/>
  <c r="AY51" i="1" s="1"/>
  <c r="CR51" i="1"/>
  <c r="CW51" i="1"/>
  <c r="AU52" i="1"/>
  <c r="CR52" i="1"/>
  <c r="CW52" i="1"/>
  <c r="CA53" i="1"/>
  <c r="CW53" i="1"/>
  <c r="CR53" i="1"/>
  <c r="CR54" i="1"/>
  <c r="CW54" i="1"/>
  <c r="CA55" i="1"/>
  <c r="CW55" i="1"/>
  <c r="CR55" i="1"/>
  <c r="BY56" i="1"/>
  <c r="CR56" i="1"/>
  <c r="CW56" i="1"/>
  <c r="CA57" i="1"/>
  <c r="CW57" i="1"/>
  <c r="CR57" i="1"/>
  <c r="CA58" i="1"/>
  <c r="CR58" i="1"/>
  <c r="CW58" i="1"/>
  <c r="BY59" i="1"/>
  <c r="CR59" i="1"/>
  <c r="CW59" i="1"/>
  <c r="BZ60" i="1"/>
  <c r="CW60" i="1"/>
  <c r="CR60" i="1"/>
  <c r="BZ61" i="1"/>
  <c r="CR61" i="1"/>
  <c r="CW61" i="1"/>
  <c r="BZ62" i="1"/>
  <c r="CW62" i="1"/>
  <c r="CR62" i="1"/>
  <c r="CD63" i="1"/>
  <c r="CR63" i="1"/>
  <c r="CW63" i="1"/>
  <c r="BZ64" i="1"/>
  <c r="CR64" i="1"/>
  <c r="CW64" i="1"/>
  <c r="BZ65" i="1"/>
  <c r="CW65" i="1"/>
  <c r="CR65" i="1"/>
  <c r="CW66" i="1"/>
  <c r="CR66" i="1"/>
  <c r="BY67" i="1"/>
  <c r="CR67" i="1"/>
  <c r="CW67" i="1"/>
  <c r="CA68" i="1"/>
  <c r="CR68" i="1"/>
  <c r="CW68" i="1"/>
  <c r="CR69" i="1"/>
  <c r="CW69" i="1"/>
  <c r="CA70" i="1"/>
  <c r="CW70" i="1"/>
  <c r="CR70" i="1"/>
  <c r="CR71" i="1"/>
  <c r="CW71" i="1"/>
  <c r="CW72" i="1"/>
  <c r="CR72" i="1"/>
  <c r="CW74" i="1"/>
  <c r="CR74" i="1"/>
  <c r="BY75" i="1"/>
  <c r="CW75" i="1"/>
  <c r="CR75" i="1"/>
  <c r="CD76" i="1"/>
  <c r="CR76" i="1"/>
  <c r="CW76" i="1"/>
  <c r="CD77" i="1"/>
  <c r="CR77" i="1"/>
  <c r="CW77" i="1"/>
  <c r="CD78" i="1"/>
  <c r="CR78" i="1"/>
  <c r="CW78" i="1"/>
  <c r="BZ79" i="1"/>
  <c r="CR79" i="1"/>
  <c r="CW79" i="1"/>
  <c r="BY80" i="1"/>
  <c r="CR80" i="1"/>
  <c r="CW80" i="1"/>
  <c r="CR81" i="1"/>
  <c r="CW81" i="1"/>
  <c r="CA88" i="1"/>
  <c r="CR88" i="1"/>
  <c r="CW88" i="1"/>
  <c r="CR89" i="1"/>
  <c r="CW89" i="1"/>
  <c r="CR90" i="1"/>
  <c r="CW90" i="1"/>
  <c r="BY91" i="1"/>
  <c r="CR91" i="1"/>
  <c r="CW91" i="1"/>
  <c r="CR92" i="1"/>
  <c r="CW92" i="1"/>
  <c r="BZ93" i="1"/>
  <c r="CR93" i="1"/>
  <c r="CW93" i="1"/>
  <c r="CD94" i="1"/>
  <c r="CW94" i="1"/>
  <c r="CR94" i="1"/>
  <c r="CR95" i="1"/>
  <c r="CW95" i="1"/>
  <c r="CA100" i="1"/>
  <c r="CR100" i="1"/>
  <c r="CW100" i="1"/>
  <c r="BZ101" i="1"/>
  <c r="CW101" i="1"/>
  <c r="CR101" i="1"/>
  <c r="BZ102" i="1"/>
  <c r="CW102" i="1"/>
  <c r="CR102" i="1"/>
  <c r="AU103" i="1"/>
  <c r="CR103" i="1"/>
  <c r="CW103" i="1"/>
  <c r="BZ104" i="1"/>
  <c r="CW104" i="1"/>
  <c r="CR104" i="1"/>
  <c r="CD105" i="1"/>
  <c r="CR105" i="1"/>
  <c r="CW105" i="1"/>
  <c r="AU106" i="1"/>
  <c r="CR106" i="1"/>
  <c r="CW106" i="1"/>
  <c r="AU110" i="1"/>
  <c r="AY110" i="1" s="1"/>
  <c r="CW110" i="1"/>
  <c r="CR110" i="1"/>
  <c r="AU111" i="1"/>
  <c r="AY111" i="1" s="1"/>
  <c r="CR111" i="1"/>
  <c r="CW111" i="1"/>
  <c r="AT112" i="1"/>
  <c r="CR112" i="1"/>
  <c r="CW112" i="1"/>
  <c r="AU113" i="1"/>
  <c r="AY113" i="1" s="1"/>
  <c r="CW113" i="1"/>
  <c r="CR113" i="1"/>
  <c r="AU114" i="1"/>
  <c r="AY114" i="1" s="1"/>
  <c r="CR114" i="1"/>
  <c r="CW114" i="1"/>
  <c r="CD116" i="1"/>
  <c r="CW116" i="1"/>
  <c r="CR116" i="1"/>
  <c r="BY117" i="1"/>
  <c r="CW117" i="1"/>
  <c r="CR117" i="1"/>
  <c r="AU118" i="1"/>
  <c r="CW118" i="1"/>
  <c r="CR118" i="1"/>
  <c r="BZ119" i="1"/>
  <c r="CR119" i="1"/>
  <c r="CW119" i="1"/>
  <c r="AU120" i="1"/>
  <c r="CW120" i="1"/>
  <c r="CR120" i="1"/>
  <c r="AU121" i="1"/>
  <c r="CW121" i="1"/>
  <c r="CR121" i="1"/>
  <c r="CD122" i="1"/>
  <c r="CR122" i="1"/>
  <c r="CW122" i="1"/>
  <c r="BY123" i="1"/>
  <c r="CW123" i="1"/>
  <c r="CR123" i="1"/>
  <c r="CD124" i="1"/>
  <c r="CR124" i="1"/>
  <c r="CW124" i="1"/>
  <c r="AU125" i="1"/>
  <c r="CW125" i="1"/>
  <c r="CR125" i="1"/>
  <c r="CD126" i="1"/>
  <c r="CW126" i="1"/>
  <c r="CR126" i="1"/>
  <c r="CD127" i="1"/>
  <c r="CR127" i="1"/>
  <c r="CW127" i="1"/>
  <c r="CD128" i="1"/>
  <c r="CR128" i="1"/>
  <c r="CW128" i="1"/>
  <c r="CD129" i="1"/>
  <c r="CW129" i="1"/>
  <c r="CR129" i="1"/>
  <c r="AR131" i="1"/>
  <c r="CW131" i="1"/>
  <c r="CR131" i="1"/>
  <c r="BZ132" i="1"/>
  <c r="CW132" i="1"/>
  <c r="CR132" i="1"/>
  <c r="CA133" i="1"/>
  <c r="CW133" i="1"/>
  <c r="CR133" i="1"/>
  <c r="AU134" i="1"/>
  <c r="CW134" i="1"/>
  <c r="CR134" i="1"/>
  <c r="BZ135" i="1"/>
  <c r="CW135" i="1"/>
  <c r="CR135" i="1"/>
  <c r="AU136" i="1"/>
  <c r="AY136" i="1" s="1"/>
  <c r="CW136" i="1"/>
  <c r="CR136" i="1"/>
  <c r="CD137" i="1"/>
  <c r="CR137" i="1"/>
  <c r="CW137" i="1"/>
  <c r="BY138" i="1"/>
  <c r="CW138" i="1"/>
  <c r="CR138" i="1"/>
  <c r="CW139" i="1"/>
  <c r="CR139" i="1"/>
  <c r="BY143" i="1"/>
  <c r="CW143" i="1"/>
  <c r="CR143" i="1"/>
  <c r="BY55" i="1"/>
  <c r="BY121" i="1"/>
  <c r="BZ121" i="1"/>
  <c r="CA56" i="1"/>
  <c r="CD121" i="1"/>
  <c r="AU132" i="1"/>
  <c r="BZ76" i="1"/>
  <c r="DA40" i="1"/>
  <c r="CD118" i="1"/>
  <c r="CD50" i="1"/>
  <c r="CD120" i="1"/>
  <c r="BZ118" i="1"/>
  <c r="BZ112" i="1"/>
  <c r="CA52" i="1"/>
  <c r="CA42" i="1"/>
  <c r="BY120" i="1"/>
  <c r="CD136" i="1"/>
  <c r="BY136" i="1"/>
  <c r="BY119" i="1"/>
  <c r="BZ63" i="1"/>
  <c r="BZ125" i="1"/>
  <c r="AU129" i="1"/>
  <c r="BZ122" i="1"/>
  <c r="CD111" i="1"/>
  <c r="BZ126" i="1"/>
  <c r="CA136" i="1"/>
  <c r="AU135" i="1"/>
  <c r="AU117" i="1"/>
  <c r="CD62" i="1"/>
  <c r="BZ129" i="1"/>
  <c r="BY129" i="1"/>
  <c r="CD56" i="1"/>
  <c r="BZ50" i="1"/>
  <c r="BY118" i="1"/>
  <c r="AU123" i="1"/>
  <c r="CD91" i="1"/>
  <c r="CD119" i="1"/>
  <c r="BY57" i="1"/>
  <c r="AU124" i="1"/>
  <c r="CD93" i="1"/>
  <c r="BY40" i="1"/>
  <c r="BY124" i="1"/>
  <c r="BZ124" i="1"/>
  <c r="CA135" i="1"/>
  <c r="BY88" i="1"/>
  <c r="BZ143" i="1"/>
  <c r="BY76" i="1"/>
  <c r="BZ131" i="1"/>
  <c r="CR40" i="1"/>
  <c r="BY104" i="1"/>
  <c r="BZ137" i="1"/>
  <c r="BY58" i="1"/>
  <c r="BY110" i="1"/>
  <c r="CD40" i="1"/>
  <c r="CD110" i="1"/>
  <c r="BZ49" i="1"/>
  <c r="CA40" i="1"/>
  <c r="CD58" i="1"/>
  <c r="BY122" i="1"/>
  <c r="CD55" i="1"/>
  <c r="AU119" i="1"/>
  <c r="CD143" i="1"/>
  <c r="BZ110" i="1"/>
  <c r="BY116" i="1"/>
  <c r="DD40" i="1"/>
  <c r="CW40" i="1"/>
  <c r="AU128" i="1"/>
  <c r="AU116" i="1"/>
  <c r="BZ113" i="1"/>
  <c r="BZ116" i="1"/>
  <c r="BZ53" i="1"/>
  <c r="AU53" i="1"/>
  <c r="BY65" i="1"/>
  <c r="AU65" i="1"/>
  <c r="CD71" i="1"/>
  <c r="AU71" i="1"/>
  <c r="AT77" i="1"/>
  <c r="AU77" i="1"/>
  <c r="CD83" i="1"/>
  <c r="AU83" i="1"/>
  <c r="AT94" i="1"/>
  <c r="AU94" i="1"/>
  <c r="AR132" i="1"/>
  <c r="BY132" i="1"/>
  <c r="CD132" i="1"/>
  <c r="CD54" i="1"/>
  <c r="AU54" i="1"/>
  <c r="BY60" i="1"/>
  <c r="AU60" i="1"/>
  <c r="BZ66" i="1"/>
  <c r="AU66" i="1"/>
  <c r="AT72" i="1"/>
  <c r="AU72" i="1"/>
  <c r="AT78" i="1"/>
  <c r="AU78" i="1"/>
  <c r="CA84" i="1"/>
  <c r="AU84" i="1"/>
  <c r="AY84" i="1" s="1"/>
  <c r="CD89" i="1"/>
  <c r="AU89" i="1"/>
  <c r="AY89" i="1" s="1"/>
  <c r="AT95" i="1"/>
  <c r="AU95" i="1"/>
  <c r="AR133" i="1"/>
  <c r="BY133" i="1"/>
  <c r="CD133" i="1"/>
  <c r="AR139" i="1"/>
  <c r="AU139" i="1"/>
  <c r="BZ51" i="1"/>
  <c r="AT55" i="1"/>
  <c r="AU55" i="1"/>
  <c r="BY61" i="1"/>
  <c r="AU61" i="1"/>
  <c r="CD67" i="1"/>
  <c r="AU67" i="1"/>
  <c r="AT73" i="1"/>
  <c r="AU73" i="1"/>
  <c r="AT79" i="1"/>
  <c r="AU79" i="1"/>
  <c r="AT85" i="1"/>
  <c r="AU85" i="1"/>
  <c r="BY90" i="1"/>
  <c r="AU90" i="1"/>
  <c r="AY90" i="1" s="1"/>
  <c r="CD96" i="1"/>
  <c r="AU96" i="1"/>
  <c r="BZ78" i="1"/>
  <c r="BZ47" i="1"/>
  <c r="AT56" i="1"/>
  <c r="AU56" i="1"/>
  <c r="BY62" i="1"/>
  <c r="AU62" i="1"/>
  <c r="AY62" i="1" s="1"/>
  <c r="CD68" i="1"/>
  <c r="AU68" i="1"/>
  <c r="BZ74" i="1"/>
  <c r="AU74" i="1"/>
  <c r="AY74" i="1" s="1"/>
  <c r="AT80" i="1"/>
  <c r="AU80" i="1"/>
  <c r="BY86" i="1"/>
  <c r="AU86" i="1"/>
  <c r="AT91" i="1"/>
  <c r="AU91" i="1"/>
  <c r="CD97" i="1"/>
  <c r="AU97" i="1"/>
  <c r="CD141" i="1"/>
  <c r="AU141" i="1"/>
  <c r="BZ123" i="1"/>
  <c r="BY77" i="1"/>
  <c r="CD57" i="1"/>
  <c r="AU57" i="1"/>
  <c r="CA63" i="1"/>
  <c r="AU63" i="1"/>
  <c r="AY63" i="1" s="1"/>
  <c r="BZ69" i="1"/>
  <c r="AU69" i="1"/>
  <c r="AY69" i="1" s="1"/>
  <c r="AT75" i="1"/>
  <c r="AU75" i="1"/>
  <c r="CD81" i="1"/>
  <c r="AU81" i="1"/>
  <c r="AT87" i="1"/>
  <c r="AU87" i="1"/>
  <c r="CD92" i="1"/>
  <c r="AU92" i="1"/>
  <c r="BY98" i="1"/>
  <c r="AU98" i="1"/>
  <c r="AT142" i="1"/>
  <c r="AU142" i="1"/>
  <c r="CA59" i="1"/>
  <c r="CA77" i="1"/>
  <c r="CD75" i="1"/>
  <c r="AT64" i="1"/>
  <c r="AU64" i="1"/>
  <c r="CD70" i="1"/>
  <c r="AU70" i="1"/>
  <c r="AT76" i="1"/>
  <c r="AU76" i="1"/>
  <c r="AT82" i="1"/>
  <c r="AU82" i="1"/>
  <c r="AT88" i="1"/>
  <c r="AU88" i="1"/>
  <c r="BY93" i="1"/>
  <c r="AU93" i="1"/>
  <c r="AY93" i="1" s="1"/>
  <c r="BZ99" i="1"/>
  <c r="AU99" i="1"/>
  <c r="CD100" i="1"/>
  <c r="AU100" i="1"/>
  <c r="BY137" i="1"/>
  <c r="AU137" i="1"/>
  <c r="AY137" i="1" s="1"/>
  <c r="AR143" i="1"/>
  <c r="AU143" i="1"/>
  <c r="BZ48" i="1"/>
  <c r="AT70" i="1"/>
  <c r="BY64" i="1"/>
  <c r="BY99" i="1"/>
  <c r="BY53" i="1"/>
  <c r="CA51" i="1"/>
  <c r="CY40" i="1"/>
  <c r="AT68" i="1"/>
  <c r="CD113" i="1"/>
  <c r="BZ70" i="1"/>
  <c r="BY84" i="1"/>
  <c r="CD84" i="1"/>
  <c r="BY115" i="1"/>
  <c r="CD139" i="1"/>
  <c r="AT66" i="1"/>
  <c r="CD106" i="1"/>
  <c r="BY52" i="1"/>
  <c r="CD88" i="1"/>
  <c r="BZ95" i="1"/>
  <c r="CD82" i="1"/>
  <c r="BY111" i="1"/>
  <c r="BY141" i="1"/>
  <c r="BY68" i="1"/>
  <c r="BZ91" i="1"/>
  <c r="CD123" i="1"/>
  <c r="BY89" i="1"/>
  <c r="CA123" i="1"/>
  <c r="AT86" i="1"/>
  <c r="CA105" i="1"/>
  <c r="CA62" i="1"/>
  <c r="AT141" i="1"/>
  <c r="CD117" i="1"/>
  <c r="BZ80" i="1"/>
  <c r="BY50" i="1"/>
  <c r="CY42" i="1"/>
  <c r="CT42" i="1"/>
  <c r="CA61" i="1"/>
  <c r="BY83" i="1"/>
  <c r="BY95" i="1"/>
  <c r="CR42" i="1"/>
  <c r="BZ111" i="1"/>
  <c r="BZ115" i="1"/>
  <c r="DD42" i="1"/>
  <c r="BZ67" i="1"/>
  <c r="CD61" i="1"/>
  <c r="BZ54" i="1"/>
  <c r="CD60" i="1"/>
  <c r="CD69" i="1"/>
  <c r="AT54" i="1"/>
  <c r="CD66" i="1"/>
  <c r="BZ87" i="1"/>
  <c r="BY106" i="1"/>
  <c r="CD112" i="1"/>
  <c r="CD95" i="1"/>
  <c r="BY54" i="1"/>
  <c r="BY66" i="1"/>
  <c r="BY112" i="1"/>
  <c r="BY69" i="1"/>
  <c r="BZ83" i="1"/>
  <c r="AT60" i="1"/>
  <c r="AT98" i="1"/>
  <c r="BY49" i="1"/>
  <c r="AT81" i="1"/>
  <c r="CD103" i="1"/>
  <c r="CW41" i="1"/>
  <c r="DA42" i="1"/>
  <c r="BZ139" i="1"/>
  <c r="BY103" i="1"/>
  <c r="BZ103" i="1"/>
  <c r="BZ72" i="1"/>
  <c r="AT92" i="1"/>
  <c r="BZ106" i="1"/>
  <c r="BY92" i="1"/>
  <c r="BY47" i="1"/>
  <c r="BY51" i="1"/>
  <c r="AT57" i="1"/>
  <c r="AT53" i="1"/>
  <c r="CW42" i="1"/>
  <c r="BY48" i="1"/>
  <c r="BY63" i="1"/>
  <c r="CD87" i="1"/>
  <c r="BZ98" i="1"/>
  <c r="BZ81" i="1"/>
  <c r="BZ92" i="1"/>
  <c r="CD51" i="1"/>
  <c r="CA65" i="1"/>
  <c r="CD114" i="1"/>
  <c r="CD108" i="1"/>
  <c r="BY139" i="1"/>
  <c r="BY42" i="1"/>
  <c r="BZ89" i="1"/>
  <c r="BY81" i="1"/>
  <c r="CD138" i="1"/>
  <c r="BZ127" i="1"/>
  <c r="BY72" i="1"/>
  <c r="CA114" i="1"/>
  <c r="BY41" i="1"/>
  <c r="DA41" i="1"/>
  <c r="AT83" i="1"/>
  <c r="AR138" i="1"/>
  <c r="BZ109" i="1"/>
  <c r="AU127" i="1"/>
  <c r="AT59" i="1"/>
  <c r="AU45" i="1"/>
  <c r="AY45" i="1" s="1"/>
  <c r="AT65" i="1"/>
  <c r="CD65" i="1"/>
  <c r="BZ71" i="1"/>
  <c r="CT41" i="1"/>
  <c r="CD59" i="1"/>
  <c r="CY41" i="1"/>
  <c r="BZ94" i="1"/>
  <c r="CR41" i="1"/>
  <c r="CD109" i="1"/>
  <c r="BZ59" i="1"/>
  <c r="CA47" i="1"/>
  <c r="BY94" i="1"/>
  <c r="BY109" i="1"/>
  <c r="AU133" i="1"/>
  <c r="AT61" i="1"/>
  <c r="AT71" i="1"/>
  <c r="BY96" i="1"/>
  <c r="BY85" i="1"/>
  <c r="BZ97" i="1"/>
  <c r="CD41" i="1"/>
  <c r="BY71" i="1"/>
  <c r="AT96" i="1"/>
  <c r="BZ90" i="1"/>
  <c r="BY97" i="1"/>
  <c r="AU48" i="1"/>
  <c r="AY48" i="1" s="1"/>
  <c r="CA41" i="1"/>
  <c r="CD80" i="1"/>
  <c r="BY114" i="1"/>
  <c r="AT97" i="1"/>
  <c r="CD72" i="1"/>
  <c r="BY127" i="1"/>
  <c r="AU112" i="1"/>
  <c r="CD74" i="1"/>
  <c r="CD49" i="1"/>
  <c r="AU43" i="1"/>
  <c r="BY79" i="1"/>
  <c r="AT67" i="1"/>
  <c r="CA48" i="1"/>
  <c r="DD41" i="1"/>
  <c r="CD90" i="1"/>
  <c r="AU122" i="1"/>
  <c r="BY105" i="1"/>
  <c r="AU105" i="1"/>
  <c r="AY105" i="1" s="1"/>
  <c r="AR135" i="1"/>
  <c r="BY135" i="1"/>
  <c r="CD135" i="1"/>
  <c r="BZ82" i="1"/>
  <c r="CD107" i="1"/>
  <c r="AT99" i="1"/>
  <c r="CD73" i="1"/>
  <c r="BY74" i="1"/>
  <c r="BY101" i="1"/>
  <c r="AU101" i="1"/>
  <c r="AY101" i="1" s="1"/>
  <c r="CD52" i="1"/>
  <c r="BY113" i="1"/>
  <c r="BY70" i="1"/>
  <c r="BY102" i="1"/>
  <c r="AU102" i="1"/>
  <c r="BZ86" i="1"/>
  <c r="CA60" i="1"/>
  <c r="CD102" i="1"/>
  <c r="CA112" i="1"/>
  <c r="CD53" i="1"/>
  <c r="BY125" i="1"/>
  <c r="BY82" i="1"/>
  <c r="AU131" i="1"/>
  <c r="BY73" i="1"/>
  <c r="BZ73" i="1"/>
  <c r="BY100" i="1"/>
  <c r="CD125" i="1"/>
  <c r="AU42" i="1"/>
  <c r="AY42" i="1" s="1"/>
  <c r="CD79" i="1"/>
  <c r="AU47" i="1"/>
  <c r="AY47" i="1" s="1"/>
  <c r="CA79" i="1"/>
  <c r="BY131" i="1"/>
  <c r="AT104" i="1"/>
  <c r="AU104" i="1"/>
  <c r="AR134" i="1"/>
  <c r="BY134" i="1"/>
  <c r="CD134" i="1"/>
  <c r="AT140" i="1"/>
  <c r="AS140" i="1"/>
  <c r="BZ88" i="1"/>
  <c r="CA64" i="1"/>
  <c r="CD101" i="1"/>
  <c r="CD131" i="1"/>
  <c r="AY138" i="1" l="1"/>
  <c r="AY132" i="1"/>
  <c r="F107" i="34" s="1"/>
  <c r="AY60" i="1"/>
  <c r="AY71" i="1"/>
  <c r="F62" i="34" s="1"/>
  <c r="AL51" i="34"/>
  <c r="AY96" i="1"/>
  <c r="AL96" i="34"/>
  <c r="AL82" i="34"/>
  <c r="AY83" i="1"/>
  <c r="BB83" i="1" s="1"/>
  <c r="BF83" i="1" s="1"/>
  <c r="BH83" i="1" s="1"/>
  <c r="BI83" i="1" s="1"/>
  <c r="BJ83" i="1" s="1"/>
  <c r="CC83" i="1" s="1"/>
  <c r="AY61" i="1"/>
  <c r="F53" i="34" s="1"/>
  <c r="AY92" i="1"/>
  <c r="F78" i="34" s="1"/>
  <c r="AY98" i="1"/>
  <c r="F84" i="34" s="1"/>
  <c r="AY54" i="1"/>
  <c r="F47" i="34" s="1"/>
  <c r="AL57" i="34"/>
  <c r="AL110" i="34"/>
  <c r="AY141" i="1"/>
  <c r="AY57" i="1"/>
  <c r="F50" i="34" s="1"/>
  <c r="AY86" i="1"/>
  <c r="AL94" i="34"/>
  <c r="AL74" i="34"/>
  <c r="AY134" i="1"/>
  <c r="BW134" i="1" s="1"/>
  <c r="AY75" i="1"/>
  <c r="AY79" i="1"/>
  <c r="L70" i="34" s="1"/>
  <c r="AY72" i="1"/>
  <c r="AY140" i="1"/>
  <c r="BB140" i="1" s="1"/>
  <c r="BF140" i="1" s="1"/>
  <c r="AY53" i="1"/>
  <c r="F46" i="34" s="1"/>
  <c r="AY97" i="1"/>
  <c r="F83" i="34" s="1"/>
  <c r="AY142" i="1"/>
  <c r="BW142" i="1" s="1"/>
  <c r="AY67" i="1"/>
  <c r="BW67" i="1" s="1"/>
  <c r="AY68" i="1"/>
  <c r="AY80" i="1"/>
  <c r="F71" i="34" s="1"/>
  <c r="AY108" i="1"/>
  <c r="BB108" i="1" s="1"/>
  <c r="BF108" i="1" s="1"/>
  <c r="S39" i="34"/>
  <c r="F39" i="34"/>
  <c r="BB46" i="1"/>
  <c r="BF46" i="1" s="1"/>
  <c r="I39" i="34" s="1"/>
  <c r="J39" i="34" s="1"/>
  <c r="L54" i="34"/>
  <c r="F54" i="34"/>
  <c r="F55" i="34"/>
  <c r="L55" i="34"/>
  <c r="L40" i="34"/>
  <c r="F40" i="34"/>
  <c r="S38" i="34"/>
  <c r="F38" i="34"/>
  <c r="AY124" i="1"/>
  <c r="BB124" i="1" s="1"/>
  <c r="BF124" i="1" s="1"/>
  <c r="S35" i="34"/>
  <c r="F35" i="34"/>
  <c r="AY100" i="1"/>
  <c r="BB100" i="1" s="1"/>
  <c r="BF100" i="1" s="1"/>
  <c r="AY120" i="1"/>
  <c r="BW120" i="1" s="1"/>
  <c r="F41" i="34"/>
  <c r="L41" i="34"/>
  <c r="F34" i="34"/>
  <c r="BW41" i="1"/>
  <c r="S34" i="34"/>
  <c r="S65" i="34"/>
  <c r="F65" i="34"/>
  <c r="BB44" i="1"/>
  <c r="BF44" i="1" s="1"/>
  <c r="I37" i="34" s="1"/>
  <c r="J37" i="34" s="1"/>
  <c r="F37" i="34"/>
  <c r="S37" i="34"/>
  <c r="AY55" i="1"/>
  <c r="L44" i="34"/>
  <c r="F44" i="34"/>
  <c r="AY127" i="1"/>
  <c r="BW127" i="1" s="1"/>
  <c r="F76" i="34"/>
  <c r="L76" i="34"/>
  <c r="AY119" i="1"/>
  <c r="BB119" i="1" s="1"/>
  <c r="BF119" i="1" s="1"/>
  <c r="F42" i="34"/>
  <c r="L42" i="34"/>
  <c r="AY130" i="1"/>
  <c r="BB130" i="1" s="1"/>
  <c r="BF130" i="1" s="1"/>
  <c r="AY87" i="1"/>
  <c r="AY135" i="1"/>
  <c r="BB135" i="1" s="1"/>
  <c r="BF135" i="1" s="1"/>
  <c r="L93" i="34"/>
  <c r="F93" i="34"/>
  <c r="S33" i="34"/>
  <c r="BW40" i="1"/>
  <c r="F33" i="34"/>
  <c r="F89" i="34"/>
  <c r="L89" i="34"/>
  <c r="F79" i="34"/>
  <c r="L79" i="34"/>
  <c r="F75" i="34"/>
  <c r="L75" i="34"/>
  <c r="AY78" i="1"/>
  <c r="AY104" i="1"/>
  <c r="BW104" i="1" s="1"/>
  <c r="AY122" i="1"/>
  <c r="BW122" i="1" s="1"/>
  <c r="AY66" i="1"/>
  <c r="AY139" i="1"/>
  <c r="BW139" i="1" s="1"/>
  <c r="AY94" i="1"/>
  <c r="BB94" i="1" s="1"/>
  <c r="BF94" i="1" s="1"/>
  <c r="AY129" i="1"/>
  <c r="BB129" i="1" s="1"/>
  <c r="BF129" i="1" s="1"/>
  <c r="BT129" i="1" s="1"/>
  <c r="AY52" i="1"/>
  <c r="BW52" i="1" s="1"/>
  <c r="AY115" i="1"/>
  <c r="L94" i="34" s="1"/>
  <c r="L107" i="34"/>
  <c r="AL91" i="34"/>
  <c r="AL86" i="34"/>
  <c r="AL83" i="34"/>
  <c r="AL56" i="34"/>
  <c r="BW136" i="1"/>
  <c r="AL112" i="34"/>
  <c r="AY58" i="1"/>
  <c r="BW58" i="1" s="1"/>
  <c r="AY106" i="1"/>
  <c r="BB106" i="1" s="1"/>
  <c r="BF106" i="1" s="1"/>
  <c r="AY64" i="1"/>
  <c r="AY73" i="1"/>
  <c r="AY88" i="1"/>
  <c r="AY131" i="1"/>
  <c r="BB131" i="1" s="1"/>
  <c r="BF131" i="1" s="1"/>
  <c r="I106" i="34" s="1"/>
  <c r="J106" i="34" s="1"/>
  <c r="AY91" i="1"/>
  <c r="AY99" i="1"/>
  <c r="AL85" i="34"/>
  <c r="AY103" i="1"/>
  <c r="BB103" i="1" s="1"/>
  <c r="BF103" i="1" s="1"/>
  <c r="AY82" i="1"/>
  <c r="AY77" i="1"/>
  <c r="BB45" i="1"/>
  <c r="BF45" i="1" s="1"/>
  <c r="I38" i="34" s="1"/>
  <c r="J38" i="34" s="1"/>
  <c r="AL111" i="34"/>
  <c r="AY81" i="1"/>
  <c r="AY85" i="1"/>
  <c r="AY123" i="1"/>
  <c r="AY70" i="1"/>
  <c r="AY116" i="1"/>
  <c r="BB116" i="1" s="1"/>
  <c r="BF116" i="1" s="1"/>
  <c r="BT116" i="1" s="1"/>
  <c r="AY128" i="1"/>
  <c r="BW128" i="1" s="1"/>
  <c r="AY118" i="1"/>
  <c r="BW118" i="1" s="1"/>
  <c r="AY56" i="1"/>
  <c r="AY133" i="1"/>
  <c r="BW133" i="1" s="1"/>
  <c r="BB51" i="1"/>
  <c r="BF51" i="1" s="1"/>
  <c r="I44" i="34" s="1"/>
  <c r="J44" i="34" s="1"/>
  <c r="BB48" i="1"/>
  <c r="BF48" i="1" s="1"/>
  <c r="BH48" i="1" s="1"/>
  <c r="AY65" i="1"/>
  <c r="BW65" i="1" s="1"/>
  <c r="AY143" i="1"/>
  <c r="BB143" i="1" s="1"/>
  <c r="BF143" i="1" s="1"/>
  <c r="BH143" i="1" s="1"/>
  <c r="BR183" i="1"/>
  <c r="BW137" i="1"/>
  <c r="AY95" i="1"/>
  <c r="AY125" i="1"/>
  <c r="BW125" i="1" s="1"/>
  <c r="AY121" i="1"/>
  <c r="BW121" i="1" s="1"/>
  <c r="AY112" i="1"/>
  <c r="BW112" i="1" s="1"/>
  <c r="BW107" i="1"/>
  <c r="AY126" i="1"/>
  <c r="BB126" i="1" s="1"/>
  <c r="BF126" i="1" s="1"/>
  <c r="AY102" i="1"/>
  <c r="BB102" i="1" s="1"/>
  <c r="BF102" i="1" s="1"/>
  <c r="AY43" i="1"/>
  <c r="BB43" i="1" s="1"/>
  <c r="BF43" i="1" s="1"/>
  <c r="I36" i="34" s="1"/>
  <c r="J36" i="34" s="1"/>
  <c r="AY59" i="1"/>
  <c r="BB59" i="1" s="1"/>
  <c r="BF59" i="1" s="1"/>
  <c r="AY76" i="1"/>
  <c r="AY117" i="1"/>
  <c r="F96" i="34" s="1"/>
  <c r="AY50" i="1"/>
  <c r="AL99" i="34"/>
  <c r="AL95" i="34"/>
  <c r="AL81" i="34"/>
  <c r="AY109" i="1"/>
  <c r="BW109" i="1" s="1"/>
  <c r="BB105" i="1"/>
  <c r="BF105" i="1" s="1"/>
  <c r="BR180" i="1"/>
  <c r="BR179" i="1"/>
  <c r="BB138" i="1"/>
  <c r="BF138" i="1" s="1"/>
  <c r="BB132" i="1"/>
  <c r="BF132" i="1" s="1"/>
  <c r="BB113" i="1"/>
  <c r="BF113" i="1" s="1"/>
  <c r="BW113" i="1"/>
  <c r="BB110" i="1"/>
  <c r="BF110" i="1" s="1"/>
  <c r="BW110" i="1"/>
  <c r="BW114" i="1"/>
  <c r="BB114" i="1"/>
  <c r="BF114" i="1" s="1"/>
  <c r="BT114" i="1" s="1"/>
  <c r="BB111" i="1"/>
  <c r="BF111" i="1" s="1"/>
  <c r="BW111" i="1"/>
  <c r="BB40" i="1"/>
  <c r="BF40" i="1" s="1"/>
  <c r="BB96" i="1"/>
  <c r="BF96" i="1" s="1"/>
  <c r="BB84" i="1"/>
  <c r="BF84" i="1" s="1"/>
  <c r="BH84" i="1" s="1"/>
  <c r="BW84" i="1"/>
  <c r="BB136" i="1"/>
  <c r="BF136" i="1" s="1"/>
  <c r="BT136" i="1" s="1"/>
  <c r="BW89" i="1"/>
  <c r="BB89" i="1"/>
  <c r="BF89" i="1" s="1"/>
  <c r="BW60" i="1"/>
  <c r="BB41" i="1"/>
  <c r="BF41" i="1" s="1"/>
  <c r="BW62" i="1"/>
  <c r="BB62" i="1"/>
  <c r="BF62" i="1" s="1"/>
  <c r="BB63" i="1"/>
  <c r="BF63" i="1" s="1"/>
  <c r="BW63" i="1"/>
  <c r="BW93" i="1"/>
  <c r="BB93" i="1"/>
  <c r="BF93" i="1" s="1"/>
  <c r="BB69" i="1"/>
  <c r="BF69" i="1" s="1"/>
  <c r="BW69" i="1"/>
  <c r="BW74" i="1"/>
  <c r="BB74" i="1"/>
  <c r="BF74" i="1" s="1"/>
  <c r="BB90" i="1"/>
  <c r="BF90" i="1" s="1"/>
  <c r="BW90" i="1"/>
  <c r="BW105" i="1"/>
  <c r="BW108" i="1"/>
  <c r="BB49" i="1"/>
  <c r="BF49" i="1" s="1"/>
  <c r="I42" i="34" s="1"/>
  <c r="J42" i="34" s="1"/>
  <c r="BB107" i="1"/>
  <c r="BF107" i="1" s="1"/>
  <c r="BW101" i="1"/>
  <c r="BB101" i="1"/>
  <c r="BF101" i="1" s="1"/>
  <c r="BT101" i="1" s="1"/>
  <c r="BW42" i="1"/>
  <c r="BB42" i="1"/>
  <c r="BF42" i="1" s="1"/>
  <c r="BB47" i="1"/>
  <c r="BF47" i="1" s="1"/>
  <c r="BB137" i="1"/>
  <c r="BF137" i="1" s="1"/>
  <c r="BB97" i="1" l="1"/>
  <c r="BF97" i="1" s="1"/>
  <c r="L110" i="34"/>
  <c r="BW141" i="1"/>
  <c r="BW94" i="1"/>
  <c r="BW53" i="1"/>
  <c r="BB52" i="1"/>
  <c r="BF52" i="1" s="1"/>
  <c r="BW98" i="1"/>
  <c r="BW92" i="1"/>
  <c r="F60" i="34"/>
  <c r="BW119" i="1"/>
  <c r="BB128" i="1"/>
  <c r="BF128" i="1" s="1"/>
  <c r="BT128" i="1" s="1"/>
  <c r="BB120" i="1"/>
  <c r="BF120" i="1" s="1"/>
  <c r="BH120" i="1" s="1"/>
  <c r="BW59" i="1"/>
  <c r="F110" i="34"/>
  <c r="L62" i="34"/>
  <c r="BW124" i="1"/>
  <c r="L84" i="34"/>
  <c r="BR184" i="1"/>
  <c r="F70" i="34"/>
  <c r="BW100" i="1"/>
  <c r="S53" i="34"/>
  <c r="BW129" i="1"/>
  <c r="I41" i="34"/>
  <c r="J41" i="34" s="1"/>
  <c r="F59" i="34"/>
  <c r="S47" i="34"/>
  <c r="F91" i="34"/>
  <c r="BH44" i="1"/>
  <c r="U37" i="34" s="1"/>
  <c r="V37" i="34" s="1"/>
  <c r="W37" i="34" s="1"/>
  <c r="X37" i="34" s="1"/>
  <c r="L71" i="34"/>
  <c r="L78" i="34"/>
  <c r="S46" i="34"/>
  <c r="BB109" i="1"/>
  <c r="BF109" i="1" s="1"/>
  <c r="BT109" i="1" s="1"/>
  <c r="BB118" i="1"/>
  <c r="BF118" i="1" s="1"/>
  <c r="BT118" i="1" s="1"/>
  <c r="L59" i="34"/>
  <c r="BH59" i="1"/>
  <c r="U52" i="34" s="1"/>
  <c r="BT59" i="1"/>
  <c r="I52" i="34"/>
  <c r="J52" i="34" s="1"/>
  <c r="I103" i="34"/>
  <c r="J103" i="34" s="1"/>
  <c r="BT124" i="1"/>
  <c r="BH124" i="1"/>
  <c r="U103" i="34" s="1"/>
  <c r="S63" i="34"/>
  <c r="F63" i="34"/>
  <c r="BB115" i="1"/>
  <c r="BF115" i="1" s="1"/>
  <c r="BH115" i="1" s="1"/>
  <c r="BI115" i="1" s="1"/>
  <c r="BJ115" i="1" s="1"/>
  <c r="CC115" i="1" s="1"/>
  <c r="BW130" i="1"/>
  <c r="S50" i="34"/>
  <c r="F66" i="34"/>
  <c r="L66" i="34"/>
  <c r="F109" i="34"/>
  <c r="L109" i="34"/>
  <c r="L91" i="34"/>
  <c r="L58" i="34"/>
  <c r="F58" i="34"/>
  <c r="F112" i="34"/>
  <c r="BH45" i="1"/>
  <c r="BI45" i="1" s="1"/>
  <c r="BJ45" i="1" s="1"/>
  <c r="CC45" i="1" s="1"/>
  <c r="F82" i="34"/>
  <c r="L83" i="34"/>
  <c r="BT103" i="1"/>
  <c r="BH103" i="1"/>
  <c r="BI103" i="1" s="1"/>
  <c r="BJ103" i="1" s="1"/>
  <c r="BK103" i="1" s="1"/>
  <c r="BV103" i="1" s="1"/>
  <c r="I87" i="34"/>
  <c r="J87" i="34" s="1"/>
  <c r="BH100" i="1"/>
  <c r="BI100" i="1" s="1"/>
  <c r="BJ100" i="1" s="1"/>
  <c r="BT100" i="1"/>
  <c r="I86" i="34"/>
  <c r="J86" i="34" s="1"/>
  <c r="BH102" i="1"/>
  <c r="BI102" i="1" s="1"/>
  <c r="BJ102" i="1" s="1"/>
  <c r="BT102" i="1"/>
  <c r="BH126" i="1"/>
  <c r="BI126" i="1" s="1"/>
  <c r="BJ126" i="1" s="1"/>
  <c r="DC126" i="1" s="1"/>
  <c r="BT126" i="1"/>
  <c r="BT108" i="1"/>
  <c r="BH108" i="1"/>
  <c r="BI108" i="1" s="1"/>
  <c r="BJ108" i="1" s="1"/>
  <c r="F81" i="34"/>
  <c r="L81" i="34"/>
  <c r="F48" i="34"/>
  <c r="S48" i="34"/>
  <c r="BW116" i="1"/>
  <c r="L43" i="34"/>
  <c r="F43" i="34"/>
  <c r="L57" i="34"/>
  <c r="F57" i="34"/>
  <c r="F102" i="34"/>
  <c r="S102" i="34"/>
  <c r="F68" i="34"/>
  <c r="L68" i="34"/>
  <c r="L85" i="34"/>
  <c r="F85" i="34"/>
  <c r="BW106" i="1"/>
  <c r="BW115" i="1"/>
  <c r="S73" i="34"/>
  <c r="F73" i="34"/>
  <c r="L82" i="34"/>
  <c r="I112" i="34"/>
  <c r="J112" i="34" s="1"/>
  <c r="BW103" i="1"/>
  <c r="BW126" i="1"/>
  <c r="BB50" i="1"/>
  <c r="BF50" i="1" s="1"/>
  <c r="BW123" i="1"/>
  <c r="F77" i="34"/>
  <c r="L77" i="34"/>
  <c r="S64" i="34"/>
  <c r="F64" i="34"/>
  <c r="F45" i="34"/>
  <c r="S45" i="34"/>
  <c r="F105" i="34"/>
  <c r="L105" i="34"/>
  <c r="BB122" i="1"/>
  <c r="BF122" i="1" s="1"/>
  <c r="BW102" i="1"/>
  <c r="BB58" i="1"/>
  <c r="BF58" i="1" s="1"/>
  <c r="BH58" i="1" s="1"/>
  <c r="BH46" i="1"/>
  <c r="U39" i="34" s="1"/>
  <c r="BW117" i="1"/>
  <c r="F95" i="34"/>
  <c r="L95" i="34"/>
  <c r="F108" i="34"/>
  <c r="L108" i="34"/>
  <c r="L72" i="34"/>
  <c r="F72" i="34"/>
  <c r="F106" i="34"/>
  <c r="L106" i="34"/>
  <c r="L60" i="34"/>
  <c r="L90" i="34"/>
  <c r="F90" i="34"/>
  <c r="F56" i="34"/>
  <c r="L56" i="34"/>
  <c r="S51" i="34"/>
  <c r="F51" i="34"/>
  <c r="F67" i="34"/>
  <c r="L67" i="34"/>
  <c r="S100" i="34"/>
  <c r="F100" i="34"/>
  <c r="F49" i="34"/>
  <c r="S49" i="34"/>
  <c r="L74" i="34"/>
  <c r="F74" i="34"/>
  <c r="L112" i="34"/>
  <c r="L96" i="34"/>
  <c r="F101" i="34"/>
  <c r="S101" i="34"/>
  <c r="F69" i="34"/>
  <c r="L69" i="34"/>
  <c r="F61" i="34"/>
  <c r="L61" i="34"/>
  <c r="L92" i="34"/>
  <c r="F92" i="34"/>
  <c r="BB127" i="1"/>
  <c r="BF127" i="1" s="1"/>
  <c r="BT127" i="1" s="1"/>
  <c r="BB123" i="1"/>
  <c r="BF123" i="1" s="1"/>
  <c r="S52" i="34"/>
  <c r="F52" i="34"/>
  <c r="BB121" i="1"/>
  <c r="BF121" i="1" s="1"/>
  <c r="L97" i="34"/>
  <c r="F97" i="34"/>
  <c r="L80" i="34"/>
  <c r="F80" i="34"/>
  <c r="L98" i="34"/>
  <c r="F98" i="34"/>
  <c r="F94" i="34"/>
  <c r="S103" i="34"/>
  <c r="F103" i="34"/>
  <c r="L86" i="34"/>
  <c r="F86" i="34"/>
  <c r="F87" i="34"/>
  <c r="L87" i="34"/>
  <c r="BB99" i="1"/>
  <c r="BF99" i="1" s="1"/>
  <c r="I85" i="34" s="1"/>
  <c r="J85" i="34" s="1"/>
  <c r="F88" i="34"/>
  <c r="L88" i="34"/>
  <c r="BH43" i="1"/>
  <c r="BI43" i="1" s="1"/>
  <c r="BJ43" i="1" s="1"/>
  <c r="CC43" i="1" s="1"/>
  <c r="L104" i="34"/>
  <c r="F104" i="34"/>
  <c r="F111" i="34"/>
  <c r="L111" i="34"/>
  <c r="BH51" i="1"/>
  <c r="BI51" i="1" s="1"/>
  <c r="BJ51" i="1" s="1"/>
  <c r="BB117" i="1"/>
  <c r="BF117" i="1" s="1"/>
  <c r="BH117" i="1" s="1"/>
  <c r="BI117" i="1" s="1"/>
  <c r="BJ117" i="1" s="1"/>
  <c r="DC117" i="1" s="1"/>
  <c r="F36" i="34"/>
  <c r="S36" i="34"/>
  <c r="BB125" i="1"/>
  <c r="BF125" i="1" s="1"/>
  <c r="S74" i="34"/>
  <c r="F99" i="34"/>
  <c r="L99" i="34"/>
  <c r="U38" i="34"/>
  <c r="BH47" i="1"/>
  <c r="N40" i="34" s="1"/>
  <c r="I40" i="34"/>
  <c r="J40" i="34" s="1"/>
  <c r="BI59" i="1"/>
  <c r="BJ59" i="1" s="1"/>
  <c r="CC59" i="1" s="1"/>
  <c r="BH42" i="1"/>
  <c r="I35" i="34"/>
  <c r="J35" i="34" s="1"/>
  <c r="BH107" i="1"/>
  <c r="I91" i="34"/>
  <c r="J91" i="34" s="1"/>
  <c r="BT90" i="1"/>
  <c r="I76" i="34"/>
  <c r="J76" i="34" s="1"/>
  <c r="BT74" i="1"/>
  <c r="I65" i="34"/>
  <c r="J65" i="34" s="1"/>
  <c r="BT69" i="1"/>
  <c r="BH93" i="1"/>
  <c r="I79" i="34"/>
  <c r="J79" i="34" s="1"/>
  <c r="BH63" i="1"/>
  <c r="I55" i="34"/>
  <c r="J55" i="34" s="1"/>
  <c r="BH62" i="1"/>
  <c r="I54" i="34"/>
  <c r="J54" i="34" s="1"/>
  <c r="BH94" i="1"/>
  <c r="I80" i="34"/>
  <c r="J80" i="34" s="1"/>
  <c r="BH41" i="1"/>
  <c r="I34" i="34"/>
  <c r="J34" i="34" s="1"/>
  <c r="BT89" i="1"/>
  <c r="I75" i="34"/>
  <c r="J75" i="34" s="1"/>
  <c r="BT52" i="1"/>
  <c r="I45" i="34"/>
  <c r="J45" i="34" s="1"/>
  <c r="BH106" i="1"/>
  <c r="I90" i="34"/>
  <c r="J90" i="34" s="1"/>
  <c r="BT96" i="1"/>
  <c r="I82" i="34"/>
  <c r="J82" i="34" s="1"/>
  <c r="BT40" i="1"/>
  <c r="I33" i="34"/>
  <c r="J33" i="34" s="1"/>
  <c r="BH119" i="1"/>
  <c r="I97" i="34"/>
  <c r="J97" i="34" s="1"/>
  <c r="BT111" i="1"/>
  <c r="I94" i="34"/>
  <c r="J94" i="34" s="1"/>
  <c r="BH130" i="1"/>
  <c r="I105" i="34"/>
  <c r="J105" i="34" s="1"/>
  <c r="BT110" i="1"/>
  <c r="I93" i="34"/>
  <c r="J93" i="34" s="1"/>
  <c r="BT113" i="1"/>
  <c r="BH97" i="1"/>
  <c r="I83" i="34"/>
  <c r="J83" i="34" s="1"/>
  <c r="BT132" i="1"/>
  <c r="I107" i="34"/>
  <c r="J107" i="34" s="1"/>
  <c r="BT138" i="1"/>
  <c r="BT105" i="1"/>
  <c r="I89" i="34"/>
  <c r="J89" i="34" s="1"/>
  <c r="BI48" i="1"/>
  <c r="BJ48" i="1" s="1"/>
  <c r="CC48" i="1" s="1"/>
  <c r="N41" i="34"/>
  <c r="BH105" i="1"/>
  <c r="BW138" i="1"/>
  <c r="BR157" i="1"/>
  <c r="BR167" i="1"/>
  <c r="BR174" i="1"/>
  <c r="BR172" i="1"/>
  <c r="BR173" i="1"/>
  <c r="BR168" i="1"/>
  <c r="BR177" i="1"/>
  <c r="BR170" i="1"/>
  <c r="BR175" i="1"/>
  <c r="BR169" i="1"/>
  <c r="BR178" i="1"/>
  <c r="BR176" i="1"/>
  <c r="BR171" i="1"/>
  <c r="BR166" i="1"/>
  <c r="BR165" i="1"/>
  <c r="BB68" i="1"/>
  <c r="BF68" i="1" s="1"/>
  <c r="BR163" i="1"/>
  <c r="BR162" i="1"/>
  <c r="BR158" i="1"/>
  <c r="BW143" i="1"/>
  <c r="BT143" i="1"/>
  <c r="BI143" i="1"/>
  <c r="BJ143" i="1" s="1"/>
  <c r="CC143" i="1" s="1"/>
  <c r="BW83" i="1"/>
  <c r="BH132" i="1"/>
  <c r="BT84" i="1"/>
  <c r="BI84" i="1"/>
  <c r="BJ84" i="1" s="1"/>
  <c r="BL84" i="1" s="1"/>
  <c r="BU84" i="1" s="1"/>
  <c r="BW132" i="1"/>
  <c r="BH116" i="1"/>
  <c r="BI116" i="1" s="1"/>
  <c r="BJ116" i="1" s="1"/>
  <c r="BH138" i="1"/>
  <c r="BH40" i="1"/>
  <c r="BB53" i="1"/>
  <c r="BF53" i="1" s="1"/>
  <c r="BT83" i="1"/>
  <c r="BB133" i="1"/>
  <c r="BF133" i="1" s="1"/>
  <c r="BT97" i="1"/>
  <c r="BB61" i="1"/>
  <c r="BF61" i="1" s="1"/>
  <c r="BR160" i="1"/>
  <c r="BR161" i="1"/>
  <c r="BR148" i="1"/>
  <c r="BW131" i="1"/>
  <c r="BH111" i="1"/>
  <c r="BH114" i="1"/>
  <c r="BI114" i="1" s="1"/>
  <c r="BJ114" i="1" s="1"/>
  <c r="BT58" i="1"/>
  <c r="BT119" i="1"/>
  <c r="BT130" i="1"/>
  <c r="BH113" i="1"/>
  <c r="BB65" i="1"/>
  <c r="BF65" i="1" s="1"/>
  <c r="BW96" i="1"/>
  <c r="BH74" i="1"/>
  <c r="BH136" i="1"/>
  <c r="BI136" i="1" s="1"/>
  <c r="BJ136" i="1" s="1"/>
  <c r="CV136" i="1" s="1"/>
  <c r="BH110" i="1"/>
  <c r="BT41" i="1"/>
  <c r="BW97" i="1"/>
  <c r="BH129" i="1"/>
  <c r="BI129" i="1" s="1"/>
  <c r="BJ129" i="1" s="1"/>
  <c r="CV129" i="1" s="1"/>
  <c r="BW61" i="1"/>
  <c r="BH118" i="1"/>
  <c r="BH90" i="1"/>
  <c r="BB139" i="1"/>
  <c r="BF139" i="1" s="1"/>
  <c r="BB92" i="1"/>
  <c r="BF92" i="1" s="1"/>
  <c r="BT93" i="1"/>
  <c r="BH52" i="1"/>
  <c r="CC103" i="1"/>
  <c r="CV103" i="1"/>
  <c r="DC103" i="1"/>
  <c r="BB134" i="1"/>
  <c r="BF134" i="1" s="1"/>
  <c r="BT106" i="1"/>
  <c r="BB112" i="1"/>
  <c r="BF112" i="1" s="1"/>
  <c r="BH69" i="1"/>
  <c r="BW135" i="1"/>
  <c r="BW66" i="1"/>
  <c r="BB66" i="1"/>
  <c r="BF66" i="1" s="1"/>
  <c r="BT63" i="1"/>
  <c r="BB71" i="1"/>
  <c r="BF71" i="1" s="1"/>
  <c r="I62" i="34" s="1"/>
  <c r="J62" i="34" s="1"/>
  <c r="BW71" i="1"/>
  <c r="BT62" i="1"/>
  <c r="BW99" i="1"/>
  <c r="BB67" i="1"/>
  <c r="BF67" i="1" s="1"/>
  <c r="BB142" i="1"/>
  <c r="BF142" i="1" s="1"/>
  <c r="BW78" i="1"/>
  <c r="BB78" i="1"/>
  <c r="BF78" i="1" s="1"/>
  <c r="I69" i="34" s="1"/>
  <c r="J69" i="34" s="1"/>
  <c r="BT94" i="1"/>
  <c r="BB60" i="1"/>
  <c r="BF60" i="1" s="1"/>
  <c r="BW68" i="1"/>
  <c r="BW76" i="1"/>
  <c r="BB76" i="1"/>
  <c r="BF76" i="1" s="1"/>
  <c r="I67" i="34" s="1"/>
  <c r="J67" i="34" s="1"/>
  <c r="BH89" i="1"/>
  <c r="BW85" i="1"/>
  <c r="BB85" i="1"/>
  <c r="BF85" i="1" s="1"/>
  <c r="I60" i="34" s="1"/>
  <c r="J60" i="34" s="1"/>
  <c r="BB57" i="1"/>
  <c r="BF57" i="1" s="1"/>
  <c r="I50" i="34" s="1"/>
  <c r="J50" i="34" s="1"/>
  <c r="BW57" i="1"/>
  <c r="BW75" i="1"/>
  <c r="BB75" i="1"/>
  <c r="BF75" i="1" s="1"/>
  <c r="I66" i="34" s="1"/>
  <c r="J66" i="34" s="1"/>
  <c r="BB64" i="1"/>
  <c r="BF64" i="1" s="1"/>
  <c r="BW64" i="1"/>
  <c r="BW70" i="1"/>
  <c r="BB70" i="1"/>
  <c r="BF70" i="1" s="1"/>
  <c r="I61" i="34" s="1"/>
  <c r="J61" i="34" s="1"/>
  <c r="BW72" i="1"/>
  <c r="BB72" i="1"/>
  <c r="BF72" i="1" s="1"/>
  <c r="I63" i="34" s="1"/>
  <c r="J63" i="34" s="1"/>
  <c r="BW54" i="1"/>
  <c r="BB54" i="1"/>
  <c r="BF54" i="1" s="1"/>
  <c r="I47" i="34" s="1"/>
  <c r="J47" i="34" s="1"/>
  <c r="BR147" i="1"/>
  <c r="BB141" i="1"/>
  <c r="BF141" i="1" s="1"/>
  <c r="I110" i="34" s="1"/>
  <c r="J110" i="34" s="1"/>
  <c r="BB98" i="1"/>
  <c r="BF98" i="1" s="1"/>
  <c r="I84" i="34" s="1"/>
  <c r="J84" i="34" s="1"/>
  <c r="BB80" i="1"/>
  <c r="BF80" i="1" s="1"/>
  <c r="I71" i="34" s="1"/>
  <c r="J71" i="34" s="1"/>
  <c r="BW80" i="1"/>
  <c r="BB87" i="1"/>
  <c r="BF87" i="1" s="1"/>
  <c r="I73" i="34" s="1"/>
  <c r="J73" i="34" s="1"/>
  <c r="BW87" i="1"/>
  <c r="BB81" i="1"/>
  <c r="BF81" i="1" s="1"/>
  <c r="I72" i="34" s="1"/>
  <c r="J72" i="34" s="1"/>
  <c r="BW81" i="1"/>
  <c r="BB86" i="1"/>
  <c r="BF86" i="1" s="1"/>
  <c r="BW86" i="1"/>
  <c r="BW95" i="1"/>
  <c r="BB95" i="1"/>
  <c r="BF95" i="1" s="1"/>
  <c r="I81" i="34" s="1"/>
  <c r="J81" i="34" s="1"/>
  <c r="BB88" i="1"/>
  <c r="BF88" i="1" s="1"/>
  <c r="I74" i="34" s="1"/>
  <c r="J74" i="34" s="1"/>
  <c r="BW88" i="1"/>
  <c r="BB55" i="1"/>
  <c r="BF55" i="1" s="1"/>
  <c r="I48" i="34" s="1"/>
  <c r="J48" i="34" s="1"/>
  <c r="BW55" i="1"/>
  <c r="BW77" i="1"/>
  <c r="BB77" i="1"/>
  <c r="BF77" i="1" s="1"/>
  <c r="I68" i="34" s="1"/>
  <c r="J68" i="34" s="1"/>
  <c r="BB73" i="1"/>
  <c r="BF73" i="1" s="1"/>
  <c r="I64" i="34" s="1"/>
  <c r="J64" i="34" s="1"/>
  <c r="BW73" i="1"/>
  <c r="BW56" i="1"/>
  <c r="BB56" i="1"/>
  <c r="BF56" i="1" s="1"/>
  <c r="I49" i="34" s="1"/>
  <c r="J49" i="34" s="1"/>
  <c r="BW91" i="1"/>
  <c r="BB91" i="1"/>
  <c r="BF91" i="1" s="1"/>
  <c r="I77" i="34" s="1"/>
  <c r="J77" i="34" s="1"/>
  <c r="BB82" i="1"/>
  <c r="BF82" i="1" s="1"/>
  <c r="BW82" i="1"/>
  <c r="BW79" i="1"/>
  <c r="BB79" i="1"/>
  <c r="BF79" i="1" s="1"/>
  <c r="I70" i="34" s="1"/>
  <c r="J70" i="34" s="1"/>
  <c r="BR151" i="1"/>
  <c r="BB104" i="1"/>
  <c r="BF104" i="1" s="1"/>
  <c r="BH101" i="1"/>
  <c r="BI101" i="1" s="1"/>
  <c r="BJ101" i="1" s="1"/>
  <c r="CC101" i="1" s="1"/>
  <c r="BH96" i="1"/>
  <c r="BH49" i="1"/>
  <c r="BT107" i="1"/>
  <c r="BW140" i="1"/>
  <c r="BT42" i="1"/>
  <c r="BT135" i="1"/>
  <c r="BH135" i="1"/>
  <c r="BT131" i="1"/>
  <c r="BH131" i="1"/>
  <c r="BH140" i="1"/>
  <c r="BT140" i="1"/>
  <c r="BH137" i="1"/>
  <c r="BI137" i="1" s="1"/>
  <c r="BJ137" i="1" s="1"/>
  <c r="BT137" i="1"/>
  <c r="CC97" i="1"/>
  <c r="BK83" i="1"/>
  <c r="BV83" i="1" s="1"/>
  <c r="BL83" i="1"/>
  <c r="BU83" i="1" s="1"/>
  <c r="CC46" i="1"/>
  <c r="CC96" i="1"/>
  <c r="BK59" i="1" l="1"/>
  <c r="BV59" i="1" s="1"/>
  <c r="CV117" i="1"/>
  <c r="DC115" i="1"/>
  <c r="BT115" i="1"/>
  <c r="CV115" i="1"/>
  <c r="BK115" i="1"/>
  <c r="BV115" i="1" s="1"/>
  <c r="BL115" i="1"/>
  <c r="BU115" i="1" s="1"/>
  <c r="BH128" i="1"/>
  <c r="BI128" i="1" s="1"/>
  <c r="BJ128" i="1" s="1"/>
  <c r="BT120" i="1"/>
  <c r="I99" i="34"/>
  <c r="J99" i="34" s="1"/>
  <c r="BI124" i="1"/>
  <c r="BJ124" i="1" s="1"/>
  <c r="CV124" i="1" s="1"/>
  <c r="BT99" i="1"/>
  <c r="BI44" i="1"/>
  <c r="BJ44" i="1" s="1"/>
  <c r="CC44" i="1" s="1"/>
  <c r="BH99" i="1"/>
  <c r="BI99" i="1" s="1"/>
  <c r="BJ99" i="1" s="1"/>
  <c r="I92" i="34"/>
  <c r="J92" i="34" s="1"/>
  <c r="BL117" i="1"/>
  <c r="BU117" i="1" s="1"/>
  <c r="BT117" i="1"/>
  <c r="I96" i="34"/>
  <c r="J96" i="34" s="1"/>
  <c r="CV48" i="1"/>
  <c r="BK117" i="1"/>
  <c r="BV117" i="1" s="1"/>
  <c r="CC117" i="1"/>
  <c r="BH109" i="1"/>
  <c r="CV100" i="1"/>
  <c r="DC100" i="1"/>
  <c r="BL48" i="1"/>
  <c r="DC59" i="1"/>
  <c r="CV59" i="1"/>
  <c r="N87" i="34"/>
  <c r="U36" i="34"/>
  <c r="V36" i="34" s="1"/>
  <c r="W36" i="34" s="1"/>
  <c r="AK36" i="34" s="1"/>
  <c r="AM36" i="34" s="1"/>
  <c r="V52" i="34"/>
  <c r="W52" i="34" s="1"/>
  <c r="X52" i="34" s="1"/>
  <c r="V103" i="34"/>
  <c r="W103" i="34" s="1"/>
  <c r="X103" i="34" s="1"/>
  <c r="BL59" i="1"/>
  <c r="BU59" i="1" s="1"/>
  <c r="BK48" i="1"/>
  <c r="N86" i="34"/>
  <c r="O86" i="34" s="1"/>
  <c r="P86" i="34" s="1"/>
  <c r="Q86" i="34" s="1"/>
  <c r="BI58" i="1"/>
  <c r="BJ58" i="1" s="1"/>
  <c r="CC58" i="1" s="1"/>
  <c r="CC100" i="1"/>
  <c r="O41" i="34"/>
  <c r="P41" i="34" s="1"/>
  <c r="Q41" i="34" s="1"/>
  <c r="N44" i="34"/>
  <c r="BI47" i="1"/>
  <c r="BJ47" i="1" s="1"/>
  <c r="DC47" i="1" s="1"/>
  <c r="I43" i="34"/>
  <c r="J43" i="34" s="1"/>
  <c r="BH50" i="1"/>
  <c r="N43" i="34" s="1"/>
  <c r="O43" i="34" s="1"/>
  <c r="P43" i="34" s="1"/>
  <c r="Q43" i="34" s="1"/>
  <c r="I102" i="34"/>
  <c r="J102" i="34" s="1"/>
  <c r="I98" i="34"/>
  <c r="J98" i="34" s="1"/>
  <c r="DC48" i="1"/>
  <c r="CV126" i="1"/>
  <c r="BI119" i="1"/>
  <c r="BJ119" i="1" s="1"/>
  <c r="BK119" i="1" s="1"/>
  <c r="BV119" i="1" s="1"/>
  <c r="BH123" i="1"/>
  <c r="U102" i="34" s="1"/>
  <c r="V102" i="34" s="1"/>
  <c r="W102" i="34" s="1"/>
  <c r="I101" i="34"/>
  <c r="J101" i="34" s="1"/>
  <c r="BH122" i="1"/>
  <c r="BT122" i="1"/>
  <c r="BT123" i="1"/>
  <c r="O40" i="34"/>
  <c r="P40" i="34" s="1"/>
  <c r="Q40" i="34" s="1"/>
  <c r="CC126" i="1"/>
  <c r="BL126" i="1"/>
  <c r="BU126" i="1" s="1"/>
  <c r="BT125" i="1"/>
  <c r="I104" i="34"/>
  <c r="J104" i="34" s="1"/>
  <c r="BH125" i="1"/>
  <c r="BH127" i="1"/>
  <c r="BI127" i="1" s="1"/>
  <c r="BJ127" i="1" s="1"/>
  <c r="CC127" i="1" s="1"/>
  <c r="V38" i="34"/>
  <c r="W38" i="34" s="1"/>
  <c r="X38" i="34" s="1"/>
  <c r="BK126" i="1"/>
  <c r="BV126" i="1" s="1"/>
  <c r="V39" i="34"/>
  <c r="W39" i="34" s="1"/>
  <c r="X39" i="34" s="1"/>
  <c r="I56" i="34"/>
  <c r="J56" i="34" s="1"/>
  <c r="BH121" i="1"/>
  <c r="BT121" i="1"/>
  <c r="I100" i="34"/>
  <c r="J100" i="34" s="1"/>
  <c r="BI46" i="1"/>
  <c r="BL100" i="1"/>
  <c r="BU100" i="1" s="1"/>
  <c r="I51" i="34"/>
  <c r="J51" i="34" s="1"/>
  <c r="BK100" i="1"/>
  <c r="BV100" i="1" s="1"/>
  <c r="BL103" i="1"/>
  <c r="BU103" i="1" s="1"/>
  <c r="AK37" i="34"/>
  <c r="AM37" i="34" s="1"/>
  <c r="BI140" i="1"/>
  <c r="BJ140" i="1" s="1"/>
  <c r="CC140" i="1" s="1"/>
  <c r="N112" i="34"/>
  <c r="BI131" i="1"/>
  <c r="BJ131" i="1" s="1"/>
  <c r="CC131" i="1" s="1"/>
  <c r="N106" i="34"/>
  <c r="O106" i="34" s="1"/>
  <c r="P106" i="34" s="1"/>
  <c r="Q106" i="34" s="1"/>
  <c r="BI49" i="1"/>
  <c r="BJ49" i="1" s="1"/>
  <c r="CV49" i="1" s="1"/>
  <c r="N42" i="34"/>
  <c r="BI96" i="1"/>
  <c r="BJ96" i="1" s="1"/>
  <c r="BL96" i="1" s="1"/>
  <c r="BU96" i="1" s="1"/>
  <c r="N82" i="34"/>
  <c r="BH104" i="1"/>
  <c r="N88" i="34" s="1"/>
  <c r="O88" i="34" s="1"/>
  <c r="P88" i="34" s="1"/>
  <c r="Q88" i="34" s="1"/>
  <c r="I88" i="34"/>
  <c r="J88" i="34" s="1"/>
  <c r="BI89" i="1"/>
  <c r="BJ89" i="1" s="1"/>
  <c r="CV89" i="1" s="1"/>
  <c r="N75" i="34"/>
  <c r="BT67" i="1"/>
  <c r="I58" i="34"/>
  <c r="J58" i="34" s="1"/>
  <c r="BI69" i="1"/>
  <c r="BJ69" i="1" s="1"/>
  <c r="BK69" i="1" s="1"/>
  <c r="BH112" i="1"/>
  <c r="N95" i="34" s="1"/>
  <c r="O95" i="34" s="1"/>
  <c r="P95" i="34" s="1"/>
  <c r="I95" i="34"/>
  <c r="J95" i="34" s="1"/>
  <c r="BH134" i="1"/>
  <c r="I109" i="34"/>
  <c r="J109" i="34" s="1"/>
  <c r="BI52" i="1"/>
  <c r="BJ52" i="1" s="1"/>
  <c r="CV52" i="1" s="1"/>
  <c r="U45" i="34"/>
  <c r="BH92" i="1"/>
  <c r="I78" i="34"/>
  <c r="J78" i="34" s="1"/>
  <c r="BT139" i="1"/>
  <c r="I111" i="34"/>
  <c r="J111" i="34" s="1"/>
  <c r="BI90" i="1"/>
  <c r="BJ90" i="1" s="1"/>
  <c r="CC90" i="1" s="1"/>
  <c r="N76" i="34"/>
  <c r="BI118" i="1"/>
  <c r="BJ118" i="1" s="1"/>
  <c r="CC118" i="1" s="1"/>
  <c r="N97" i="34"/>
  <c r="BI110" i="1"/>
  <c r="BJ110" i="1" s="1"/>
  <c r="CV110" i="1" s="1"/>
  <c r="N93" i="34"/>
  <c r="BI74" i="1"/>
  <c r="BJ74" i="1" s="1"/>
  <c r="BK74" i="1" s="1"/>
  <c r="BV74" i="1" s="1"/>
  <c r="U65" i="34"/>
  <c r="BT65" i="1"/>
  <c r="I57" i="34"/>
  <c r="J57" i="34" s="1"/>
  <c r="BI113" i="1"/>
  <c r="BJ113" i="1" s="1"/>
  <c r="CV113" i="1" s="1"/>
  <c r="N96" i="34"/>
  <c r="O96" i="34" s="1"/>
  <c r="P96" i="34" s="1"/>
  <c r="Q96" i="34" s="1"/>
  <c r="BI111" i="1"/>
  <c r="BJ111" i="1" s="1"/>
  <c r="CC111" i="1" s="1"/>
  <c r="N94" i="34"/>
  <c r="BH61" i="1"/>
  <c r="I53" i="34"/>
  <c r="J53" i="34" s="1"/>
  <c r="BH133" i="1"/>
  <c r="N108" i="34" s="1"/>
  <c r="O108" i="34" s="1"/>
  <c r="P108" i="34" s="1"/>
  <c r="Q108" i="34" s="1"/>
  <c r="I108" i="34"/>
  <c r="J108" i="34" s="1"/>
  <c r="BH53" i="1"/>
  <c r="I46" i="34"/>
  <c r="J46" i="34" s="1"/>
  <c r="BI40" i="1"/>
  <c r="BJ40" i="1" s="1"/>
  <c r="CC40" i="1" s="1"/>
  <c r="U33" i="34"/>
  <c r="BI138" i="1"/>
  <c r="BJ138" i="1" s="1"/>
  <c r="DC138" i="1" s="1"/>
  <c r="BI132" i="1"/>
  <c r="BJ132" i="1" s="1"/>
  <c r="DC132" i="1" s="1"/>
  <c r="N107" i="34"/>
  <c r="BH68" i="1"/>
  <c r="I59" i="34"/>
  <c r="J59" i="34" s="1"/>
  <c r="BI105" i="1"/>
  <c r="BJ105" i="1" s="1"/>
  <c r="CC105" i="1" s="1"/>
  <c r="N89" i="34"/>
  <c r="BI120" i="1"/>
  <c r="N99" i="34"/>
  <c r="BI97" i="1"/>
  <c r="N83" i="34"/>
  <c r="BI130" i="1"/>
  <c r="N105" i="34"/>
  <c r="BI106" i="1"/>
  <c r="BJ106" i="1" s="1"/>
  <c r="BK106" i="1" s="1"/>
  <c r="BV106" i="1" s="1"/>
  <c r="N90" i="34"/>
  <c r="O90" i="34" s="1"/>
  <c r="P90" i="34" s="1"/>
  <c r="Q90" i="34" s="1"/>
  <c r="BI41" i="1"/>
  <c r="BJ41" i="1" s="1"/>
  <c r="CC41" i="1" s="1"/>
  <c r="U34" i="34"/>
  <c r="BI94" i="1"/>
  <c r="N80" i="34"/>
  <c r="O80" i="34" s="1"/>
  <c r="P80" i="34" s="1"/>
  <c r="Q80" i="34" s="1"/>
  <c r="BI62" i="1"/>
  <c r="BJ62" i="1" s="1"/>
  <c r="DC62" i="1" s="1"/>
  <c r="N54" i="34"/>
  <c r="BI63" i="1"/>
  <c r="BJ63" i="1" s="1"/>
  <c r="CC63" i="1" s="1"/>
  <c r="N55" i="34"/>
  <c r="BI93" i="1"/>
  <c r="BJ93" i="1" s="1"/>
  <c r="CC93" i="1" s="1"/>
  <c r="N79" i="34"/>
  <c r="BI107" i="1"/>
  <c r="BJ107" i="1" s="1"/>
  <c r="DC107" i="1" s="1"/>
  <c r="N91" i="34"/>
  <c r="BI42" i="1"/>
  <c r="U35" i="34"/>
  <c r="BT68" i="1"/>
  <c r="DC143" i="1"/>
  <c r="CV143" i="1"/>
  <c r="BK143" i="1"/>
  <c r="BV143" i="1" s="1"/>
  <c r="BL143" i="1"/>
  <c r="BU143" i="1" s="1"/>
  <c r="BT53" i="1"/>
  <c r="BT92" i="1"/>
  <c r="BT61" i="1"/>
  <c r="DC136" i="1"/>
  <c r="CC129" i="1"/>
  <c r="BT133" i="1"/>
  <c r="BK129" i="1"/>
  <c r="BV129" i="1" s="1"/>
  <c r="DC129" i="1"/>
  <c r="BT134" i="1"/>
  <c r="CC136" i="1"/>
  <c r="BL136" i="1"/>
  <c r="BU136" i="1" s="1"/>
  <c r="BK136" i="1"/>
  <c r="BV136" i="1" s="1"/>
  <c r="CC108" i="1"/>
  <c r="DC108" i="1"/>
  <c r="CV108" i="1"/>
  <c r="BL129" i="1"/>
  <c r="BU129" i="1" s="1"/>
  <c r="BH65" i="1"/>
  <c r="BH139" i="1"/>
  <c r="DC118" i="1"/>
  <c r="CV118" i="1"/>
  <c r="BL101" i="1"/>
  <c r="BU101" i="1" s="1"/>
  <c r="BK101" i="1"/>
  <c r="BV101" i="1" s="1"/>
  <c r="CC51" i="1"/>
  <c r="CV51" i="1"/>
  <c r="DC51" i="1"/>
  <c r="CC69" i="1"/>
  <c r="DC69" i="1"/>
  <c r="CV69" i="1"/>
  <c r="CC137" i="1"/>
  <c r="CV137" i="1"/>
  <c r="DC137" i="1"/>
  <c r="DC102" i="1"/>
  <c r="CV102" i="1"/>
  <c r="CV101" i="1"/>
  <c r="DC101" i="1"/>
  <c r="DC58" i="1"/>
  <c r="BL128" i="1"/>
  <c r="CV128" i="1"/>
  <c r="DC128" i="1"/>
  <c r="DC124" i="1"/>
  <c r="CC116" i="1"/>
  <c r="CV116" i="1"/>
  <c r="DC116" i="1"/>
  <c r="CC68" i="1"/>
  <c r="DC68" i="1"/>
  <c r="CV68" i="1"/>
  <c r="CV114" i="1"/>
  <c r="DC114" i="1"/>
  <c r="BT112" i="1"/>
  <c r="BH66" i="1"/>
  <c r="BT66" i="1"/>
  <c r="BH70" i="1"/>
  <c r="BT70" i="1"/>
  <c r="BT64" i="1"/>
  <c r="BH64" i="1"/>
  <c r="BH76" i="1"/>
  <c r="N67" i="34" s="1"/>
  <c r="O67" i="34" s="1"/>
  <c r="P67" i="34" s="1"/>
  <c r="BT76" i="1"/>
  <c r="BT75" i="1"/>
  <c r="BH75" i="1"/>
  <c r="BH71" i="1"/>
  <c r="N62" i="34" s="1"/>
  <c r="BT71" i="1"/>
  <c r="BT60" i="1"/>
  <c r="BH60" i="1"/>
  <c r="BI60" i="1" s="1"/>
  <c r="BJ60" i="1" s="1"/>
  <c r="BH57" i="1"/>
  <c r="BT57" i="1"/>
  <c r="BH85" i="1"/>
  <c r="BI85" i="1" s="1"/>
  <c r="BJ85" i="1" s="1"/>
  <c r="CC85" i="1" s="1"/>
  <c r="BT85" i="1"/>
  <c r="BT142" i="1"/>
  <c r="BH142" i="1"/>
  <c r="BT78" i="1"/>
  <c r="BH78" i="1"/>
  <c r="N69" i="34" s="1"/>
  <c r="O69" i="34" s="1"/>
  <c r="P69" i="34" s="1"/>
  <c r="Q69" i="34" s="1"/>
  <c r="BH67" i="1"/>
  <c r="BH80" i="1"/>
  <c r="BT80" i="1"/>
  <c r="BH98" i="1"/>
  <c r="BT98" i="1"/>
  <c r="BT141" i="1"/>
  <c r="BH141" i="1"/>
  <c r="BI141" i="1" s="1"/>
  <c r="BJ141" i="1" s="1"/>
  <c r="CC141" i="1" s="1"/>
  <c r="BH87" i="1"/>
  <c r="BT87" i="1"/>
  <c r="BH54" i="1"/>
  <c r="U47" i="34" s="1"/>
  <c r="BT54" i="1"/>
  <c r="BT72" i="1"/>
  <c r="BH72" i="1"/>
  <c r="U63" i="34" s="1"/>
  <c r="BT81" i="1"/>
  <c r="BH81" i="1"/>
  <c r="BT73" i="1"/>
  <c r="BH73" i="1"/>
  <c r="BT77" i="1"/>
  <c r="BH77" i="1"/>
  <c r="N68" i="34" s="1"/>
  <c r="O68" i="34" s="1"/>
  <c r="P68" i="34" s="1"/>
  <c r="Q68" i="34" s="1"/>
  <c r="BT79" i="1"/>
  <c r="BH79" i="1"/>
  <c r="N70" i="34" s="1"/>
  <c r="BH55" i="1"/>
  <c r="U48" i="34" s="1"/>
  <c r="V48" i="34" s="1"/>
  <c r="W48" i="34" s="1"/>
  <c r="X48" i="34" s="1"/>
  <c r="BT55" i="1"/>
  <c r="BT82" i="1"/>
  <c r="BH82" i="1"/>
  <c r="BI82" i="1" s="1"/>
  <c r="BJ82" i="1" s="1"/>
  <c r="BH91" i="1"/>
  <c r="BT91" i="1"/>
  <c r="BH88" i="1"/>
  <c r="BT88" i="1"/>
  <c r="BH95" i="1"/>
  <c r="BT95" i="1"/>
  <c r="BT56" i="1"/>
  <c r="BH56" i="1"/>
  <c r="U49" i="34" s="1"/>
  <c r="V49" i="34" s="1"/>
  <c r="W49" i="34" s="1"/>
  <c r="X49" i="34" s="1"/>
  <c r="BT86" i="1"/>
  <c r="BH86" i="1"/>
  <c r="BI86" i="1" s="1"/>
  <c r="BJ86" i="1" s="1"/>
  <c r="BT104" i="1"/>
  <c r="BI135" i="1"/>
  <c r="BJ135" i="1" s="1"/>
  <c r="BK137" i="1"/>
  <c r="BV137" i="1" s="1"/>
  <c r="BL137" i="1"/>
  <c r="BU137" i="1" s="1"/>
  <c r="CC73" i="1"/>
  <c r="BL102" i="1"/>
  <c r="CC102" i="1"/>
  <c r="BK116" i="1"/>
  <c r="BV116" i="1" s="1"/>
  <c r="BL51" i="1"/>
  <c r="BK102" i="1"/>
  <c r="BL116" i="1"/>
  <c r="BU116" i="1" s="1"/>
  <c r="BK108" i="1"/>
  <c r="BV108" i="1" s="1"/>
  <c r="BK124" i="1"/>
  <c r="BV124" i="1" s="1"/>
  <c r="BL108" i="1"/>
  <c r="BU108" i="1" s="1"/>
  <c r="BK43" i="1"/>
  <c r="BK58" i="1"/>
  <c r="CC114" i="1"/>
  <c r="BK114" i="1"/>
  <c r="BL43" i="1"/>
  <c r="BK51" i="1"/>
  <c r="BL45" i="1"/>
  <c r="BL114" i="1"/>
  <c r="BK45" i="1"/>
  <c r="CC128" i="1"/>
  <c r="BK128" i="1"/>
  <c r="CC84" i="1"/>
  <c r="BK84" i="1"/>
  <c r="BV84" i="1" s="1"/>
  <c r="CC47" i="1" l="1"/>
  <c r="BK47" i="1"/>
  <c r="BL124" i="1"/>
  <c r="BU124" i="1" s="1"/>
  <c r="CC124" i="1"/>
  <c r="DC106" i="1"/>
  <c r="CV107" i="1"/>
  <c r="BK89" i="1"/>
  <c r="BV89" i="1" s="1"/>
  <c r="BL52" i="1"/>
  <c r="BU52" i="1" s="1"/>
  <c r="BL40" i="1"/>
  <c r="BU40" i="1" s="1"/>
  <c r="DC40" i="1"/>
  <c r="BK132" i="1"/>
  <c r="BV132" i="1" s="1"/>
  <c r="DC89" i="1"/>
  <c r="CC132" i="1"/>
  <c r="DC131" i="1"/>
  <c r="CC89" i="1"/>
  <c r="BI104" i="1"/>
  <c r="BJ104" i="1" s="1"/>
  <c r="DC104" i="1" s="1"/>
  <c r="BK44" i="1"/>
  <c r="U74" i="34"/>
  <c r="V74" i="34" s="1"/>
  <c r="W74" i="34" s="1"/>
  <c r="X74" i="34" s="1"/>
  <c r="N85" i="34"/>
  <c r="O85" i="34" s="1"/>
  <c r="P85" i="34" s="1"/>
  <c r="Q85" i="34" s="1"/>
  <c r="CV106" i="1"/>
  <c r="BL106" i="1"/>
  <c r="BU106" i="1" s="1"/>
  <c r="BL44" i="1"/>
  <c r="BL131" i="1"/>
  <c r="BU131" i="1" s="1"/>
  <c r="CV47" i="1"/>
  <c r="BL47" i="1"/>
  <c r="CV58" i="1"/>
  <c r="BL69" i="1"/>
  <c r="BU69" i="1" s="1"/>
  <c r="BK131" i="1"/>
  <c r="BV131" i="1" s="1"/>
  <c r="BL132" i="1"/>
  <c r="BU132" i="1" s="1"/>
  <c r="CV131" i="1"/>
  <c r="BK111" i="1"/>
  <c r="BV111" i="1" s="1"/>
  <c r="BL49" i="1"/>
  <c r="BK96" i="1"/>
  <c r="BV96" i="1" s="1"/>
  <c r="CC62" i="1"/>
  <c r="DC74" i="1"/>
  <c r="CC52" i="1"/>
  <c r="BK52" i="1"/>
  <c r="BV52" i="1" s="1"/>
  <c r="BL62" i="1"/>
  <c r="BU62" i="1" s="1"/>
  <c r="BK62" i="1"/>
  <c r="CM30" i="1" s="1"/>
  <c r="CC74" i="1"/>
  <c r="CV74" i="1"/>
  <c r="CV62" i="1"/>
  <c r="CV132" i="1"/>
  <c r="BL107" i="1"/>
  <c r="BU107" i="1" s="1"/>
  <c r="N92" i="34"/>
  <c r="BI109" i="1"/>
  <c r="DC41" i="1"/>
  <c r="BK90" i="1"/>
  <c r="BV90" i="1" s="1"/>
  <c r="CC106" i="1"/>
  <c r="AK38" i="34"/>
  <c r="AM38" i="34" s="1"/>
  <c r="BK107" i="1"/>
  <c r="BV107" i="1" s="1"/>
  <c r="BL111" i="1"/>
  <c r="BU111" i="1" s="1"/>
  <c r="CC107" i="1"/>
  <c r="DC111" i="1"/>
  <c r="DC113" i="1"/>
  <c r="BI112" i="1"/>
  <c r="BJ112" i="1" s="1"/>
  <c r="BL112" i="1" s="1"/>
  <c r="BU112" i="1" s="1"/>
  <c r="CV111" i="1"/>
  <c r="DC90" i="1"/>
  <c r="CV90" i="1"/>
  <c r="BL90" i="1"/>
  <c r="BU90" i="1" s="1"/>
  <c r="X36" i="34"/>
  <c r="AK52" i="34"/>
  <c r="AM52" i="34" s="1"/>
  <c r="AK40" i="34"/>
  <c r="AM40" i="34" s="1"/>
  <c r="CV41" i="1"/>
  <c r="BK110" i="1"/>
  <c r="BV110" i="1" s="1"/>
  <c r="DC49" i="1"/>
  <c r="N60" i="34"/>
  <c r="O60" i="34" s="1"/>
  <c r="P60" i="34" s="1"/>
  <c r="Q60" i="34" s="1"/>
  <c r="Q67" i="34"/>
  <c r="BL74" i="1"/>
  <c r="BU74" i="1" s="1"/>
  <c r="CC110" i="1"/>
  <c r="CC49" i="1"/>
  <c r="CV119" i="1"/>
  <c r="N110" i="34"/>
  <c r="O110" i="34" s="1"/>
  <c r="P110" i="34" s="1"/>
  <c r="Q110" i="34" s="1"/>
  <c r="AK86" i="34"/>
  <c r="AM86" i="34" s="1"/>
  <c r="CV105" i="1"/>
  <c r="BK105" i="1"/>
  <c r="BV105" i="1" s="1"/>
  <c r="O87" i="34"/>
  <c r="P87" i="34" s="1"/>
  <c r="Q87" i="34" s="1"/>
  <c r="DC105" i="1"/>
  <c r="DC119" i="1"/>
  <c r="BL105" i="1"/>
  <c r="BU105" i="1" s="1"/>
  <c r="AK103" i="34"/>
  <c r="AM103" i="34" s="1"/>
  <c r="BK41" i="1"/>
  <c r="BV41" i="1" s="1"/>
  <c r="BL41" i="1"/>
  <c r="BU41" i="1" s="1"/>
  <c r="DC110" i="1"/>
  <c r="BL110" i="1"/>
  <c r="BU110" i="1" s="1"/>
  <c r="BK49" i="1"/>
  <c r="DC52" i="1"/>
  <c r="CV138" i="1"/>
  <c r="CC119" i="1"/>
  <c r="BJ130" i="1"/>
  <c r="BL130" i="1" s="1"/>
  <c r="V33" i="34"/>
  <c r="W33" i="34" s="1"/>
  <c r="X33" i="34" s="1"/>
  <c r="DC93" i="1"/>
  <c r="DC140" i="1"/>
  <c r="BJ97" i="1"/>
  <c r="BK97" i="1" s="1"/>
  <c r="BV97" i="1" s="1"/>
  <c r="AK43" i="34"/>
  <c r="AM43" i="34" s="1"/>
  <c r="AK41" i="34"/>
  <c r="AM41" i="34" s="1"/>
  <c r="CV127" i="1"/>
  <c r="CV93" i="1"/>
  <c r="CV140" i="1"/>
  <c r="O54" i="34"/>
  <c r="P54" i="34" s="1"/>
  <c r="Q54" i="34" s="1"/>
  <c r="V65" i="34"/>
  <c r="W65" i="34" s="1"/>
  <c r="X65" i="34" s="1"/>
  <c r="BK93" i="1"/>
  <c r="BV93" i="1" s="1"/>
  <c r="BK127" i="1"/>
  <c r="BV127" i="1" s="1"/>
  <c r="AK48" i="34"/>
  <c r="AM48" i="34" s="1"/>
  <c r="O62" i="34"/>
  <c r="P62" i="34" s="1"/>
  <c r="Q62" i="34" s="1"/>
  <c r="DC127" i="1"/>
  <c r="BL93" i="1"/>
  <c r="BU93" i="1" s="1"/>
  <c r="BL89" i="1"/>
  <c r="BU89" i="1" s="1"/>
  <c r="BI133" i="1"/>
  <c r="BJ133" i="1" s="1"/>
  <c r="DC133" i="1" s="1"/>
  <c r="BL140" i="1"/>
  <c r="BU140" i="1" s="1"/>
  <c r="BJ120" i="1"/>
  <c r="BL120" i="1" s="1"/>
  <c r="BU120" i="1" s="1"/>
  <c r="AK88" i="34"/>
  <c r="AM88" i="34" s="1"/>
  <c r="BI125" i="1"/>
  <c r="N104" i="34"/>
  <c r="O83" i="34"/>
  <c r="P83" i="34" s="1"/>
  <c r="Q83" i="34" s="1"/>
  <c r="U101" i="34"/>
  <c r="BI122" i="1"/>
  <c r="V47" i="34"/>
  <c r="W47" i="34" s="1"/>
  <c r="X47" i="34" s="1"/>
  <c r="O89" i="34"/>
  <c r="P89" i="34" s="1"/>
  <c r="Q89" i="34" s="1"/>
  <c r="O93" i="34"/>
  <c r="P93" i="34" s="1"/>
  <c r="Q93" i="34" s="1"/>
  <c r="BJ46" i="1"/>
  <c r="BK46" i="1" s="1"/>
  <c r="O82" i="34"/>
  <c r="P82" i="34" s="1"/>
  <c r="Q82" i="34" s="1"/>
  <c r="O55" i="34"/>
  <c r="P55" i="34" s="1"/>
  <c r="Q55" i="34" s="1"/>
  <c r="AK80" i="34"/>
  <c r="AM80" i="34" s="1"/>
  <c r="CC138" i="1"/>
  <c r="BJ94" i="1"/>
  <c r="BL94" i="1" s="1"/>
  <c r="BU94" i="1" s="1"/>
  <c r="AK108" i="34"/>
  <c r="AM108" i="34" s="1"/>
  <c r="BI50" i="1"/>
  <c r="V45" i="34"/>
  <c r="W45" i="34" s="1"/>
  <c r="X45" i="34" s="1"/>
  <c r="AK102" i="34"/>
  <c r="AM102" i="34" s="1"/>
  <c r="O99" i="34"/>
  <c r="P99" i="34" s="1"/>
  <c r="Q99" i="34" s="1"/>
  <c r="O44" i="34"/>
  <c r="P44" i="34" s="1"/>
  <c r="AK44" i="34" s="1"/>
  <c r="AM44" i="34" s="1"/>
  <c r="O75" i="34"/>
  <c r="P75" i="34" s="1"/>
  <c r="Q75" i="34" s="1"/>
  <c r="AK49" i="34"/>
  <c r="AM49" i="34" s="1"/>
  <c r="V34" i="34"/>
  <c r="W34" i="34" s="1"/>
  <c r="X34" i="34" s="1"/>
  <c r="O42" i="34"/>
  <c r="P42" i="34" s="1"/>
  <c r="Q42" i="34" s="1"/>
  <c r="O70" i="34"/>
  <c r="P70" i="34" s="1"/>
  <c r="Q70" i="34" s="1"/>
  <c r="BK63" i="1"/>
  <c r="BV63" i="1" s="1"/>
  <c r="BL127" i="1"/>
  <c r="BU127" i="1" s="1"/>
  <c r="AK68" i="34"/>
  <c r="AM68" i="34" s="1"/>
  <c r="BJ42" i="1"/>
  <c r="BL42" i="1" s="1"/>
  <c r="N98" i="34"/>
  <c r="U51" i="34"/>
  <c r="V63" i="34"/>
  <c r="W63" i="34" s="1"/>
  <c r="X63" i="34" s="1"/>
  <c r="BK140" i="1"/>
  <c r="BV140" i="1" s="1"/>
  <c r="BL138" i="1"/>
  <c r="BU138" i="1" s="1"/>
  <c r="Q95" i="34"/>
  <c r="AK90" i="34"/>
  <c r="AM90" i="34" s="1"/>
  <c r="O76" i="34"/>
  <c r="P76" i="34" s="1"/>
  <c r="Q76" i="34" s="1"/>
  <c r="AK106" i="34"/>
  <c r="AM106" i="34" s="1"/>
  <c r="BI121" i="1"/>
  <c r="U100" i="34"/>
  <c r="BI123" i="1"/>
  <c r="O79" i="34"/>
  <c r="P79" i="34" s="1"/>
  <c r="Q79" i="34" s="1"/>
  <c r="AK96" i="34"/>
  <c r="AM96" i="34" s="1"/>
  <c r="O105" i="34"/>
  <c r="P105" i="34" s="1"/>
  <c r="Q105" i="34" s="1"/>
  <c r="AK39" i="34"/>
  <c r="AM39" i="34" s="1"/>
  <c r="O112" i="34"/>
  <c r="P112" i="34" s="1"/>
  <c r="Q112" i="34" s="1"/>
  <c r="BL113" i="1"/>
  <c r="BU113" i="1" s="1"/>
  <c r="AK69" i="34"/>
  <c r="AM69" i="34" s="1"/>
  <c r="CC113" i="1"/>
  <c r="V35" i="34"/>
  <c r="W35" i="34" s="1"/>
  <c r="X35" i="34" s="1"/>
  <c r="AK67" i="34"/>
  <c r="AM67" i="34" s="1"/>
  <c r="CV63" i="1"/>
  <c r="AK95" i="34"/>
  <c r="AM95" i="34" s="1"/>
  <c r="O97" i="34"/>
  <c r="P97" i="34" s="1"/>
  <c r="Q97" i="34" s="1"/>
  <c r="N56" i="34"/>
  <c r="DC63" i="1"/>
  <c r="BL119" i="1"/>
  <c r="BU119" i="1" s="1"/>
  <c r="BL118" i="1"/>
  <c r="BU118" i="1" s="1"/>
  <c r="BK138" i="1"/>
  <c r="BV138" i="1" s="1"/>
  <c r="BK40" i="1"/>
  <c r="BV40" i="1" s="1"/>
  <c r="O91" i="34"/>
  <c r="P91" i="34" s="1"/>
  <c r="Q91" i="34" s="1"/>
  <c r="O107" i="34"/>
  <c r="P107" i="34" s="1"/>
  <c r="Q107" i="34" s="1"/>
  <c r="O94" i="34"/>
  <c r="P94" i="34" s="1"/>
  <c r="Q94" i="34" s="1"/>
  <c r="BL58" i="1"/>
  <c r="BU58" i="1" s="1"/>
  <c r="BL63" i="1"/>
  <c r="BU63" i="1" s="1"/>
  <c r="BK113" i="1"/>
  <c r="BV113" i="1" s="1"/>
  <c r="BK118" i="1"/>
  <c r="BV118" i="1" s="1"/>
  <c r="CV40" i="1"/>
  <c r="X102" i="34"/>
  <c r="BI95" i="1"/>
  <c r="BJ95" i="1" s="1"/>
  <c r="N81" i="34"/>
  <c r="BI88" i="1"/>
  <c r="BJ88" i="1" s="1"/>
  <c r="BK88" i="1" s="1"/>
  <c r="N74" i="34"/>
  <c r="BI91" i="1"/>
  <c r="BJ91" i="1" s="1"/>
  <c r="DC91" i="1" s="1"/>
  <c r="N77" i="34"/>
  <c r="BI73" i="1"/>
  <c r="BJ73" i="1" s="1"/>
  <c r="BK73" i="1" s="1"/>
  <c r="BV73" i="1" s="1"/>
  <c r="U64" i="34"/>
  <c r="BI81" i="1"/>
  <c r="BJ81" i="1" s="1"/>
  <c r="DC81" i="1" s="1"/>
  <c r="N72" i="34"/>
  <c r="BI87" i="1"/>
  <c r="BJ87" i="1" s="1"/>
  <c r="CC87" i="1" s="1"/>
  <c r="U73" i="34"/>
  <c r="BI98" i="1"/>
  <c r="BJ98" i="1" s="1"/>
  <c r="CC98" i="1" s="1"/>
  <c r="N84" i="34"/>
  <c r="BI80" i="1"/>
  <c r="BJ80" i="1" s="1"/>
  <c r="CV80" i="1" s="1"/>
  <c r="N71" i="34"/>
  <c r="BI67" i="1"/>
  <c r="BJ67" i="1" s="1"/>
  <c r="N58" i="34"/>
  <c r="BI57" i="1"/>
  <c r="BJ57" i="1" s="1"/>
  <c r="DC57" i="1" s="1"/>
  <c r="U50" i="34"/>
  <c r="BI75" i="1"/>
  <c r="BJ75" i="1" s="1"/>
  <c r="CV75" i="1" s="1"/>
  <c r="N66" i="34"/>
  <c r="BI70" i="1"/>
  <c r="BJ70" i="1" s="1"/>
  <c r="N61" i="34"/>
  <c r="BI139" i="1"/>
  <c r="BJ139" i="1" s="1"/>
  <c r="CC139" i="1" s="1"/>
  <c r="N111" i="34"/>
  <c r="BI65" i="1"/>
  <c r="BJ65" i="1" s="1"/>
  <c r="CC65" i="1" s="1"/>
  <c r="N57" i="34"/>
  <c r="BI68" i="1"/>
  <c r="N59" i="34"/>
  <c r="BI53" i="1"/>
  <c r="U46" i="34"/>
  <c r="BI61" i="1"/>
  <c r="U53" i="34"/>
  <c r="BI92" i="1"/>
  <c r="N78" i="34"/>
  <c r="BI134" i="1"/>
  <c r="BJ134" i="1" s="1"/>
  <c r="N109" i="34"/>
  <c r="CM38" i="1"/>
  <c r="BO179" i="1"/>
  <c r="BP169" i="1"/>
  <c r="BP178" i="1"/>
  <c r="BP174" i="1"/>
  <c r="BP168" i="1"/>
  <c r="BP170" i="1"/>
  <c r="BP167" i="1"/>
  <c r="BP171" i="1"/>
  <c r="BP173" i="1"/>
  <c r="BP176" i="1"/>
  <c r="BP172" i="1"/>
  <c r="BP177" i="1"/>
  <c r="BP175" i="1"/>
  <c r="BU128" i="1"/>
  <c r="BP157" i="1"/>
  <c r="CC82" i="1"/>
  <c r="CV82" i="1"/>
  <c r="DC82" i="1"/>
  <c r="BL99" i="1"/>
  <c r="BU99" i="1" s="1"/>
  <c r="CV99" i="1"/>
  <c r="DC99" i="1"/>
  <c r="BV69" i="1"/>
  <c r="BL141" i="1"/>
  <c r="BU141" i="1" s="1"/>
  <c r="CV141" i="1"/>
  <c r="DC141" i="1"/>
  <c r="CV104" i="1"/>
  <c r="BK135" i="1"/>
  <c r="BV135" i="1" s="1"/>
  <c r="DC135" i="1"/>
  <c r="CV135" i="1"/>
  <c r="BK141" i="1"/>
  <c r="BV141" i="1" s="1"/>
  <c r="CC88" i="1"/>
  <c r="DC88" i="1"/>
  <c r="CV88" i="1"/>
  <c r="CC60" i="1"/>
  <c r="DC60" i="1"/>
  <c r="CV60" i="1"/>
  <c r="BL85" i="1"/>
  <c r="BU85" i="1" s="1"/>
  <c r="BK85" i="1"/>
  <c r="BV85" i="1" s="1"/>
  <c r="BI66" i="1"/>
  <c r="BI142" i="1"/>
  <c r="BI76" i="1"/>
  <c r="BI64" i="1"/>
  <c r="BI71" i="1"/>
  <c r="BI78" i="1"/>
  <c r="BI54" i="1"/>
  <c r="BI72" i="1"/>
  <c r="BI56" i="1"/>
  <c r="BJ56" i="1" s="1"/>
  <c r="BK82" i="1"/>
  <c r="BV82" i="1" s="1"/>
  <c r="BI55" i="1"/>
  <c r="BI79" i="1"/>
  <c r="BL82" i="1"/>
  <c r="BU82" i="1" s="1"/>
  <c r="BI77" i="1"/>
  <c r="BU114" i="1"/>
  <c r="BV114" i="1"/>
  <c r="BU102" i="1"/>
  <c r="BL135" i="1"/>
  <c r="BU135" i="1" s="1"/>
  <c r="CC135" i="1"/>
  <c r="BK60" i="1"/>
  <c r="BV60" i="1" s="1"/>
  <c r="BV102" i="1"/>
  <c r="BL60" i="1"/>
  <c r="BU60" i="1" s="1"/>
  <c r="BK99" i="1"/>
  <c r="CC99" i="1"/>
  <c r="BV128" i="1"/>
  <c r="CC86" i="1"/>
  <c r="BK86" i="1"/>
  <c r="BV58" i="1"/>
  <c r="BL86" i="1"/>
  <c r="BK104" i="1" l="1"/>
  <c r="BV104" i="1" s="1"/>
  <c r="CC104" i="1"/>
  <c r="BL104" i="1"/>
  <c r="BU104" i="1" s="1"/>
  <c r="BL97" i="1"/>
  <c r="BU97" i="1" s="1"/>
  <c r="BK87" i="1"/>
  <c r="BV87" i="1" s="1"/>
  <c r="BK80" i="1"/>
  <c r="BV80" i="1" s="1"/>
  <c r="BN179" i="1"/>
  <c r="BK112" i="1"/>
  <c r="BV112" i="1" s="1"/>
  <c r="BQ180" i="1"/>
  <c r="BQ179" i="1"/>
  <c r="CC91" i="1"/>
  <c r="CC112" i="1"/>
  <c r="DC112" i="1"/>
  <c r="BK133" i="1"/>
  <c r="BV133" i="1" s="1"/>
  <c r="BV62" i="1"/>
  <c r="CC133" i="1"/>
  <c r="BO180" i="1"/>
  <c r="BL91" i="1"/>
  <c r="BU91" i="1" s="1"/>
  <c r="CV91" i="1"/>
  <c r="BL65" i="1"/>
  <c r="BU65" i="1" s="1"/>
  <c r="CV112" i="1"/>
  <c r="DC80" i="1"/>
  <c r="BL133" i="1"/>
  <c r="BU133" i="1" s="1"/>
  <c r="CV133" i="1"/>
  <c r="BN180" i="1"/>
  <c r="O92" i="34"/>
  <c r="P92" i="34" s="1"/>
  <c r="Q92" i="34" s="1"/>
  <c r="DC75" i="1"/>
  <c r="CC75" i="1"/>
  <c r="BK75" i="1"/>
  <c r="BV75" i="1" s="1"/>
  <c r="DC87" i="1"/>
  <c r="BJ109" i="1"/>
  <c r="BL109" i="1" s="1"/>
  <c r="BU109" i="1" s="1"/>
  <c r="CV98" i="1"/>
  <c r="BL87" i="1"/>
  <c r="BU87" i="1" s="1"/>
  <c r="DC98" i="1"/>
  <c r="BK98" i="1"/>
  <c r="BV98" i="1" s="1"/>
  <c r="BL98" i="1"/>
  <c r="BU98" i="1" s="1"/>
  <c r="BL75" i="1"/>
  <c r="BU75" i="1" s="1"/>
  <c r="BL46" i="1"/>
  <c r="CC81" i="1"/>
  <c r="AK42" i="34"/>
  <c r="AM42" i="34" s="1"/>
  <c r="AK54" i="34"/>
  <c r="AM54" i="34" s="1"/>
  <c r="BU130" i="1"/>
  <c r="BO184" i="1"/>
  <c r="BN184" i="1"/>
  <c r="AK105" i="34"/>
  <c r="AM105" i="34" s="1"/>
  <c r="BL139" i="1"/>
  <c r="BU139" i="1" s="1"/>
  <c r="AK60" i="34"/>
  <c r="AM60" i="34" s="1"/>
  <c r="AK55" i="34"/>
  <c r="AM55" i="34" s="1"/>
  <c r="BK91" i="1"/>
  <c r="BV91" i="1" s="1"/>
  <c r="BL73" i="1"/>
  <c r="BU73" i="1" s="1"/>
  <c r="BK139" i="1"/>
  <c r="BV139" i="1" s="1"/>
  <c r="AK45" i="34"/>
  <c r="AM45" i="34" s="1"/>
  <c r="CC80" i="1"/>
  <c r="AK35" i="34"/>
  <c r="AM35" i="34" s="1"/>
  <c r="AK93" i="34"/>
  <c r="AM93" i="34" s="1"/>
  <c r="DC139" i="1"/>
  <c r="BK57" i="1"/>
  <c r="BV57" i="1" s="1"/>
  <c r="BL80" i="1"/>
  <c r="BU80" i="1" s="1"/>
  <c r="CV139" i="1"/>
  <c r="CV87" i="1"/>
  <c r="AK97" i="34"/>
  <c r="AM97" i="34" s="1"/>
  <c r="AK87" i="34"/>
  <c r="AM87" i="34" s="1"/>
  <c r="BJ125" i="1"/>
  <c r="BL125" i="1" s="1"/>
  <c r="BU125" i="1" s="1"/>
  <c r="O59" i="34"/>
  <c r="P59" i="34" s="1"/>
  <c r="AK59" i="34" s="1"/>
  <c r="AM59" i="34" s="1"/>
  <c r="O58" i="34"/>
  <c r="P58" i="34" s="1"/>
  <c r="Q58" i="34" s="1"/>
  <c r="O77" i="34"/>
  <c r="P77" i="34" s="1"/>
  <c r="Q77" i="34" s="1"/>
  <c r="AK76" i="34"/>
  <c r="AM76" i="34" s="1"/>
  <c r="CC42" i="1"/>
  <c r="DC42" i="1"/>
  <c r="CV42" i="1"/>
  <c r="BK42" i="1"/>
  <c r="AK47" i="34"/>
  <c r="AM47" i="34" s="1"/>
  <c r="CV120" i="1"/>
  <c r="CC120" i="1"/>
  <c r="DC120" i="1"/>
  <c r="BK120" i="1"/>
  <c r="BV120" i="1" s="1"/>
  <c r="BL88" i="1"/>
  <c r="BN175" i="1" s="1"/>
  <c r="BJ68" i="1"/>
  <c r="BK68" i="1" s="1"/>
  <c r="BV68" i="1" s="1"/>
  <c r="O56" i="34"/>
  <c r="P56" i="34" s="1"/>
  <c r="Q56" i="34" s="1"/>
  <c r="AK75" i="34"/>
  <c r="AM75" i="34" s="1"/>
  <c r="BJ122" i="1"/>
  <c r="BL122" i="1" s="1"/>
  <c r="BU122" i="1" s="1"/>
  <c r="AK65" i="34"/>
  <c r="AM65" i="34" s="1"/>
  <c r="V51" i="34"/>
  <c r="W51" i="34" s="1"/>
  <c r="X51" i="34" s="1"/>
  <c r="O71" i="34"/>
  <c r="P71" i="34" s="1"/>
  <c r="Q71" i="34" s="1"/>
  <c r="O74" i="34"/>
  <c r="P74" i="34" s="1"/>
  <c r="Q74" i="34" s="1"/>
  <c r="AK99" i="34"/>
  <c r="AM99" i="34" s="1"/>
  <c r="O72" i="34"/>
  <c r="P72" i="34" s="1"/>
  <c r="Q72" i="34" s="1"/>
  <c r="BJ61" i="1"/>
  <c r="BL61" i="1" s="1"/>
  <c r="BJ121" i="1"/>
  <c r="BL121" i="1" s="1"/>
  <c r="BU121" i="1" s="1"/>
  <c r="V50" i="34"/>
  <c r="W50" i="34" s="1"/>
  <c r="X50" i="34" s="1"/>
  <c r="AK34" i="34"/>
  <c r="AM34" i="34" s="1"/>
  <c r="BL81" i="1"/>
  <c r="BU81" i="1" s="1"/>
  <c r="CV57" i="1"/>
  <c r="AK94" i="34"/>
  <c r="AM94" i="34" s="1"/>
  <c r="Q44" i="34"/>
  <c r="V101" i="34"/>
  <c r="W101" i="34" s="1"/>
  <c r="X101" i="34" s="1"/>
  <c r="AK33" i="34"/>
  <c r="AM33" i="34" s="1"/>
  <c r="O66" i="34"/>
  <c r="P66" i="34" s="1"/>
  <c r="Q66" i="34" s="1"/>
  <c r="V64" i="34"/>
  <c r="W64" i="34" s="1"/>
  <c r="X64" i="34" s="1"/>
  <c r="AK89" i="34"/>
  <c r="AM89" i="34" s="1"/>
  <c r="O111" i="34"/>
  <c r="P111" i="34" s="1"/>
  <c r="Q111" i="34" s="1"/>
  <c r="O81" i="34"/>
  <c r="P81" i="34" s="1"/>
  <c r="Q81" i="34" s="1"/>
  <c r="V46" i="34"/>
  <c r="W46" i="34" s="1"/>
  <c r="X46" i="34" s="1"/>
  <c r="CC94" i="1"/>
  <c r="DC94" i="1"/>
  <c r="CV94" i="1"/>
  <c r="BK94" i="1"/>
  <c r="BV94" i="1" s="1"/>
  <c r="O109" i="34"/>
  <c r="P109" i="34" s="1"/>
  <c r="Q109" i="34" s="1"/>
  <c r="BK81" i="1"/>
  <c r="BV81" i="1" s="1"/>
  <c r="BL57" i="1"/>
  <c r="BU57" i="1" s="1"/>
  <c r="CC57" i="1"/>
  <c r="BK65" i="1"/>
  <c r="BV65" i="1" s="1"/>
  <c r="BL134" i="1"/>
  <c r="BU134" i="1" s="1"/>
  <c r="BK134" i="1"/>
  <c r="BV134" i="1" s="1"/>
  <c r="DC134" i="1"/>
  <c r="CV134" i="1"/>
  <c r="CC134" i="1"/>
  <c r="AK107" i="34"/>
  <c r="AM107" i="34" s="1"/>
  <c r="AK79" i="34"/>
  <c r="AM79" i="34" s="1"/>
  <c r="AK70" i="34"/>
  <c r="AM70" i="34" s="1"/>
  <c r="AK83" i="34"/>
  <c r="AM83" i="34" s="1"/>
  <c r="DC130" i="1"/>
  <c r="BK130" i="1"/>
  <c r="CC130" i="1"/>
  <c r="CV130" i="1"/>
  <c r="V53" i="34"/>
  <c r="W53" i="34" s="1"/>
  <c r="X53" i="34" s="1"/>
  <c r="O61" i="34"/>
  <c r="P61" i="34" s="1"/>
  <c r="Q61" i="34" s="1"/>
  <c r="V73" i="34"/>
  <c r="W73" i="34" s="1"/>
  <c r="X73" i="34" s="1"/>
  <c r="BJ123" i="1"/>
  <c r="BL123" i="1" s="1"/>
  <c r="BU123" i="1" s="1"/>
  <c r="AK85" i="34"/>
  <c r="AM85" i="34" s="1"/>
  <c r="AK82" i="34"/>
  <c r="AM82" i="34" s="1"/>
  <c r="AK112" i="34"/>
  <c r="AM112" i="34" s="1"/>
  <c r="V100" i="34"/>
  <c r="W100" i="34" s="1"/>
  <c r="X100" i="34" s="1"/>
  <c r="O98" i="34"/>
  <c r="P98" i="34" s="1"/>
  <c r="Q98" i="34" s="1"/>
  <c r="BJ53" i="1"/>
  <c r="BL53" i="1" s="1"/>
  <c r="BU53" i="1" s="1"/>
  <c r="BU42" i="1"/>
  <c r="BN183" i="1"/>
  <c r="BP183" i="1"/>
  <c r="O57" i="34"/>
  <c r="P57" i="34" s="1"/>
  <c r="Q57" i="34" s="1"/>
  <c r="O84" i="34"/>
  <c r="P84" i="34" s="1"/>
  <c r="Q84" i="34" s="1"/>
  <c r="CV81" i="1"/>
  <c r="DC65" i="1"/>
  <c r="O78" i="34"/>
  <c r="P78" i="34" s="1"/>
  <c r="Q78" i="34" s="1"/>
  <c r="CV65" i="1"/>
  <c r="BJ92" i="1"/>
  <c r="BL92" i="1" s="1"/>
  <c r="BU92" i="1" s="1"/>
  <c r="AK91" i="34"/>
  <c r="AM91" i="34" s="1"/>
  <c r="AK63" i="34"/>
  <c r="AM63" i="34" s="1"/>
  <c r="BJ50" i="1"/>
  <c r="BL50" i="1" s="1"/>
  <c r="O104" i="34"/>
  <c r="P104" i="34" s="1"/>
  <c r="Q104" i="34" s="1"/>
  <c r="AK62" i="34"/>
  <c r="AM62" i="34" s="1"/>
  <c r="AK110" i="34"/>
  <c r="AM110" i="34" s="1"/>
  <c r="BV99" i="1"/>
  <c r="CM40" i="1"/>
  <c r="BQ175" i="1"/>
  <c r="BQ178" i="1"/>
  <c r="BQ167" i="1"/>
  <c r="BQ176" i="1"/>
  <c r="BQ173" i="1"/>
  <c r="BQ172" i="1"/>
  <c r="BQ170" i="1"/>
  <c r="BQ168" i="1"/>
  <c r="BQ174" i="1"/>
  <c r="BQ171" i="1"/>
  <c r="BQ169" i="1"/>
  <c r="BQ177" i="1"/>
  <c r="BV88" i="1"/>
  <c r="BQ157" i="1"/>
  <c r="BP158" i="1"/>
  <c r="BK56" i="1"/>
  <c r="BV56" i="1" s="1"/>
  <c r="CV56" i="1"/>
  <c r="DC56" i="1"/>
  <c r="CC95" i="1"/>
  <c r="CV95" i="1"/>
  <c r="DC95" i="1"/>
  <c r="CC70" i="1"/>
  <c r="DC70" i="1"/>
  <c r="CV70" i="1"/>
  <c r="BL67" i="1"/>
  <c r="BU67" i="1" s="1"/>
  <c r="DC67" i="1"/>
  <c r="CV67" i="1"/>
  <c r="CC67" i="1"/>
  <c r="BK67" i="1"/>
  <c r="BJ66" i="1"/>
  <c r="BL70" i="1"/>
  <c r="BJ71" i="1"/>
  <c r="BJ78" i="1"/>
  <c r="BJ76" i="1"/>
  <c r="BJ64" i="1"/>
  <c r="BJ142" i="1"/>
  <c r="BK70" i="1"/>
  <c r="BJ72" i="1"/>
  <c r="BK95" i="1"/>
  <c r="BV95" i="1" s="1"/>
  <c r="BJ54" i="1"/>
  <c r="BJ77" i="1"/>
  <c r="BJ79" i="1"/>
  <c r="BJ55" i="1"/>
  <c r="BL56" i="1"/>
  <c r="BU56" i="1" s="1"/>
  <c r="CC56" i="1"/>
  <c r="BL95" i="1"/>
  <c r="BU95" i="1" s="1"/>
  <c r="BV86" i="1"/>
  <c r="BU86" i="1"/>
  <c r="CM36" i="1" l="1"/>
  <c r="AK92" i="34"/>
  <c r="AM92" i="34" s="1"/>
  <c r="BO167" i="1"/>
  <c r="BO172" i="1"/>
  <c r="BN169" i="1"/>
  <c r="BO178" i="1"/>
  <c r="BL68" i="1"/>
  <c r="BU68" i="1" s="1"/>
  <c r="BU88" i="1"/>
  <c r="CV109" i="1"/>
  <c r="DC109" i="1"/>
  <c r="CC109" i="1"/>
  <c r="BK109" i="1"/>
  <c r="BV109" i="1" s="1"/>
  <c r="BN178" i="1"/>
  <c r="Q59" i="34"/>
  <c r="BN171" i="1"/>
  <c r="BO165" i="1"/>
  <c r="BO176" i="1"/>
  <c r="BO168" i="1"/>
  <c r="AK51" i="34"/>
  <c r="AM51" i="34" s="1"/>
  <c r="BO166" i="1"/>
  <c r="BO169" i="1"/>
  <c r="AK98" i="34"/>
  <c r="AM98" i="34" s="1"/>
  <c r="BN174" i="1"/>
  <c r="AK72" i="34"/>
  <c r="AM72" i="34" s="1"/>
  <c r="BN170" i="1"/>
  <c r="AK84" i="34"/>
  <c r="AM84" i="34" s="1"/>
  <c r="BN167" i="1"/>
  <c r="CV50" i="1"/>
  <c r="CC50" i="1"/>
  <c r="DC50" i="1"/>
  <c r="BK50" i="1"/>
  <c r="CC123" i="1"/>
  <c r="CV123" i="1"/>
  <c r="BK123" i="1"/>
  <c r="BV123" i="1" s="1"/>
  <c r="DC123" i="1"/>
  <c r="AK77" i="34"/>
  <c r="AM77" i="34" s="1"/>
  <c r="BO157" i="1"/>
  <c r="BO173" i="1"/>
  <c r="BN168" i="1"/>
  <c r="BK92" i="1"/>
  <c r="BV92" i="1" s="1"/>
  <c r="CC92" i="1"/>
  <c r="DC92" i="1"/>
  <c r="CV92" i="1"/>
  <c r="AK109" i="34"/>
  <c r="AM109" i="34" s="1"/>
  <c r="AK71" i="34"/>
  <c r="AM71" i="34" s="1"/>
  <c r="BN157" i="1"/>
  <c r="BO177" i="1"/>
  <c r="BN176" i="1"/>
  <c r="AK73" i="34"/>
  <c r="AM73" i="34" s="1"/>
  <c r="AK64" i="34"/>
  <c r="AM64" i="34" s="1"/>
  <c r="AK50" i="34"/>
  <c r="AM50" i="34" s="1"/>
  <c r="AK58" i="34"/>
  <c r="AM58" i="34" s="1"/>
  <c r="AK56" i="34"/>
  <c r="AM56" i="34" s="1"/>
  <c r="AK57" i="34"/>
  <c r="AM57" i="34" s="1"/>
  <c r="DC53" i="1"/>
  <c r="CC53" i="1"/>
  <c r="BK53" i="1"/>
  <c r="BV53" i="1" s="1"/>
  <c r="CV53" i="1"/>
  <c r="BO175" i="1"/>
  <c r="BN172" i="1"/>
  <c r="AK78" i="34"/>
  <c r="AM78" i="34" s="1"/>
  <c r="AK61" i="34"/>
  <c r="AM61" i="34" s="1"/>
  <c r="AK66" i="34"/>
  <c r="AM66" i="34" s="1"/>
  <c r="CC121" i="1"/>
  <c r="DC121" i="1"/>
  <c r="CV121" i="1"/>
  <c r="BK121" i="1"/>
  <c r="BV121" i="1" s="1"/>
  <c r="AK111" i="34"/>
  <c r="AM111" i="34" s="1"/>
  <c r="AK74" i="34"/>
  <c r="AM74" i="34" s="1"/>
  <c r="BV130" i="1"/>
  <c r="CM42" i="1"/>
  <c r="BQ184" i="1"/>
  <c r="AK81" i="34"/>
  <c r="AM81" i="34" s="1"/>
  <c r="BN165" i="1"/>
  <c r="BO174" i="1"/>
  <c r="BN177" i="1"/>
  <c r="BU61" i="1"/>
  <c r="BP165" i="1"/>
  <c r="BP166" i="1"/>
  <c r="BN166" i="1"/>
  <c r="BO170" i="1"/>
  <c r="BN173" i="1"/>
  <c r="AK53" i="34"/>
  <c r="AM53" i="34" s="1"/>
  <c r="CC61" i="1"/>
  <c r="BK61" i="1"/>
  <c r="DC61" i="1"/>
  <c r="CV61" i="1"/>
  <c r="CC122" i="1"/>
  <c r="CV122" i="1"/>
  <c r="DC122" i="1"/>
  <c r="BK122" i="1"/>
  <c r="BV122" i="1" s="1"/>
  <c r="CM28" i="1"/>
  <c r="BV42" i="1"/>
  <c r="BQ183" i="1"/>
  <c r="BO171" i="1"/>
  <c r="AK104" i="34"/>
  <c r="AM104" i="34" s="1"/>
  <c r="AK100" i="34"/>
  <c r="AM100" i="34" s="1"/>
  <c r="AK46" i="34"/>
  <c r="AM46" i="34" s="1"/>
  <c r="AK101" i="34"/>
  <c r="AM101" i="34" s="1"/>
  <c r="DC125" i="1"/>
  <c r="CV125" i="1"/>
  <c r="CC125" i="1"/>
  <c r="BK125" i="1"/>
  <c r="BV125" i="1" s="1"/>
  <c r="BV67" i="1"/>
  <c r="CM32" i="1"/>
  <c r="BV70" i="1"/>
  <c r="BP160" i="1"/>
  <c r="BP161" i="1"/>
  <c r="BU70" i="1"/>
  <c r="BP147" i="1"/>
  <c r="BL142" i="1"/>
  <c r="BU142" i="1" s="1"/>
  <c r="CV142" i="1"/>
  <c r="DC142" i="1"/>
  <c r="BP148" i="1"/>
  <c r="BP102" i="1"/>
  <c r="BL71" i="1"/>
  <c r="DC71" i="1"/>
  <c r="CV71" i="1"/>
  <c r="BL64" i="1"/>
  <c r="DC64" i="1"/>
  <c r="CV64" i="1"/>
  <c r="BL72" i="1"/>
  <c r="BU72" i="1" s="1"/>
  <c r="DC72" i="1"/>
  <c r="CV72" i="1"/>
  <c r="BL76" i="1"/>
  <c r="BU76" i="1" s="1"/>
  <c r="DC76" i="1"/>
  <c r="CV76" i="1"/>
  <c r="CV78" i="1"/>
  <c r="DC78" i="1"/>
  <c r="BL55" i="1"/>
  <c r="BU55" i="1" s="1"/>
  <c r="CV55" i="1"/>
  <c r="DC55" i="1"/>
  <c r="BL79" i="1"/>
  <c r="DC79" i="1"/>
  <c r="CV79" i="1"/>
  <c r="BL77" i="1"/>
  <c r="DC77" i="1"/>
  <c r="CV77" i="1"/>
  <c r="BL54" i="1"/>
  <c r="BU54" i="1" s="1"/>
  <c r="CV54" i="1"/>
  <c r="DC54" i="1"/>
  <c r="BL66" i="1"/>
  <c r="BU66" i="1" s="1"/>
  <c r="DC66" i="1"/>
  <c r="CV66" i="1"/>
  <c r="CC66" i="1"/>
  <c r="BK66" i="1"/>
  <c r="CC78" i="1"/>
  <c r="BK78" i="1"/>
  <c r="BV78" i="1" s="1"/>
  <c r="CC142" i="1"/>
  <c r="BK142" i="1"/>
  <c r="CC64" i="1"/>
  <c r="BK64" i="1"/>
  <c r="CC76" i="1"/>
  <c r="BK76" i="1"/>
  <c r="BV76" i="1" s="1"/>
  <c r="BL78" i="1"/>
  <c r="BU78" i="1" s="1"/>
  <c r="CC71" i="1"/>
  <c r="BK71" i="1"/>
  <c r="BV71" i="1" s="1"/>
  <c r="CC54" i="1"/>
  <c r="BK54" i="1"/>
  <c r="BV54" i="1" s="1"/>
  <c r="CC72" i="1"/>
  <c r="BK72" i="1"/>
  <c r="BV72" i="1" s="1"/>
  <c r="CC55" i="1"/>
  <c r="BK55" i="1"/>
  <c r="BV55" i="1" s="1"/>
  <c r="CC79" i="1"/>
  <c r="BK79" i="1"/>
  <c r="BV79" i="1" s="1"/>
  <c r="CC77" i="1"/>
  <c r="BK77" i="1"/>
  <c r="BO151" i="1" l="1"/>
  <c r="BV61" i="1"/>
  <c r="BQ165" i="1"/>
  <c r="CM29" i="1"/>
  <c r="BQ166" i="1"/>
  <c r="BV77" i="1"/>
  <c r="CM35" i="1"/>
  <c r="BV142" i="1"/>
  <c r="CM44" i="1"/>
  <c r="BV66" i="1"/>
  <c r="CM31" i="1"/>
  <c r="BO163" i="1"/>
  <c r="BN163" i="1"/>
  <c r="BO162" i="1"/>
  <c r="BN162" i="1"/>
  <c r="BQ162" i="1"/>
  <c r="BQ163" i="1"/>
  <c r="BU71" i="1"/>
  <c r="BN158" i="1"/>
  <c r="BQ158" i="1"/>
  <c r="BO158" i="1"/>
  <c r="BU64" i="1"/>
  <c r="BN160" i="1"/>
  <c r="BO160" i="1"/>
  <c r="BN161" i="1"/>
  <c r="BO161" i="1"/>
  <c r="BN147" i="1"/>
  <c r="BO148" i="1"/>
  <c r="BO147" i="1"/>
  <c r="BN148" i="1"/>
  <c r="BQ161" i="1"/>
  <c r="BQ160" i="1"/>
  <c r="BQ147" i="1"/>
  <c r="BQ148" i="1"/>
  <c r="BU77" i="1"/>
  <c r="BP151" i="1"/>
  <c r="BN151" i="1"/>
  <c r="BU79" i="1"/>
  <c r="BV64" i="1"/>
  <c r="BQ151" i="1"/>
  <c r="BY14" i="1"/>
  <c r="C13" i="12" l="1" a="1"/>
  <c r="AJ40" i="12" l="1"/>
  <c r="AJ28" i="12"/>
  <c r="AJ35" i="12"/>
  <c r="AJ31" i="12"/>
  <c r="AJ39" i="12"/>
  <c r="AJ27" i="12"/>
  <c r="AJ23" i="12"/>
  <c r="AJ38" i="12"/>
  <c r="AJ26" i="12"/>
  <c r="AJ24" i="12"/>
  <c r="AJ22" i="12"/>
  <c r="AJ29" i="12"/>
  <c r="AJ37" i="12"/>
  <c r="AJ25" i="12"/>
  <c r="AJ36" i="12"/>
  <c r="AJ34" i="12"/>
  <c r="AJ30" i="12"/>
  <c r="AJ33" i="12"/>
  <c r="AJ21" i="12"/>
  <c r="AJ32" i="12"/>
  <c r="D40" i="12"/>
  <c r="Y37" i="12"/>
  <c r="Y33" i="12"/>
  <c r="Y29" i="12"/>
  <c r="Z25" i="12"/>
  <c r="Z21" i="12"/>
  <c r="X18" i="12"/>
  <c r="Y14" i="12"/>
  <c r="X26" i="12"/>
  <c r="X37" i="12"/>
  <c r="X33" i="12"/>
  <c r="X29" i="12"/>
  <c r="Y25" i="12"/>
  <c r="Y21" i="12"/>
  <c r="X14" i="12"/>
  <c r="Z15" i="12"/>
  <c r="X22" i="12"/>
  <c r="Z40" i="12"/>
  <c r="Z36" i="12"/>
  <c r="Z32" i="12"/>
  <c r="Z28" i="12"/>
  <c r="X25" i="12"/>
  <c r="X21" i="12"/>
  <c r="Y17" i="12"/>
  <c r="Y40" i="12"/>
  <c r="Y36" i="12"/>
  <c r="Y32" i="12"/>
  <c r="Y28" i="12"/>
  <c r="Z24" i="12"/>
  <c r="X17" i="12"/>
  <c r="Y23" i="12"/>
  <c r="X40" i="12"/>
  <c r="X36" i="12"/>
  <c r="X32" i="12"/>
  <c r="X28" i="12"/>
  <c r="Y24" i="12"/>
  <c r="Y20" i="12"/>
  <c r="X31" i="12"/>
  <c r="Z29" i="12"/>
  <c r="Z39" i="12"/>
  <c r="Z35" i="12"/>
  <c r="Z31" i="12"/>
  <c r="Z27" i="12"/>
  <c r="X24" i="12"/>
  <c r="X20" i="12"/>
  <c r="Y16" i="12"/>
  <c r="X27" i="12"/>
  <c r="Y18" i="12"/>
  <c r="Y39" i="12"/>
  <c r="Y35" i="12"/>
  <c r="Y31" i="12"/>
  <c r="Y27" i="12"/>
  <c r="Z23" i="12"/>
  <c r="X16" i="12"/>
  <c r="X35" i="12"/>
  <c r="X39" i="12"/>
  <c r="Z33" i="12"/>
  <c r="Z38" i="12"/>
  <c r="Z34" i="12"/>
  <c r="Z30" i="12"/>
  <c r="X23" i="12"/>
  <c r="Y19" i="12"/>
  <c r="Y15" i="12"/>
  <c r="Y34" i="12"/>
  <c r="Y30" i="12"/>
  <c r="Z26" i="12"/>
  <c r="Z22" i="12"/>
  <c r="X19" i="12"/>
  <c r="X15" i="12"/>
  <c r="X34" i="12"/>
  <c r="X30" i="12"/>
  <c r="Y26" i="12"/>
  <c r="Y22" i="12"/>
  <c r="Z37" i="12"/>
  <c r="Y38" i="12"/>
  <c r="X38" i="12"/>
  <c r="D1" i="12"/>
  <c r="E40" i="12"/>
  <c r="T40" i="12"/>
  <c r="S40" i="12"/>
  <c r="D22" i="12"/>
  <c r="K40" i="12"/>
  <c r="R40" i="12"/>
  <c r="D21" i="12"/>
  <c r="J40" i="12"/>
  <c r="Q40" i="12"/>
  <c r="M40" i="12"/>
  <c r="L40" i="12"/>
  <c r="I40" i="12"/>
  <c r="G40" i="12"/>
  <c r="F40" i="12"/>
  <c r="E39" i="12"/>
  <c r="E21" i="12"/>
  <c r="E26" i="12"/>
  <c r="E29" i="12"/>
  <c r="E23" i="12"/>
  <c r="E27" i="12"/>
  <c r="E25" i="12"/>
  <c r="E28" i="12"/>
  <c r="E30" i="12"/>
  <c r="E32" i="12"/>
  <c r="E31" i="12"/>
  <c r="E33" i="12"/>
  <c r="E35" i="12"/>
  <c r="E36" i="12"/>
  <c r="E22" i="12"/>
  <c r="E37" i="12"/>
  <c r="E24" i="12"/>
  <c r="E34" i="12"/>
  <c r="E38" i="12"/>
  <c r="C13" i="12"/>
  <c r="J19" i="12"/>
  <c r="AD24" i="12" l="1"/>
  <c r="AD37" i="12"/>
  <c r="AD40" i="12"/>
  <c r="AB40" i="12"/>
  <c r="AB25" i="12"/>
  <c r="AD25" i="12"/>
  <c r="AD33" i="12"/>
  <c r="AB33" i="12"/>
  <c r="AB38" i="12"/>
  <c r="AD38" i="12"/>
  <c r="AB37" i="12"/>
  <c r="AD39" i="12"/>
  <c r="AB39" i="12"/>
  <c r="AB26" i="12"/>
  <c r="AD26" i="12"/>
  <c r="AD32" i="12"/>
  <c r="AB32" i="12"/>
  <c r="AD35" i="12"/>
  <c r="AB35" i="12"/>
  <c r="Y13" i="12"/>
  <c r="X13" i="12"/>
  <c r="AB24" i="12"/>
  <c r="AD30" i="12"/>
  <c r="AB30" i="12"/>
  <c r="AD23" i="12"/>
  <c r="AB23" i="12"/>
  <c r="AD31" i="12"/>
  <c r="AB31" i="12"/>
  <c r="AD22" i="12"/>
  <c r="AB22" i="12"/>
  <c r="AD34" i="12"/>
  <c r="AB34" i="12"/>
  <c r="AD27" i="12"/>
  <c r="AB27" i="12"/>
  <c r="AD15" i="12"/>
  <c r="AB15" i="12"/>
  <c r="AD28" i="12"/>
  <c r="AB28" i="12"/>
  <c r="AB36" i="12"/>
  <c r="AD36" i="12"/>
  <c r="AD21" i="12"/>
  <c r="AB21" i="12"/>
  <c r="AD29" i="12"/>
  <c r="AB29" i="12"/>
  <c r="U40" i="12"/>
  <c r="V40" i="12" s="1"/>
  <c r="W40" i="12" s="1"/>
  <c r="N40" i="12"/>
  <c r="O40" i="12" s="1"/>
  <c r="P40" i="12" l="1"/>
  <c r="AI40" i="12"/>
  <c r="AK40" i="12" s="1"/>
  <c r="Q39" i="12" l="1"/>
  <c r="R39" i="12"/>
  <c r="S39" i="12"/>
  <c r="T39" i="12"/>
  <c r="U39" i="12" l="1"/>
  <c r="V39" i="12" s="1"/>
  <c r="W39" i="12" l="1"/>
  <c r="J39" i="12" l="1"/>
  <c r="D39" i="12"/>
  <c r="N49" i="27" l="1"/>
  <c r="N45" i="27"/>
  <c r="N50" i="27" s="1"/>
  <c r="K32" i="27"/>
  <c r="K4" i="27"/>
  <c r="K5" i="27"/>
  <c r="K6" i="27"/>
  <c r="K7" i="27"/>
  <c r="K8" i="27"/>
  <c r="K9" i="27"/>
  <c r="K10" i="27"/>
  <c r="K11" i="27"/>
  <c r="K12" i="27"/>
  <c r="K13" i="27"/>
  <c r="K14" i="27"/>
  <c r="K15" i="27"/>
  <c r="K16" i="27"/>
  <c r="K17" i="27"/>
  <c r="K18" i="27"/>
  <c r="K19" i="27"/>
  <c r="K20" i="27"/>
  <c r="K21" i="27"/>
  <c r="K22" i="27"/>
  <c r="K23" i="27"/>
  <c r="K24" i="27"/>
  <c r="K25" i="27"/>
  <c r="K26" i="27"/>
  <c r="K27" i="27"/>
  <c r="K28" i="27"/>
  <c r="K29" i="27"/>
  <c r="K30" i="27"/>
  <c r="K31" i="27"/>
  <c r="K33" i="27"/>
  <c r="K34" i="27"/>
  <c r="K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 i="27"/>
  <c r="J35" i="27"/>
  <c r="J36" i="27" s="1"/>
  <c r="D36" i="27"/>
  <c r="I83" i="26"/>
  <c r="C76" i="26"/>
  <c r="J3" i="26"/>
  <c r="J4" i="26"/>
  <c r="J5"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2"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2" i="26"/>
  <c r="G26" i="15" l="1"/>
  <c r="G25" i="15"/>
  <c r="G24" i="15"/>
  <c r="G23" i="15"/>
  <c r="G22" i="15"/>
  <c r="G21" i="15"/>
  <c r="G20" i="15"/>
  <c r="G19" i="15"/>
  <c r="G18" i="15"/>
  <c r="C13" i="15" l="1" a="1"/>
  <c r="C13" i="15" s="1"/>
  <c r="J14" i="23" l="1"/>
  <c r="I14" i="23"/>
  <c r="D37" i="27"/>
  <c r="D39" i="27" s="1"/>
  <c r="AK16" i="1" l="1"/>
  <c r="AL16" i="1" l="1"/>
  <c r="C12" i="10"/>
  <c r="F12" i="10" l="1"/>
  <c r="E12" i="10"/>
  <c r="D12" i="10"/>
  <c r="B4" i="23"/>
  <c r="B4" i="20"/>
  <c r="J8" i="24"/>
  <c r="I8" i="24"/>
  <c r="E8" i="24"/>
  <c r="D8" i="24"/>
  <c r="J8" i="23"/>
  <c r="I8" i="23"/>
  <c r="E8" i="23"/>
  <c r="D8" i="23"/>
  <c r="J8" i="22"/>
  <c r="I8" i="22"/>
  <c r="E8" i="22"/>
  <c r="D8" i="22"/>
  <c r="J8" i="21"/>
  <c r="I8" i="21"/>
  <c r="E8" i="21"/>
  <c r="D8" i="21"/>
  <c r="J8" i="20" l="1"/>
  <c r="I8" i="20"/>
  <c r="E8" i="20"/>
  <c r="D8" i="20"/>
  <c r="AG14" i="12" l="1"/>
  <c r="G2" i="19" l="1" a="1"/>
  <c r="B2" i="19" a="1"/>
  <c r="B2" i="19" s="1"/>
  <c r="J3" i="19" l="1"/>
  <c r="J108" i="19"/>
  <c r="J69" i="19"/>
  <c r="J68" i="19"/>
  <c r="J65" i="19"/>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C2" i="19"/>
  <c r="C3"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G2" i="19"/>
  <c r="J2" i="19" s="1"/>
  <c r="C82" i="19"/>
  <c r="C81" i="19"/>
  <c r="C80" i="19"/>
  <c r="C79" i="19"/>
  <c r="C78" i="19"/>
  <c r="C77" i="19"/>
  <c r="C76" i="19"/>
  <c r="C75" i="19"/>
  <c r="C74" i="19"/>
  <c r="C73" i="19"/>
  <c r="C72" i="19"/>
  <c r="C71" i="19"/>
  <c r="C70" i="19"/>
  <c r="C69" i="19"/>
  <c r="C68" i="19"/>
  <c r="C67" i="19"/>
  <c r="C66" i="19"/>
  <c r="C65" i="19"/>
  <c r="C64" i="19"/>
  <c r="C63" i="19"/>
  <c r="C62" i="19"/>
  <c r="C61" i="19"/>
  <c r="C60" i="19"/>
  <c r="C59" i="19"/>
  <c r="C58" i="19"/>
  <c r="C57" i="19"/>
  <c r="C56" i="19"/>
  <c r="C55" i="19"/>
  <c r="C54" i="19"/>
  <c r="C53" i="19"/>
  <c r="C52" i="19"/>
  <c r="C51" i="19"/>
  <c r="C50" i="19"/>
  <c r="C49" i="19"/>
  <c r="C48" i="19"/>
  <c r="C47" i="19"/>
  <c r="C46" i="19"/>
  <c r="C45" i="19"/>
  <c r="C44" i="19"/>
  <c r="C43" i="19"/>
  <c r="C42" i="19"/>
  <c r="C41" i="19"/>
  <c r="C40" i="19"/>
  <c r="C39" i="19"/>
  <c r="C38" i="19"/>
  <c r="C37" i="19"/>
  <c r="C36" i="19"/>
  <c r="C35" i="19"/>
  <c r="C34" i="19"/>
  <c r="C33" i="19"/>
  <c r="C32" i="19"/>
  <c r="C31" i="19"/>
  <c r="C30" i="19"/>
  <c r="C29" i="19"/>
  <c r="C28" i="19"/>
  <c r="C27" i="19"/>
  <c r="C26" i="19"/>
  <c r="C25" i="19"/>
  <c r="C24" i="19"/>
  <c r="C23" i="19"/>
  <c r="C22" i="19"/>
  <c r="C21" i="19"/>
  <c r="C20" i="19"/>
  <c r="C19" i="19"/>
  <c r="C18" i="19"/>
  <c r="C17" i="19"/>
  <c r="C16" i="19"/>
  <c r="C15" i="19"/>
  <c r="C14" i="19"/>
  <c r="C13" i="19"/>
  <c r="C12" i="19"/>
  <c r="C11" i="19"/>
  <c r="C10" i="19"/>
  <c r="C9" i="19"/>
  <c r="C8" i="19"/>
  <c r="C7" i="19"/>
  <c r="C6" i="19"/>
  <c r="C5" i="19"/>
  <c r="C4" i="19"/>
  <c r="H2" i="19" l="1"/>
  <c r="E4" i="19" s="1"/>
  <c r="I7" i="19"/>
  <c r="I6" i="19"/>
  <c r="I5" i="19"/>
  <c r="I4" i="19"/>
  <c r="I3" i="19"/>
  <c r="I2" i="19"/>
  <c r="E2" i="19" l="1"/>
  <c r="E3" i="19"/>
  <c r="E82" i="19"/>
  <c r="E81" i="19"/>
  <c r="E80" i="19"/>
  <c r="E79" i="19"/>
  <c r="E78" i="19"/>
  <c r="E77" i="19"/>
  <c r="E76" i="19"/>
  <c r="E75" i="19"/>
  <c r="E74" i="19"/>
  <c r="E73" i="19"/>
  <c r="E72" i="19"/>
  <c r="E71" i="19"/>
  <c r="E70" i="19"/>
  <c r="E69" i="19"/>
  <c r="E68" i="19"/>
  <c r="E67" i="19"/>
  <c r="E66" i="19"/>
  <c r="E65" i="19"/>
  <c r="E64" i="19"/>
  <c r="E63" i="19"/>
  <c r="E62" i="19"/>
  <c r="E61" i="19"/>
  <c r="E60" i="19"/>
  <c r="E59" i="19"/>
  <c r="E58" i="19"/>
  <c r="E57" i="19"/>
  <c r="E56" i="19"/>
  <c r="E55" i="19"/>
  <c r="E54"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3" i="19"/>
  <c r="E12" i="19"/>
  <c r="E11" i="19"/>
  <c r="E10" i="19"/>
  <c r="E9" i="19"/>
  <c r="E8" i="19"/>
  <c r="E7" i="19"/>
  <c r="E6" i="19"/>
  <c r="E5" i="19"/>
  <c r="I29" i="19"/>
  <c r="I28" i="19"/>
  <c r="I27" i="19"/>
  <c r="I26" i="19"/>
  <c r="I25" i="19"/>
  <c r="I24" i="19"/>
  <c r="I23" i="19"/>
  <c r="I22" i="19"/>
  <c r="I21" i="19"/>
  <c r="I20" i="19"/>
  <c r="I19" i="19"/>
  <c r="I18" i="19"/>
  <c r="I17" i="19"/>
  <c r="I16" i="19"/>
  <c r="I15" i="19"/>
  <c r="I14" i="19"/>
  <c r="I13" i="19"/>
  <c r="I12" i="19"/>
  <c r="I11" i="19"/>
  <c r="I10" i="19"/>
  <c r="I9" i="19"/>
  <c r="I8" i="19"/>
  <c r="I48" i="19"/>
  <c r="I47" i="19"/>
  <c r="I46" i="19"/>
  <c r="I45" i="19"/>
  <c r="I44" i="19"/>
  <c r="I43" i="19"/>
  <c r="I42" i="19"/>
  <c r="I41" i="19"/>
  <c r="I40" i="19"/>
  <c r="I39" i="19"/>
  <c r="I38" i="19"/>
  <c r="I37" i="19"/>
  <c r="I36" i="19"/>
  <c r="I35" i="19"/>
  <c r="I34" i="19"/>
  <c r="I33" i="19"/>
  <c r="I32" i="19"/>
  <c r="I31" i="19"/>
  <c r="I30" i="19"/>
  <c r="I69" i="19"/>
  <c r="I68" i="19"/>
  <c r="I67" i="19"/>
  <c r="I65" i="19"/>
  <c r="I64" i="19"/>
  <c r="I63" i="19"/>
  <c r="I62" i="19"/>
  <c r="I61" i="19"/>
  <c r="I60" i="19"/>
  <c r="I59" i="19"/>
  <c r="I58" i="19"/>
  <c r="I57" i="19"/>
  <c r="I56" i="19"/>
  <c r="I55" i="19"/>
  <c r="I54" i="19"/>
  <c r="I53" i="19"/>
  <c r="I74" i="19"/>
  <c r="I73" i="19"/>
  <c r="I72" i="19"/>
  <c r="I71" i="19"/>
  <c r="I70" i="19"/>
  <c r="I108" i="19"/>
  <c r="I107" i="19"/>
  <c r="I106" i="19"/>
  <c r="I105" i="19"/>
  <c r="I104" i="19"/>
  <c r="I103" i="19"/>
  <c r="I102" i="19"/>
  <c r="I101" i="19"/>
  <c r="I100" i="19"/>
  <c r="I99" i="19"/>
  <c r="I98" i="19"/>
  <c r="I97" i="19"/>
  <c r="I96" i="19"/>
  <c r="I95" i="19"/>
  <c r="I94" i="19"/>
  <c r="I93" i="19"/>
  <c r="I75" i="19" l="1"/>
  <c r="I76" i="19"/>
  <c r="I77" i="19"/>
  <c r="I78" i="19"/>
  <c r="I79" i="19"/>
  <c r="I80" i="19"/>
  <c r="I81" i="19"/>
  <c r="I82" i="19"/>
  <c r="I83" i="19"/>
  <c r="I84" i="19"/>
  <c r="I85" i="19"/>
  <c r="I86" i="19"/>
  <c r="I87" i="19"/>
  <c r="I88" i="19"/>
  <c r="I89" i="19"/>
  <c r="I90" i="19"/>
  <c r="I91" i="19"/>
  <c r="I92" i="19"/>
  <c r="I66" i="19"/>
  <c r="I49" i="19"/>
  <c r="I50" i="19"/>
  <c r="I51" i="19"/>
  <c r="I52" i="19"/>
  <c r="AJ21" i="1" l="1"/>
  <c r="AH21" i="1" l="1"/>
  <c r="AK21" i="1"/>
  <c r="BE21" i="1" s="1"/>
  <c r="AM23" i="1"/>
  <c r="BG23" i="1" s="1" a="1"/>
  <c r="BG23" i="1" s="1"/>
  <c r="K14" i="34" l="1"/>
  <c r="D14" i="34"/>
  <c r="E14" i="34"/>
  <c r="Z14" i="34"/>
  <c r="AC12" i="1"/>
  <c r="AL14" i="34" l="1"/>
  <c r="AQ24" i="1"/>
  <c r="F39" i="12" l="1"/>
  <c r="K39" i="12"/>
  <c r="W6" i="6" l="1"/>
  <c r="X6" i="6" l="1"/>
  <c r="X5" i="6"/>
  <c r="AM39" i="1"/>
  <c r="BG39" i="1" s="1" a="1"/>
  <c r="BG39" i="1" s="1"/>
  <c r="AM38" i="1"/>
  <c r="BG38" i="1" s="1" a="1"/>
  <c r="BG38" i="1" s="1"/>
  <c r="AM37" i="1"/>
  <c r="BG37" i="1" s="1" a="1"/>
  <c r="BG37" i="1" s="1"/>
  <c r="AM36" i="1"/>
  <c r="BG36" i="1" s="1" a="1"/>
  <c r="BG36" i="1" s="1"/>
  <c r="AM35" i="1"/>
  <c r="BG35" i="1" s="1" a="1"/>
  <c r="BG35" i="1" s="1"/>
  <c r="AM34" i="1"/>
  <c r="BG34" i="1" s="1" a="1"/>
  <c r="BG34" i="1" s="1"/>
  <c r="AM33" i="1"/>
  <c r="BG33" i="1" s="1" a="1"/>
  <c r="BG33" i="1" s="1"/>
  <c r="AM32" i="1"/>
  <c r="BG32" i="1" s="1" a="1"/>
  <c r="BG32" i="1" s="1"/>
  <c r="AM31" i="1"/>
  <c r="BG31" i="1" s="1" a="1"/>
  <c r="BG31" i="1" s="1"/>
  <c r="AM30" i="1"/>
  <c r="BG30" i="1" s="1" a="1"/>
  <c r="BG30" i="1" s="1"/>
  <c r="AM29" i="1"/>
  <c r="BG29" i="1" s="1" a="1"/>
  <c r="BG29" i="1" s="1"/>
  <c r="AM28" i="1"/>
  <c r="BG28" i="1" s="1" a="1"/>
  <c r="BG28" i="1" s="1"/>
  <c r="AM27" i="1"/>
  <c r="BG27" i="1" s="1" a="1"/>
  <c r="BG27" i="1" s="1"/>
  <c r="AM26" i="1"/>
  <c r="BG26" i="1" s="1" a="1"/>
  <c r="BG26" i="1" s="1"/>
  <c r="AM25" i="1"/>
  <c r="BG25" i="1" s="1" a="1"/>
  <c r="BG25" i="1" s="1"/>
  <c r="AM24" i="1"/>
  <c r="BG24" i="1" s="1" a="1"/>
  <c r="BG24" i="1" s="1"/>
  <c r="AM22" i="1"/>
  <c r="BG22" i="1" s="1" a="1"/>
  <c r="BG22" i="1" s="1"/>
  <c r="AM21" i="1"/>
  <c r="BG21" i="1" s="1" a="1"/>
  <c r="BG21" i="1" s="1"/>
  <c r="T37" i="12" l="1"/>
  <c r="T38" i="12"/>
  <c r="T35" i="12"/>
  <c r="D38" i="12"/>
  <c r="D36" i="12"/>
  <c r="D37" i="12"/>
  <c r="J38" i="12"/>
  <c r="J36" i="12"/>
  <c r="J37" i="12"/>
  <c r="T33" i="12"/>
  <c r="T34" i="12"/>
  <c r="R38" i="12" l="1"/>
  <c r="Q38" i="12"/>
  <c r="S38" i="12"/>
  <c r="Q34" i="12"/>
  <c r="Q33" i="12"/>
  <c r="U38" i="12" l="1"/>
  <c r="V38" i="12" s="1"/>
  <c r="W38" i="12" s="1"/>
  <c r="CN44" i="1" l="1"/>
  <c r="CI43" i="1"/>
  <c r="CJ43" i="1"/>
  <c r="CK43" i="1"/>
  <c r="CK45" i="1"/>
  <c r="CN45" i="1"/>
  <c r="CI46" i="1"/>
  <c r="CJ46" i="1"/>
  <c r="CK46" i="1"/>
  <c r="CL46" i="1"/>
  <c r="CI45" i="1"/>
  <c r="CJ45" i="1"/>
  <c r="CL43" i="1"/>
  <c r="CL45" i="1"/>
  <c r="CN46" i="1"/>
  <c r="CN43" i="1"/>
  <c r="CI44" i="1"/>
  <c r="CJ44" i="1"/>
  <c r="CK44" i="1"/>
  <c r="CL44" i="1"/>
  <c r="CI41" i="1"/>
  <c r="CN40" i="1"/>
  <c r="CJ41" i="1"/>
  <c r="CK41" i="1"/>
  <c r="CL41" i="1"/>
  <c r="CN41" i="1"/>
  <c r="CN42" i="1"/>
  <c r="CI40" i="1"/>
  <c r="CJ40" i="1"/>
  <c r="CK40" i="1"/>
  <c r="CL40" i="1"/>
  <c r="CJ42" i="1"/>
  <c r="CI42" i="1"/>
  <c r="CK42" i="1"/>
  <c r="CL42" i="1"/>
  <c r="Q37" i="12" l="1"/>
  <c r="Q35" i="12"/>
  <c r="Q36" i="12"/>
  <c r="AL39" i="1"/>
  <c r="AL38" i="1"/>
  <c r="AL37" i="1"/>
  <c r="AL36" i="1"/>
  <c r="AL35" i="1"/>
  <c r="AL34" i="1"/>
  <c r="AL33" i="1"/>
  <c r="AL32" i="1"/>
  <c r="AL31" i="1"/>
  <c r="AL30" i="1"/>
  <c r="AL29" i="1"/>
  <c r="AL28" i="1"/>
  <c r="AL27" i="1"/>
  <c r="AL26" i="1"/>
  <c r="AL25" i="1"/>
  <c r="AL24" i="1"/>
  <c r="AL23" i="1"/>
  <c r="DA23" i="1" s="1"/>
  <c r="AL22" i="1"/>
  <c r="DA22" i="1" s="1"/>
  <c r="AL21" i="1"/>
  <c r="G32" i="6" l="1"/>
  <c r="J32" i="6" s="1"/>
  <c r="E32" i="6"/>
  <c r="D32" i="6"/>
  <c r="CL20" i="1"/>
  <c r="BO181" i="1"/>
  <c r="BO182" i="1"/>
  <c r="BO76" i="1"/>
  <c r="BO164" i="1"/>
  <c r="DA21" i="1"/>
  <c r="BO156" i="1"/>
  <c r="BO146" i="1"/>
  <c r="BO144" i="1"/>
  <c r="BO150" i="1"/>
  <c r="BO145" i="1"/>
  <c r="BO88" i="1"/>
  <c r="BO90" i="1"/>
  <c r="BO54" i="1"/>
  <c r="BO109" i="1"/>
  <c r="BO56" i="1"/>
  <c r="BO73" i="1"/>
  <c r="BO141" i="1"/>
  <c r="BO75" i="1"/>
  <c r="DA24" i="1"/>
  <c r="DA25" i="1"/>
  <c r="DA20" i="1"/>
  <c r="BO117" i="1"/>
  <c r="BO101" i="1"/>
  <c r="BO139" i="1"/>
  <c r="BO122" i="1"/>
  <c r="BO63" i="1"/>
  <c r="BO125" i="1"/>
  <c r="BO70" i="1"/>
  <c r="BO42" i="1"/>
  <c r="BO132" i="1"/>
  <c r="BO62" i="1"/>
  <c r="BO71" i="1"/>
  <c r="BO135" i="1"/>
  <c r="BO61" i="1"/>
  <c r="BO67" i="1"/>
  <c r="CL39" i="1"/>
  <c r="CK39" i="1"/>
  <c r="CL38" i="1"/>
  <c r="CK38" i="1"/>
  <c r="CB20" i="1"/>
  <c r="DB20" i="1"/>
  <c r="CU20" i="1"/>
  <c r="DB21" i="1"/>
  <c r="CU21" i="1"/>
  <c r="CB21" i="1"/>
  <c r="DB22" i="1"/>
  <c r="CT22" i="1"/>
  <c r="CB22" i="1"/>
  <c r="CU22" i="1"/>
  <c r="CA22" i="1"/>
  <c r="DB23" i="1"/>
  <c r="CU23" i="1"/>
  <c r="CB23" i="1"/>
  <c r="DB24" i="1"/>
  <c r="CU24" i="1"/>
  <c r="CB24" i="1"/>
  <c r="DB25" i="1"/>
  <c r="CU25" i="1"/>
  <c r="CB25" i="1"/>
  <c r="DB26" i="1"/>
  <c r="CU26" i="1"/>
  <c r="CB26" i="1"/>
  <c r="DB27" i="1"/>
  <c r="CU27" i="1"/>
  <c r="CB27" i="1"/>
  <c r="DB28" i="1"/>
  <c r="CU28" i="1"/>
  <c r="CB28" i="1"/>
  <c r="DB29" i="1"/>
  <c r="CB29" i="1"/>
  <c r="CU29" i="1"/>
  <c r="DB30" i="1"/>
  <c r="CU30" i="1"/>
  <c r="CB30" i="1"/>
  <c r="DB31" i="1"/>
  <c r="CU31" i="1"/>
  <c r="CB31" i="1"/>
  <c r="DB32" i="1"/>
  <c r="CU32" i="1"/>
  <c r="CB32" i="1"/>
  <c r="DB33" i="1"/>
  <c r="CU33" i="1"/>
  <c r="CB33" i="1"/>
  <c r="DB34" i="1"/>
  <c r="CU34" i="1"/>
  <c r="CB34" i="1"/>
  <c r="DB35" i="1"/>
  <c r="CU35" i="1"/>
  <c r="CB35" i="1"/>
  <c r="DB36" i="1"/>
  <c r="CB36" i="1"/>
  <c r="CU36" i="1"/>
  <c r="DB37" i="1"/>
  <c r="CU37" i="1"/>
  <c r="CB37" i="1"/>
  <c r="DB38" i="1"/>
  <c r="CU38" i="1"/>
  <c r="CB38" i="1"/>
  <c r="DB39" i="1"/>
  <c r="CU39" i="1"/>
  <c r="CB39" i="1"/>
  <c r="CL30" i="1"/>
  <c r="CL31" i="1"/>
  <c r="CL35" i="1"/>
  <c r="F32" i="6"/>
  <c r="CL33" i="1"/>
  <c r="CL23" i="1"/>
  <c r="CL34" i="1"/>
  <c r="CL24" i="1"/>
  <c r="CL26" i="1"/>
  <c r="CL36" i="1"/>
  <c r="CL27" i="1"/>
  <c r="CL29" i="1"/>
  <c r="CL25" i="1"/>
  <c r="CL32" i="1"/>
  <c r="CL22" i="1"/>
  <c r="CL37" i="1"/>
  <c r="CL21" i="1"/>
  <c r="CL28" i="1"/>
  <c r="CU16" i="1" l="1"/>
  <c r="DB16" i="1"/>
  <c r="CB16" i="1"/>
  <c r="AJ22" i="1"/>
  <c r="AH22" i="1" s="1"/>
  <c r="AJ23" i="1"/>
  <c r="AH23" i="1" s="1"/>
  <c r="AJ24" i="1"/>
  <c r="AH24" i="1" s="1"/>
  <c r="AJ25" i="1"/>
  <c r="AJ26" i="1"/>
  <c r="AJ27" i="1"/>
  <c r="AJ28" i="1"/>
  <c r="AH28" i="1" s="1"/>
  <c r="AJ29" i="1"/>
  <c r="AH29" i="1" s="1"/>
  <c r="AN29" i="1" s="1"/>
  <c r="AJ30" i="1"/>
  <c r="AH30" i="1" s="1"/>
  <c r="AN30" i="1" s="1"/>
  <c r="AJ31" i="1"/>
  <c r="AH31" i="1" s="1"/>
  <c r="AN31" i="1" s="1"/>
  <c r="AJ32" i="1"/>
  <c r="AH32" i="1" s="1"/>
  <c r="AN32" i="1" s="1"/>
  <c r="AJ33" i="1"/>
  <c r="AH33" i="1" s="1"/>
  <c r="AJ34" i="1"/>
  <c r="AH34" i="1" s="1"/>
  <c r="AJ35" i="1"/>
  <c r="AH35" i="1" s="1"/>
  <c r="AN35" i="1" s="1"/>
  <c r="AJ36" i="1"/>
  <c r="AH36" i="1" s="1"/>
  <c r="AJ37" i="1"/>
  <c r="AH37" i="1" s="1"/>
  <c r="AN37" i="1" s="1"/>
  <c r="AJ38" i="1"/>
  <c r="AH38" i="1" s="1"/>
  <c r="Z31" i="34" l="1"/>
  <c r="E31" i="34"/>
  <c r="E30" i="34"/>
  <c r="Z30" i="34"/>
  <c r="Z29" i="34"/>
  <c r="E29" i="34"/>
  <c r="Z28" i="34"/>
  <c r="E28" i="34"/>
  <c r="Z27" i="34"/>
  <c r="E27" i="34"/>
  <c r="E26" i="34"/>
  <c r="Z26" i="34"/>
  <c r="Z25" i="34"/>
  <c r="E25" i="34"/>
  <c r="Z24" i="34"/>
  <c r="E24" i="34"/>
  <c r="Z23" i="34"/>
  <c r="E23" i="34"/>
  <c r="Z22" i="34"/>
  <c r="E22" i="34"/>
  <c r="E21" i="34"/>
  <c r="Z21" i="34"/>
  <c r="Z17" i="34"/>
  <c r="E17" i="34"/>
  <c r="Z16" i="34"/>
  <c r="E16" i="34"/>
  <c r="Z15" i="34"/>
  <c r="E15" i="34"/>
  <c r="AH27" i="1"/>
  <c r="AH26" i="1"/>
  <c r="AN26" i="1" s="1"/>
  <c r="AH25" i="1"/>
  <c r="AN25" i="1" s="1"/>
  <c r="E14" i="12"/>
  <c r="E13" i="12"/>
  <c r="E18" i="12"/>
  <c r="E19" i="12"/>
  <c r="E20" i="12"/>
  <c r="CK36" i="1"/>
  <c r="D35" i="12"/>
  <c r="J35" i="12"/>
  <c r="D34" i="12"/>
  <c r="J34" i="12"/>
  <c r="D32" i="12"/>
  <c r="J32" i="12"/>
  <c r="D33" i="12"/>
  <c r="J33" i="12"/>
  <c r="CI39" i="1"/>
  <c r="CN39" i="1"/>
  <c r="CJ39" i="1"/>
  <c r="D31" i="12"/>
  <c r="J31" i="12"/>
  <c r="CI38" i="1"/>
  <c r="CN38" i="1"/>
  <c r="CJ38" i="1"/>
  <c r="CJ37" i="1"/>
  <c r="CK34" i="1"/>
  <c r="Q29" i="12"/>
  <c r="CK35" i="1"/>
  <c r="CK33" i="1"/>
  <c r="CK32" i="1"/>
  <c r="CI37" i="1"/>
  <c r="CN37" i="1"/>
  <c r="CK37" i="1"/>
  <c r="Q30" i="12"/>
  <c r="Q32" i="12"/>
  <c r="Q31" i="12"/>
  <c r="D53" i="6" l="1" a="1"/>
  <c r="D53" i="6" s="1"/>
  <c r="E15" i="12"/>
  <c r="E18" i="34"/>
  <c r="Z18" i="34"/>
  <c r="E16" i="12"/>
  <c r="Z19" i="34"/>
  <c r="E19" i="34"/>
  <c r="E17" i="12"/>
  <c r="Z20" i="34"/>
  <c r="E20" i="34"/>
  <c r="D52" i="6" a="1"/>
  <c r="D52" i="6" s="1"/>
  <c r="D50" i="6"/>
  <c r="CA20" i="1"/>
  <c r="CT20" i="1"/>
  <c r="AT20" i="1" l="1"/>
  <c r="AS20" i="1"/>
  <c r="AR20" i="1"/>
  <c r="AO37" i="1"/>
  <c r="AO33" i="1"/>
  <c r="AO29" i="1"/>
  <c r="AO36" i="1"/>
  <c r="AO32" i="1"/>
  <c r="AO28" i="1"/>
  <c r="Z18" i="12" s="1"/>
  <c r="AO39" i="1"/>
  <c r="AO35" i="1"/>
  <c r="AO31" i="1"/>
  <c r="Z20" i="12" s="1"/>
  <c r="AO27" i="1"/>
  <c r="Z17" i="12" s="1"/>
  <c r="AO38" i="1"/>
  <c r="AO34" i="1"/>
  <c r="AO30" i="1"/>
  <c r="AO26" i="1"/>
  <c r="Z16" i="12" s="1"/>
  <c r="Z14" i="12" l="1"/>
  <c r="AB14" i="12" s="1"/>
  <c r="Z19" i="12"/>
  <c r="AD19" i="12" s="1"/>
  <c r="Z13" i="12"/>
  <c r="AD13" i="12" s="1"/>
  <c r="AB16" i="12"/>
  <c r="AD16" i="12"/>
  <c r="AB17" i="12"/>
  <c r="AD17" i="12"/>
  <c r="AD20" i="12"/>
  <c r="AB20" i="12"/>
  <c r="AD14" i="12"/>
  <c r="AB18" i="12"/>
  <c r="AD18" i="12"/>
  <c r="T19" i="34"/>
  <c r="G19" i="34"/>
  <c r="G23" i="34"/>
  <c r="T23" i="34"/>
  <c r="T27" i="34"/>
  <c r="G27" i="34"/>
  <c r="G31" i="34"/>
  <c r="T31" i="34"/>
  <c r="G20" i="34"/>
  <c r="T20" i="34"/>
  <c r="T24" i="34"/>
  <c r="G24" i="34"/>
  <c r="T28" i="34"/>
  <c r="G28" i="34"/>
  <c r="G32" i="34"/>
  <c r="T32" i="34"/>
  <c r="T21" i="34"/>
  <c r="G21" i="34"/>
  <c r="G25" i="34"/>
  <c r="T25" i="34"/>
  <c r="G29" i="34"/>
  <c r="T29" i="34"/>
  <c r="T22" i="34"/>
  <c r="G22" i="34"/>
  <c r="G26" i="34"/>
  <c r="T26" i="34"/>
  <c r="G30" i="34"/>
  <c r="T30" i="34"/>
  <c r="L39" i="12"/>
  <c r="G39" i="12"/>
  <c r="S34" i="12"/>
  <c r="S29" i="12"/>
  <c r="K36" i="12"/>
  <c r="K38" i="12"/>
  <c r="F38" i="12"/>
  <c r="K37" i="12"/>
  <c r="F37" i="12"/>
  <c r="F36" i="12"/>
  <c r="K35" i="12"/>
  <c r="F35" i="12"/>
  <c r="K32" i="12"/>
  <c r="F34" i="12"/>
  <c r="K34" i="12"/>
  <c r="F32" i="12"/>
  <c r="F33" i="12"/>
  <c r="K33" i="12"/>
  <c r="F31" i="12"/>
  <c r="K31" i="12"/>
  <c r="S26" i="12"/>
  <c r="R34" i="12"/>
  <c r="L31" i="12"/>
  <c r="R29" i="12"/>
  <c r="S33" i="12"/>
  <c r="L35" i="12"/>
  <c r="R33" i="12"/>
  <c r="S27" i="12"/>
  <c r="S23" i="12"/>
  <c r="S22" i="12"/>
  <c r="S32" i="12"/>
  <c r="S30" i="12"/>
  <c r="S37" i="12"/>
  <c r="S35" i="12"/>
  <c r="R37" i="12"/>
  <c r="R35" i="12"/>
  <c r="R30" i="12"/>
  <c r="L36" i="12"/>
  <c r="L25" i="12"/>
  <c r="S28" i="12"/>
  <c r="G38" i="12"/>
  <c r="L38" i="12"/>
  <c r="R36" i="12"/>
  <c r="S21" i="12"/>
  <c r="L30" i="12"/>
  <c r="G30" i="12"/>
  <c r="G37" i="12"/>
  <c r="L37" i="12"/>
  <c r="L32" i="12"/>
  <c r="G32" i="12"/>
  <c r="S20" i="12"/>
  <c r="R31" i="12"/>
  <c r="G34" i="12"/>
  <c r="L34" i="12"/>
  <c r="G29" i="12"/>
  <c r="L29" i="12"/>
  <c r="G26" i="12"/>
  <c r="L26" i="12"/>
  <c r="G25" i="12"/>
  <c r="S25" i="12"/>
  <c r="S31" i="12"/>
  <c r="G31" i="12"/>
  <c r="G35" i="12"/>
  <c r="S24" i="12"/>
  <c r="G33" i="12"/>
  <c r="L33" i="12"/>
  <c r="G36" i="12"/>
  <c r="S36" i="12"/>
  <c r="BC36" i="1"/>
  <c r="BC29" i="1"/>
  <c r="BC32" i="1"/>
  <c r="BC27" i="1"/>
  <c r="BC26" i="1"/>
  <c r="BC34" i="1"/>
  <c r="BC31" i="1"/>
  <c r="BC33" i="1"/>
  <c r="BC38" i="1"/>
  <c r="BC35" i="1"/>
  <c r="BC30" i="1"/>
  <c r="BC39" i="1"/>
  <c r="BC28" i="1"/>
  <c r="BC37" i="1"/>
  <c r="AK25" i="1"/>
  <c r="BE25" i="1" s="1"/>
  <c r="AB13" i="12" l="1"/>
  <c r="AB19" i="12"/>
  <c r="AD9" i="12"/>
  <c r="D18" i="34"/>
  <c r="K18" i="34"/>
  <c r="AD30" i="34"/>
  <c r="AF30" i="34"/>
  <c r="AF26" i="34"/>
  <c r="AD26" i="34"/>
  <c r="AD22" i="34"/>
  <c r="AF22" i="34"/>
  <c r="AF29" i="34"/>
  <c r="AD29" i="34"/>
  <c r="AD25" i="34"/>
  <c r="AF25" i="34"/>
  <c r="AD21" i="34"/>
  <c r="AF21" i="34"/>
  <c r="AD32" i="34"/>
  <c r="AF32" i="34"/>
  <c r="AF28" i="34"/>
  <c r="AD28" i="34"/>
  <c r="AF24" i="34"/>
  <c r="AD24" i="34"/>
  <c r="AF20" i="34"/>
  <c r="AD20" i="34"/>
  <c r="AF31" i="34"/>
  <c r="AD31" i="34"/>
  <c r="AD27" i="34"/>
  <c r="AF27" i="34"/>
  <c r="AD23" i="34"/>
  <c r="AF23" i="34"/>
  <c r="AF19" i="34"/>
  <c r="AD19" i="34"/>
  <c r="AU21" i="1"/>
  <c r="AT25" i="1"/>
  <c r="AU25" i="1"/>
  <c r="U34" i="12"/>
  <c r="V34" i="12" s="1"/>
  <c r="W34" i="12" s="1"/>
  <c r="AS25" i="1"/>
  <c r="AT21" i="1"/>
  <c r="AS21" i="1"/>
  <c r="U35" i="12"/>
  <c r="V35" i="12" s="1"/>
  <c r="W35" i="12" s="1"/>
  <c r="U37" i="12"/>
  <c r="V37" i="12" s="1"/>
  <c r="W37" i="12" s="1"/>
  <c r="U33" i="12"/>
  <c r="V33" i="12" s="1"/>
  <c r="W33" i="12" s="1"/>
  <c r="AR25" i="1"/>
  <c r="R32" i="12"/>
  <c r="AR21" i="1"/>
  <c r="CA25" i="1"/>
  <c r="CT25" i="1"/>
  <c r="CT21" i="1"/>
  <c r="CA21" i="1"/>
  <c r="AO21" i="1"/>
  <c r="CR25" i="1"/>
  <c r="CD25" i="1"/>
  <c r="CW25" i="1"/>
  <c r="DD25" i="1"/>
  <c r="CY25" i="1"/>
  <c r="CZ25" i="1"/>
  <c r="CS25" i="1"/>
  <c r="CZ20" i="1"/>
  <c r="DD20" i="1"/>
  <c r="CW20" i="1"/>
  <c r="AQ20" i="1"/>
  <c r="AP20" i="1"/>
  <c r="AK24" i="1"/>
  <c r="BE24" i="1" s="1"/>
  <c r="AK36" i="1"/>
  <c r="BE36" i="1" s="1"/>
  <c r="AK28" i="1"/>
  <c r="BE28" i="1" s="1"/>
  <c r="AK35" i="1"/>
  <c r="BE35" i="1" s="1"/>
  <c r="AK27" i="1"/>
  <c r="BE27" i="1" s="1"/>
  <c r="AK34" i="1"/>
  <c r="BE34" i="1" s="1"/>
  <c r="AK26" i="1"/>
  <c r="BE26" i="1" s="1"/>
  <c r="AK33" i="1"/>
  <c r="BE33" i="1" s="1"/>
  <c r="AK32" i="1"/>
  <c r="BE32" i="1" s="1"/>
  <c r="AK39" i="1"/>
  <c r="BE39" i="1" s="1"/>
  <c r="AK31" i="1"/>
  <c r="BE31" i="1" s="1"/>
  <c r="AK38" i="1"/>
  <c r="BE38" i="1" s="1"/>
  <c r="AK30" i="1"/>
  <c r="BE30" i="1" s="1"/>
  <c r="AK23" i="1"/>
  <c r="BE23" i="1" s="1"/>
  <c r="AK37" i="1"/>
  <c r="BE37" i="1" s="1"/>
  <c r="AK29" i="1"/>
  <c r="BE29" i="1" s="1"/>
  <c r="AK22" i="1"/>
  <c r="BE22" i="1" s="1"/>
  <c r="J13" i="12" l="1"/>
  <c r="AB9" i="12"/>
  <c r="D3" i="34"/>
  <c r="F3" i="34" s="1"/>
  <c r="G3" i="34" s="1"/>
  <c r="AL18" i="34"/>
  <c r="AJ15" i="12"/>
  <c r="AZ20" i="1"/>
  <c r="AY20" i="1"/>
  <c r="F13" i="34" s="1"/>
  <c r="CJ20" i="1"/>
  <c r="D15" i="34"/>
  <c r="K15" i="34"/>
  <c r="AU29" i="1"/>
  <c r="R22" i="34"/>
  <c r="D22" i="34"/>
  <c r="AU37" i="1"/>
  <c r="D30" i="34"/>
  <c r="R30" i="34"/>
  <c r="AL30" i="34"/>
  <c r="K16" i="34"/>
  <c r="D16" i="34"/>
  <c r="AL16" i="34"/>
  <c r="R23" i="34"/>
  <c r="D23" i="34"/>
  <c r="AL23" i="34"/>
  <c r="AU38" i="1"/>
  <c r="D31" i="34"/>
  <c r="R31" i="34"/>
  <c r="AL31" i="34"/>
  <c r="D20" i="12"/>
  <c r="R24" i="34"/>
  <c r="D24" i="34"/>
  <c r="AU39" i="1"/>
  <c r="D32" i="34"/>
  <c r="R32" i="34"/>
  <c r="AL32" i="34"/>
  <c r="R25" i="34"/>
  <c r="D25" i="34"/>
  <c r="AL25" i="34"/>
  <c r="AU33" i="1"/>
  <c r="R26" i="34"/>
  <c r="D26" i="34"/>
  <c r="AL26" i="34"/>
  <c r="R19" i="34"/>
  <c r="D19" i="34"/>
  <c r="AU34" i="1"/>
  <c r="R27" i="34"/>
  <c r="D27" i="34"/>
  <c r="AL27" i="34"/>
  <c r="D20" i="34"/>
  <c r="R20" i="34"/>
  <c r="AU35" i="1"/>
  <c r="R28" i="34"/>
  <c r="D28" i="34"/>
  <c r="AL28" i="34"/>
  <c r="AU28" i="1"/>
  <c r="R21" i="34"/>
  <c r="D21" i="34"/>
  <c r="D29" i="34"/>
  <c r="R29" i="34"/>
  <c r="AL29" i="34"/>
  <c r="K17" i="34"/>
  <c r="D17" i="34"/>
  <c r="G14" i="34"/>
  <c r="M14" i="34"/>
  <c r="CK20" i="1"/>
  <c r="AK15" i="1"/>
  <c r="CJ15" i="1"/>
  <c r="AU30" i="1"/>
  <c r="CK15" i="1"/>
  <c r="CI20" i="1"/>
  <c r="CI15" i="1"/>
  <c r="AU23" i="1"/>
  <c r="D14" i="6"/>
  <c r="D14" i="12"/>
  <c r="D5" i="6"/>
  <c r="AT24" i="1"/>
  <c r="AU24" i="1"/>
  <c r="AT32" i="1"/>
  <c r="AU32" i="1"/>
  <c r="AT26" i="1"/>
  <c r="AU26" i="1"/>
  <c r="AU22" i="1"/>
  <c r="AT27" i="1"/>
  <c r="AU27" i="1"/>
  <c r="AT31" i="1"/>
  <c r="AU31" i="1"/>
  <c r="AT36" i="1"/>
  <c r="AU36" i="1"/>
  <c r="AT29" i="1"/>
  <c r="CA29" i="1"/>
  <c r="DA29" i="1"/>
  <c r="CT29" i="1"/>
  <c r="AT35" i="1"/>
  <c r="DA35" i="1"/>
  <c r="CT35" i="1"/>
  <c r="CA35" i="1"/>
  <c r="AT30" i="1"/>
  <c r="DA30" i="1"/>
  <c r="CT30" i="1"/>
  <c r="CA30" i="1"/>
  <c r="AT34" i="1"/>
  <c r="CA34" i="1"/>
  <c r="CT34" i="1"/>
  <c r="DA34" i="1"/>
  <c r="AT33" i="1"/>
  <c r="DA33" i="1"/>
  <c r="CT33" i="1"/>
  <c r="CA33" i="1"/>
  <c r="AT28" i="1"/>
  <c r="DA28" i="1"/>
  <c r="CT28" i="1"/>
  <c r="CA28" i="1"/>
  <c r="I39" i="12"/>
  <c r="AT22" i="1"/>
  <c r="AS34" i="1"/>
  <c r="AS24" i="1"/>
  <c r="D81" i="19"/>
  <c r="AS37" i="1"/>
  <c r="AT37" i="1"/>
  <c r="AS23" i="1"/>
  <c r="AT23" i="1"/>
  <c r="AS38" i="1"/>
  <c r="AT38" i="1"/>
  <c r="AS39" i="1"/>
  <c r="AT39" i="1"/>
  <c r="BC21" i="1"/>
  <c r="D13" i="12"/>
  <c r="D82" i="19"/>
  <c r="CK31" i="1"/>
  <c r="AS22" i="1"/>
  <c r="AS29" i="1"/>
  <c r="AS30" i="1"/>
  <c r="AS31" i="1"/>
  <c r="AS32" i="1"/>
  <c r="AS33" i="1"/>
  <c r="AS26" i="1"/>
  <c r="AS27" i="1"/>
  <c r="AS35" i="1"/>
  <c r="AS28" i="1"/>
  <c r="AS36" i="1"/>
  <c r="Q26" i="12"/>
  <c r="Q27" i="12"/>
  <c r="I38" i="12"/>
  <c r="I36" i="12"/>
  <c r="T36" i="12"/>
  <c r="U36" i="12" s="1"/>
  <c r="V36" i="12" s="1"/>
  <c r="CK29" i="1"/>
  <c r="CK30" i="1"/>
  <c r="I37" i="12"/>
  <c r="I35" i="12"/>
  <c r="J18" i="12"/>
  <c r="CN34" i="1"/>
  <c r="CJ34" i="1"/>
  <c r="CI34" i="1"/>
  <c r="CA26" i="1"/>
  <c r="CT26" i="1"/>
  <c r="DA26" i="1"/>
  <c r="CJ36" i="1"/>
  <c r="D30" i="12"/>
  <c r="J30" i="12"/>
  <c r="CN36" i="1"/>
  <c r="CI36" i="1"/>
  <c r="D29" i="12"/>
  <c r="J29" i="12"/>
  <c r="CI35" i="1"/>
  <c r="CN35" i="1"/>
  <c r="CJ35" i="1"/>
  <c r="I34" i="12"/>
  <c r="DA27" i="1"/>
  <c r="CT27" i="1"/>
  <c r="CA27" i="1"/>
  <c r="I32" i="12"/>
  <c r="D27" i="12"/>
  <c r="J27" i="12"/>
  <c r="J26" i="12"/>
  <c r="D26" i="12"/>
  <c r="J28" i="12"/>
  <c r="D28" i="12"/>
  <c r="I33" i="12"/>
  <c r="J14" i="12"/>
  <c r="I31" i="12"/>
  <c r="D17" i="12"/>
  <c r="J17" i="12"/>
  <c r="D15" i="12"/>
  <c r="J15" i="12"/>
  <c r="J20" i="12"/>
  <c r="D25" i="12"/>
  <c r="J25" i="12"/>
  <c r="J23" i="12"/>
  <c r="D23" i="12"/>
  <c r="AR28" i="1"/>
  <c r="D19" i="12"/>
  <c r="J22" i="12"/>
  <c r="D24" i="12"/>
  <c r="J24" i="12"/>
  <c r="J21" i="12"/>
  <c r="AR27" i="1"/>
  <c r="D18" i="12"/>
  <c r="D16" i="12"/>
  <c r="J16" i="12"/>
  <c r="AR37" i="1"/>
  <c r="AR23" i="1"/>
  <c r="AR30" i="1"/>
  <c r="AR38" i="1"/>
  <c r="AR39" i="1"/>
  <c r="AR32" i="1"/>
  <c r="AR26" i="1"/>
  <c r="Q23" i="12"/>
  <c r="AR36" i="1"/>
  <c r="AR24" i="1"/>
  <c r="AR22" i="1"/>
  <c r="AR31" i="1"/>
  <c r="DA31" i="1"/>
  <c r="CT31" i="1"/>
  <c r="CA31" i="1"/>
  <c r="AQ29" i="1"/>
  <c r="AR29" i="1"/>
  <c r="AQ35" i="1"/>
  <c r="AR35" i="1"/>
  <c r="AQ34" i="1"/>
  <c r="AR34" i="1"/>
  <c r="AQ33" i="1"/>
  <c r="AR33" i="1"/>
  <c r="AQ32" i="1"/>
  <c r="DA32" i="1"/>
  <c r="CA32" i="1"/>
  <c r="CT32" i="1"/>
  <c r="T32" i="12"/>
  <c r="AQ39" i="1"/>
  <c r="CT39" i="1"/>
  <c r="CA39" i="1"/>
  <c r="DA39" i="1"/>
  <c r="AQ36" i="1"/>
  <c r="DA36" i="1"/>
  <c r="CT36" i="1"/>
  <c r="CA36" i="1"/>
  <c r="CT23" i="1"/>
  <c r="CA23" i="1"/>
  <c r="AQ37" i="1"/>
  <c r="CT37" i="1"/>
  <c r="CA37" i="1"/>
  <c r="DA37" i="1"/>
  <c r="AQ38" i="1"/>
  <c r="DA38" i="1"/>
  <c r="CT38" i="1"/>
  <c r="CA38" i="1"/>
  <c r="CK25" i="1"/>
  <c r="CT24" i="1"/>
  <c r="CA24" i="1"/>
  <c r="T31" i="12"/>
  <c r="U31" i="12" s="1"/>
  <c r="V31" i="12" s="1"/>
  <c r="W31" i="12" s="1"/>
  <c r="CK22" i="1"/>
  <c r="CN21" i="1"/>
  <c r="D80" i="19"/>
  <c r="CK28" i="1"/>
  <c r="D64" i="19"/>
  <c r="D79" i="19"/>
  <c r="D56" i="19"/>
  <c r="D61" i="19"/>
  <c r="D69" i="19"/>
  <c r="D76" i="19"/>
  <c r="D73" i="19"/>
  <c r="D58" i="19"/>
  <c r="D68" i="19"/>
  <c r="D67" i="19"/>
  <c r="D65" i="19"/>
  <c r="D59" i="19"/>
  <c r="D54" i="19"/>
  <c r="D71" i="19"/>
  <c r="D57" i="19"/>
  <c r="D63" i="19"/>
  <c r="D62" i="19"/>
  <c r="D60" i="19"/>
  <c r="D77" i="19"/>
  <c r="D78" i="19"/>
  <c r="D75" i="19"/>
  <c r="D55" i="19"/>
  <c r="D70" i="19"/>
  <c r="D72" i="19"/>
  <c r="D53" i="19"/>
  <c r="D66" i="19"/>
  <c r="D52" i="19"/>
  <c r="D74" i="19"/>
  <c r="CJ32" i="1"/>
  <c r="CN32" i="1"/>
  <c r="CI32" i="1"/>
  <c r="DD23" i="1"/>
  <c r="CY23" i="1"/>
  <c r="CZ23" i="1"/>
  <c r="CS23" i="1"/>
  <c r="DD24" i="1"/>
  <c r="CY24" i="1"/>
  <c r="CZ24" i="1"/>
  <c r="CS24" i="1"/>
  <c r="CW23" i="1"/>
  <c r="CR23" i="1"/>
  <c r="CD23" i="1"/>
  <c r="CW24" i="1"/>
  <c r="CR24" i="1"/>
  <c r="CD24" i="1"/>
  <c r="CS21" i="1"/>
  <c r="CZ21" i="1"/>
  <c r="CZ32" i="1"/>
  <c r="CS32" i="1"/>
  <c r="CZ28" i="1"/>
  <c r="CS28" i="1"/>
  <c r="CZ37" i="1"/>
  <c r="CS37" i="1"/>
  <c r="CZ33" i="1"/>
  <c r="CS33" i="1"/>
  <c r="CZ31" i="1"/>
  <c r="CS31" i="1"/>
  <c r="CS35" i="1"/>
  <c r="CZ35" i="1"/>
  <c r="CJ28" i="1"/>
  <c r="CZ39" i="1"/>
  <c r="CS39" i="1"/>
  <c r="CS26" i="1"/>
  <c r="CZ26" i="1"/>
  <c r="CS27" i="1"/>
  <c r="CZ27" i="1"/>
  <c r="CS36" i="1"/>
  <c r="CZ36" i="1"/>
  <c r="CZ22" i="1"/>
  <c r="CS22" i="1"/>
  <c r="CZ30" i="1"/>
  <c r="CS30" i="1"/>
  <c r="CZ34" i="1"/>
  <c r="CS34" i="1"/>
  <c r="CZ29" i="1"/>
  <c r="CS29" i="1"/>
  <c r="CZ38" i="1"/>
  <c r="CS38" i="1"/>
  <c r="DD22" i="1"/>
  <c r="CY22" i="1"/>
  <c r="CW22" i="1"/>
  <c r="CR22" i="1"/>
  <c r="CD22" i="1"/>
  <c r="DD29" i="1"/>
  <c r="CY29" i="1"/>
  <c r="CW29" i="1"/>
  <c r="CR29" i="1"/>
  <c r="CD29" i="1"/>
  <c r="DD37" i="1"/>
  <c r="CY37" i="1"/>
  <c r="CW37" i="1"/>
  <c r="CR37" i="1"/>
  <c r="CD37" i="1"/>
  <c r="AQ30" i="1"/>
  <c r="DD30" i="1"/>
  <c r="CY30" i="1"/>
  <c r="CD30" i="1"/>
  <c r="CW30" i="1"/>
  <c r="CR30" i="1"/>
  <c r="DD38" i="1"/>
  <c r="CY38" i="1"/>
  <c r="CD38" i="1"/>
  <c r="CR38" i="1"/>
  <c r="CW38" i="1"/>
  <c r="AQ31" i="1"/>
  <c r="DD31" i="1"/>
  <c r="CY31" i="1"/>
  <c r="CR31" i="1"/>
  <c r="CD31" i="1"/>
  <c r="CW31" i="1"/>
  <c r="DD39" i="1"/>
  <c r="CY39" i="1"/>
  <c r="CW39" i="1"/>
  <c r="CR39" i="1"/>
  <c r="CD39" i="1"/>
  <c r="DD32" i="1"/>
  <c r="CY32" i="1"/>
  <c r="CW32" i="1"/>
  <c r="CD32" i="1"/>
  <c r="CR32" i="1"/>
  <c r="DD33" i="1"/>
  <c r="CY33" i="1"/>
  <c r="CW33" i="1"/>
  <c r="CD33" i="1"/>
  <c r="CR33" i="1"/>
  <c r="AQ26" i="1"/>
  <c r="DD26" i="1"/>
  <c r="CW26" i="1"/>
  <c r="CY26" i="1"/>
  <c r="CR26" i="1"/>
  <c r="CD26" i="1"/>
  <c r="DD34" i="1"/>
  <c r="CW34" i="1"/>
  <c r="CY34" i="1"/>
  <c r="CR34" i="1"/>
  <c r="CD34" i="1"/>
  <c r="DD27" i="1"/>
  <c r="CW27" i="1"/>
  <c r="CY27" i="1"/>
  <c r="CR27" i="1"/>
  <c r="CD27" i="1"/>
  <c r="DD35" i="1"/>
  <c r="CW35" i="1"/>
  <c r="CY35" i="1"/>
  <c r="CR35" i="1"/>
  <c r="CD35" i="1"/>
  <c r="DD21" i="1"/>
  <c r="CW21" i="1"/>
  <c r="CY21" i="1"/>
  <c r="CR21" i="1"/>
  <c r="CD21" i="1"/>
  <c r="DD28" i="1"/>
  <c r="CW28" i="1"/>
  <c r="CY28" i="1"/>
  <c r="CR28" i="1"/>
  <c r="CD28" i="1"/>
  <c r="DD36" i="1"/>
  <c r="CW36" i="1"/>
  <c r="CY36" i="1"/>
  <c r="CR36" i="1"/>
  <c r="CD36" i="1"/>
  <c r="CK23" i="1"/>
  <c r="Q16" i="12"/>
  <c r="CK24" i="1"/>
  <c r="CI31" i="1"/>
  <c r="CN31" i="1"/>
  <c r="CJ31" i="1"/>
  <c r="CJ33" i="1"/>
  <c r="CI33" i="1"/>
  <c r="CN33" i="1"/>
  <c r="Q17" i="12"/>
  <c r="AQ23" i="1"/>
  <c r="BY23" i="1"/>
  <c r="BZ23" i="1"/>
  <c r="CI23" i="1"/>
  <c r="CJ23" i="1"/>
  <c r="CN23" i="1"/>
  <c r="AQ22" i="1"/>
  <c r="BY22" i="1"/>
  <c r="BZ22" i="1"/>
  <c r="CI30" i="1"/>
  <c r="CN30" i="1"/>
  <c r="CJ30" i="1"/>
  <c r="CK26" i="1"/>
  <c r="AQ21" i="1"/>
  <c r="BY21" i="1"/>
  <c r="BZ21" i="1"/>
  <c r="CK27" i="1"/>
  <c r="Q21" i="12"/>
  <c r="BY39" i="1"/>
  <c r="BZ39" i="1"/>
  <c r="BY26" i="1"/>
  <c r="BZ26" i="1"/>
  <c r="BY30" i="1"/>
  <c r="BZ30" i="1"/>
  <c r="BY34" i="1"/>
  <c r="BZ34" i="1"/>
  <c r="BY29" i="1"/>
  <c r="BZ29" i="1"/>
  <c r="BY38" i="1"/>
  <c r="BZ38" i="1"/>
  <c r="BY37" i="1"/>
  <c r="BZ37" i="1"/>
  <c r="BY33" i="1"/>
  <c r="BZ33" i="1"/>
  <c r="BY24" i="1"/>
  <c r="BZ24" i="1"/>
  <c r="D23" i="6"/>
  <c r="BY25" i="1"/>
  <c r="BZ25" i="1"/>
  <c r="BY32" i="1"/>
  <c r="BZ32" i="1"/>
  <c r="BY28" i="1"/>
  <c r="BZ28" i="1"/>
  <c r="BY27" i="1"/>
  <c r="BZ27" i="1"/>
  <c r="BY36" i="1"/>
  <c r="BZ36" i="1"/>
  <c r="BY31" i="1"/>
  <c r="BZ31" i="1"/>
  <c r="BY35" i="1"/>
  <c r="BZ35" i="1"/>
  <c r="CN25" i="1"/>
  <c r="CI25" i="1"/>
  <c r="CJ25" i="1"/>
  <c r="Q18" i="12"/>
  <c r="CI24" i="1"/>
  <c r="CN24" i="1"/>
  <c r="CJ24" i="1"/>
  <c r="CN28" i="1"/>
  <c r="CI28" i="1"/>
  <c r="CI29" i="1"/>
  <c r="CN29" i="1"/>
  <c r="CJ29" i="1"/>
  <c r="CI21" i="1"/>
  <c r="CJ21" i="1"/>
  <c r="AQ25" i="1"/>
  <c r="CI22" i="1"/>
  <c r="CN22" i="1"/>
  <c r="CJ22" i="1"/>
  <c r="Q14" i="12"/>
  <c r="CK21" i="1"/>
  <c r="AQ28" i="1"/>
  <c r="AQ27" i="1"/>
  <c r="CN27" i="1"/>
  <c r="CI27" i="1"/>
  <c r="CJ27" i="1"/>
  <c r="CI26" i="1"/>
  <c r="CN26" i="1"/>
  <c r="CJ26" i="1"/>
  <c r="Q22" i="12"/>
  <c r="Q13" i="12"/>
  <c r="AP23" i="1"/>
  <c r="Q28" i="12"/>
  <c r="L19" i="12"/>
  <c r="Q15" i="12"/>
  <c r="Q24" i="12"/>
  <c r="Q19" i="12"/>
  <c r="AP21" i="1"/>
  <c r="AZ21" i="1" s="1"/>
  <c r="Q25" i="12"/>
  <c r="G20" i="12"/>
  <c r="Q20" i="12"/>
  <c r="D3" i="12"/>
  <c r="L20" i="12"/>
  <c r="AP32" i="1"/>
  <c r="AP22" i="1"/>
  <c r="AP24" i="1"/>
  <c r="AP25" i="1"/>
  <c r="AP36" i="1"/>
  <c r="AP35" i="1"/>
  <c r="AO25" i="1"/>
  <c r="AP26" i="1"/>
  <c r="AO24" i="1"/>
  <c r="AP34" i="1"/>
  <c r="AO23" i="1"/>
  <c r="AP28" i="1"/>
  <c r="AP27" i="1"/>
  <c r="AP31" i="1"/>
  <c r="AP30" i="1"/>
  <c r="AO22" i="1"/>
  <c r="AP39" i="1"/>
  <c r="AP38" i="1"/>
  <c r="AP33" i="1"/>
  <c r="AP29" i="1"/>
  <c r="AP37" i="1"/>
  <c r="D44" i="6" l="1" a="1"/>
  <c r="D44" i="6" s="1"/>
  <c r="D43" i="6" a="1"/>
  <c r="D43" i="6" s="1"/>
  <c r="AJ14" i="12"/>
  <c r="AZ37" i="1"/>
  <c r="AY37" i="1"/>
  <c r="AY21" i="1"/>
  <c r="L14" i="34" s="1"/>
  <c r="AZ29" i="1"/>
  <c r="AY29" i="1"/>
  <c r="AZ26" i="1"/>
  <c r="AY26" i="1"/>
  <c r="AZ34" i="1"/>
  <c r="AY34" i="1"/>
  <c r="AZ38" i="1"/>
  <c r="AY38" i="1"/>
  <c r="AZ35" i="1"/>
  <c r="AY35" i="1"/>
  <c r="AZ39" i="1"/>
  <c r="AY39" i="1"/>
  <c r="AZ36" i="1"/>
  <c r="AY36" i="1"/>
  <c r="AZ32" i="1"/>
  <c r="AY32" i="1"/>
  <c r="AZ28" i="1"/>
  <c r="AY28" i="1"/>
  <c r="AZ33" i="1"/>
  <c r="AY33" i="1"/>
  <c r="AZ30" i="1"/>
  <c r="AY30" i="1"/>
  <c r="AZ31" i="1"/>
  <c r="AY31" i="1"/>
  <c r="AZ27" i="1"/>
  <c r="AY27" i="1"/>
  <c r="D35" i="6" a="1"/>
  <c r="D35" i="6" s="1"/>
  <c r="D34" i="6" a="1"/>
  <c r="D34" i="6" s="1"/>
  <c r="AL17" i="34"/>
  <c r="AL21" i="34"/>
  <c r="AJ18" i="12"/>
  <c r="AL20" i="34"/>
  <c r="AJ17" i="12"/>
  <c r="AL19" i="34"/>
  <c r="AJ16" i="12"/>
  <c r="AL24" i="34"/>
  <c r="AJ20" i="12"/>
  <c r="AL22" i="34"/>
  <c r="AJ19" i="12"/>
  <c r="AL15" i="34"/>
  <c r="AJ13" i="12"/>
  <c r="D41" i="6"/>
  <c r="D61" i="6" s="1"/>
  <c r="BB20" i="1"/>
  <c r="L13" i="34"/>
  <c r="G15" i="34"/>
  <c r="M15" i="34"/>
  <c r="AY22" i="1"/>
  <c r="BB22" i="1" s="1"/>
  <c r="M16" i="34"/>
  <c r="G16" i="34"/>
  <c r="AY23" i="1"/>
  <c r="BB23" i="1" s="1"/>
  <c r="G17" i="34"/>
  <c r="M17" i="34"/>
  <c r="AY24" i="1"/>
  <c r="G18" i="34"/>
  <c r="M18" i="34"/>
  <c r="AY25" i="1"/>
  <c r="C15" i="30"/>
  <c r="AG9" i="1" a="1"/>
  <c r="AG9" i="1" s="1"/>
  <c r="D7" i="6" a="1"/>
  <c r="D7" i="6" s="1"/>
  <c r="D80" i="6" s="1"/>
  <c r="CD16" i="1"/>
  <c r="CY16" i="1"/>
  <c r="CW16" i="1"/>
  <c r="DD16" i="1"/>
  <c r="CT16" i="1"/>
  <c r="BY16" i="1"/>
  <c r="CR16" i="1"/>
  <c r="CZ16" i="1"/>
  <c r="CS16" i="1"/>
  <c r="DA16" i="1"/>
  <c r="D15" i="30"/>
  <c r="E15" i="30" s="1"/>
  <c r="CK16" i="1"/>
  <c r="CK14" i="1"/>
  <c r="CJ16" i="1"/>
  <c r="CJ14" i="1"/>
  <c r="CI14" i="1"/>
  <c r="CI16" i="1"/>
  <c r="D17" i="6" a="1"/>
  <c r="D17" i="6" s="1"/>
  <c r="D8" i="6" a="1"/>
  <c r="D8" i="6" s="1"/>
  <c r="D16" i="6" a="1"/>
  <c r="D16" i="6" s="1"/>
  <c r="G61" i="6"/>
  <c r="E61" i="6"/>
  <c r="D25" i="6" a="1"/>
  <c r="D25" i="6" s="1"/>
  <c r="AI13" i="1" a="1"/>
  <c r="AI13" i="1" s="1"/>
  <c r="D26" i="6" a="1"/>
  <c r="D26" i="6" s="1"/>
  <c r="BB35" i="1"/>
  <c r="BF35" i="1" s="1"/>
  <c r="I28" i="34" s="1"/>
  <c r="J28" i="34" s="1"/>
  <c r="AZ24" i="1"/>
  <c r="M39" i="12"/>
  <c r="T30" i="12"/>
  <c r="U30" i="12" s="1"/>
  <c r="V30" i="12" s="1"/>
  <c r="W30" i="12" s="1"/>
  <c r="R23" i="12"/>
  <c r="AZ22" i="1"/>
  <c r="AZ23" i="1"/>
  <c r="AZ25" i="1"/>
  <c r="S13" i="12"/>
  <c r="T29" i="12"/>
  <c r="U29" i="12" s="1"/>
  <c r="V29" i="12" s="1"/>
  <c r="W29" i="12" s="1"/>
  <c r="S18" i="12"/>
  <c r="L21" i="12"/>
  <c r="G21" i="12"/>
  <c r="M38" i="12"/>
  <c r="N38" i="12" s="1"/>
  <c r="O38" i="12" s="1"/>
  <c r="P38" i="12" s="1"/>
  <c r="M36" i="12"/>
  <c r="W36" i="12"/>
  <c r="M37" i="12"/>
  <c r="T28" i="12"/>
  <c r="M35" i="12"/>
  <c r="M32" i="12"/>
  <c r="M34" i="12"/>
  <c r="M31" i="12"/>
  <c r="N31" i="12" s="1"/>
  <c r="O31" i="12" s="1"/>
  <c r="P31" i="12" s="1"/>
  <c r="M33" i="12"/>
  <c r="U32" i="12"/>
  <c r="V32" i="12" s="1"/>
  <c r="S16" i="12"/>
  <c r="S15" i="12"/>
  <c r="BC23" i="1"/>
  <c r="S14" i="12"/>
  <c r="S19" i="12"/>
  <c r="L23" i="12"/>
  <c r="G23" i="12"/>
  <c r="CN14" i="1"/>
  <c r="BZ16" i="1"/>
  <c r="CA16" i="1"/>
  <c r="S17" i="12"/>
  <c r="G19" i="12"/>
  <c r="L17" i="12"/>
  <c r="G17" i="12"/>
  <c r="L22" i="12"/>
  <c r="G22" i="12"/>
  <c r="L28" i="12"/>
  <c r="G28" i="12"/>
  <c r="R28" i="12"/>
  <c r="F3" i="12"/>
  <c r="G3" i="12" s="1"/>
  <c r="L13" i="12"/>
  <c r="G13" i="12"/>
  <c r="R24" i="12"/>
  <c r="L15" i="12"/>
  <c r="G15" i="12"/>
  <c r="L14" i="12"/>
  <c r="G14" i="12"/>
  <c r="L16" i="12"/>
  <c r="G16" i="12"/>
  <c r="G18" i="12"/>
  <c r="L18" i="12"/>
  <c r="L27" i="12"/>
  <c r="G27" i="12"/>
  <c r="L24" i="12"/>
  <c r="G24" i="12"/>
  <c r="BC22" i="1"/>
  <c r="BC25" i="1"/>
  <c r="BC24" i="1"/>
  <c r="L105" i="6" l="1" a="1"/>
  <c r="L105" i="6" s="1"/>
  <c r="D13" i="20"/>
  <c r="BW48" i="1"/>
  <c r="L76" i="6" a="1"/>
  <c r="L76" i="6" s="1"/>
  <c r="D11" i="20"/>
  <c r="F14" i="34"/>
  <c r="AL9" i="34"/>
  <c r="D45" i="6" s="1"/>
  <c r="D137" i="6"/>
  <c r="AY17" i="1"/>
  <c r="AJ9" i="12"/>
  <c r="D42" i="6" s="1"/>
  <c r="L17" i="21" s="1"/>
  <c r="F27" i="34"/>
  <c r="S27" i="34"/>
  <c r="S26" i="34"/>
  <c r="F26" i="34"/>
  <c r="BB21" i="1"/>
  <c r="S29" i="34"/>
  <c r="F29" i="34"/>
  <c r="S19" i="34"/>
  <c r="F19" i="34"/>
  <c r="S20" i="34"/>
  <c r="F20" i="34"/>
  <c r="F21" i="34"/>
  <c r="S21" i="34"/>
  <c r="S32" i="34"/>
  <c r="F32" i="34"/>
  <c r="S22" i="34"/>
  <c r="F22" i="34"/>
  <c r="F24" i="34"/>
  <c r="S24" i="34"/>
  <c r="F28" i="34"/>
  <c r="S28" i="34"/>
  <c r="F25" i="34"/>
  <c r="S25" i="34"/>
  <c r="F30" i="34"/>
  <c r="S30" i="34"/>
  <c r="S23" i="34"/>
  <c r="F23" i="34"/>
  <c r="F31" i="34"/>
  <c r="S31" i="34"/>
  <c r="BF20" i="1"/>
  <c r="I13" i="34" s="1"/>
  <c r="J13" i="34" s="1"/>
  <c r="F18" i="34"/>
  <c r="L18" i="34"/>
  <c r="L17" i="34"/>
  <c r="F17" i="34"/>
  <c r="L16" i="34"/>
  <c r="F16" i="34"/>
  <c r="L15" i="34"/>
  <c r="F15" i="34"/>
  <c r="C17" i="30"/>
  <c r="D17" i="30" s="1"/>
  <c r="E17" i="30" s="1"/>
  <c r="BR182" i="1"/>
  <c r="BR181" i="1"/>
  <c r="BR164" i="1"/>
  <c r="BR20" i="1"/>
  <c r="BW47" i="1"/>
  <c r="BW20" i="1"/>
  <c r="C18" i="30"/>
  <c r="D18" i="30" s="1"/>
  <c r="E18" i="30" s="1"/>
  <c r="BW51" i="1"/>
  <c r="BR159" i="1"/>
  <c r="BR126" i="1"/>
  <c r="BR155" i="1"/>
  <c r="BR156" i="1"/>
  <c r="BR154" i="1"/>
  <c r="BR153" i="1"/>
  <c r="BR152" i="1"/>
  <c r="BR78" i="1"/>
  <c r="BW50" i="1"/>
  <c r="BR149" i="1"/>
  <c r="BW49" i="1"/>
  <c r="E137" i="6"/>
  <c r="E80" i="6"/>
  <c r="G137" i="6"/>
  <c r="G80" i="6"/>
  <c r="BR129" i="1"/>
  <c r="BW43" i="1"/>
  <c r="BR88" i="1"/>
  <c r="BR90" i="1"/>
  <c r="BR144" i="1"/>
  <c r="BR145" i="1"/>
  <c r="BR146" i="1"/>
  <c r="BR150" i="1"/>
  <c r="BR100" i="1"/>
  <c r="BW46" i="1"/>
  <c r="BR107" i="1"/>
  <c r="BR105" i="1"/>
  <c r="BW44" i="1"/>
  <c r="BR74" i="1"/>
  <c r="BR49" i="1"/>
  <c r="BR53" i="1"/>
  <c r="BR115" i="1"/>
  <c r="BW45" i="1"/>
  <c r="BR102" i="1"/>
  <c r="BR121" i="1"/>
  <c r="BR87" i="1"/>
  <c r="BR76" i="1"/>
  <c r="BR124" i="1"/>
  <c r="BR110" i="1"/>
  <c r="BR77" i="1"/>
  <c r="BR51" i="1"/>
  <c r="BR113" i="1"/>
  <c r="BR56" i="1"/>
  <c r="BR54" i="1"/>
  <c r="BR108" i="1"/>
  <c r="BR114" i="1"/>
  <c r="BR75" i="1"/>
  <c r="BR111" i="1"/>
  <c r="BR73" i="1"/>
  <c r="BR141" i="1"/>
  <c r="BR120" i="1"/>
  <c r="BR109" i="1"/>
  <c r="BR140" i="1"/>
  <c r="BR72" i="1"/>
  <c r="BF23" i="1"/>
  <c r="I16" i="34" s="1"/>
  <c r="J16" i="34" s="1"/>
  <c r="BB33" i="1"/>
  <c r="BF33" i="1" s="1"/>
  <c r="BR112" i="1"/>
  <c r="BR91" i="1"/>
  <c r="BR106" i="1"/>
  <c r="BR128" i="1"/>
  <c r="BR79" i="1"/>
  <c r="BR127" i="1"/>
  <c r="BR41" i="1"/>
  <c r="BR94" i="1"/>
  <c r="BR96" i="1"/>
  <c r="BB30" i="1"/>
  <c r="BF30" i="1" s="1"/>
  <c r="BR69" i="1"/>
  <c r="BR59" i="1"/>
  <c r="BR135" i="1"/>
  <c r="BR70" i="1"/>
  <c r="BR71" i="1"/>
  <c r="BR61" i="1"/>
  <c r="BR42" i="1"/>
  <c r="BR62" i="1"/>
  <c r="BR133" i="1"/>
  <c r="BR84" i="1"/>
  <c r="BR81" i="1"/>
  <c r="BR137" i="1"/>
  <c r="BR132" i="1"/>
  <c r="BR95" i="1"/>
  <c r="BR118" i="1"/>
  <c r="BR103" i="1"/>
  <c r="BR65" i="1"/>
  <c r="BR116" i="1"/>
  <c r="BR63" i="1"/>
  <c r="BR134" i="1"/>
  <c r="BR67" i="1"/>
  <c r="BR83" i="1"/>
  <c r="BR85" i="1"/>
  <c r="BR86" i="1"/>
  <c r="BR55" i="1"/>
  <c r="BR60" i="1"/>
  <c r="BR130" i="1"/>
  <c r="BR66" i="1"/>
  <c r="BR131" i="1"/>
  <c r="BR138" i="1"/>
  <c r="BR80" i="1"/>
  <c r="BR68" i="1"/>
  <c r="BR125" i="1"/>
  <c r="BR82" i="1"/>
  <c r="BR104" i="1"/>
  <c r="BR64" i="1"/>
  <c r="BR57" i="1"/>
  <c r="BR119" i="1"/>
  <c r="BR117" i="1"/>
  <c r="BR58" i="1"/>
  <c r="BR97" i="1"/>
  <c r="BR98" i="1"/>
  <c r="BR89" i="1"/>
  <c r="BR45" i="1"/>
  <c r="BR123" i="1"/>
  <c r="BR99" i="1"/>
  <c r="BR93" i="1"/>
  <c r="BR47" i="1"/>
  <c r="BR136" i="1"/>
  <c r="BR142" i="1"/>
  <c r="BR40" i="1"/>
  <c r="BR92" i="1"/>
  <c r="BR101" i="1"/>
  <c r="BR52" i="1"/>
  <c r="BR50" i="1"/>
  <c r="BR122" i="1"/>
  <c r="BR44" i="1"/>
  <c r="BR46" i="1"/>
  <c r="BR43" i="1"/>
  <c r="BR139" i="1"/>
  <c r="BR48" i="1"/>
  <c r="BR143" i="1"/>
  <c r="BB29" i="1"/>
  <c r="BF29" i="1" s="1"/>
  <c r="N39" i="12"/>
  <c r="O39" i="12" s="1"/>
  <c r="AI39" i="12" s="1"/>
  <c r="AK39" i="12" s="1"/>
  <c r="BB31" i="1"/>
  <c r="BF31" i="1" s="1"/>
  <c r="R26" i="12"/>
  <c r="AI38" i="12"/>
  <c r="AK38" i="12" s="1"/>
  <c r="BW36" i="1"/>
  <c r="R27" i="12"/>
  <c r="R25" i="12"/>
  <c r="N36" i="12"/>
  <c r="O36" i="12" s="1"/>
  <c r="P36" i="12" s="1"/>
  <c r="BW39" i="1"/>
  <c r="BW33" i="1"/>
  <c r="U28" i="12"/>
  <c r="V28" i="12" s="1"/>
  <c r="W28" i="12" s="1"/>
  <c r="N37" i="12"/>
  <c r="O37" i="12" s="1"/>
  <c r="P37" i="12" s="1"/>
  <c r="F21" i="12"/>
  <c r="F25" i="12"/>
  <c r="BF22" i="1"/>
  <c r="I15" i="34" s="1"/>
  <c r="J15" i="34" s="1"/>
  <c r="N35" i="12"/>
  <c r="O35" i="12" s="1"/>
  <c r="AI35" i="12" s="1"/>
  <c r="AK35" i="12" s="1"/>
  <c r="K18" i="12"/>
  <c r="K25" i="12"/>
  <c r="I30" i="12"/>
  <c r="F30" i="12"/>
  <c r="K30" i="12"/>
  <c r="K15" i="12"/>
  <c r="K28" i="12"/>
  <c r="F28" i="12"/>
  <c r="F15" i="12"/>
  <c r="BB34" i="1"/>
  <c r="BF34" i="1" s="1"/>
  <c r="F27" i="12"/>
  <c r="K27" i="12"/>
  <c r="F26" i="12"/>
  <c r="K26" i="12"/>
  <c r="N34" i="12"/>
  <c r="O34" i="12" s="1"/>
  <c r="P34" i="12" s="1"/>
  <c r="N32" i="12"/>
  <c r="O32" i="12" s="1"/>
  <c r="AI32" i="12" s="1"/>
  <c r="AK32" i="12" s="1"/>
  <c r="F29" i="12"/>
  <c r="K29" i="12"/>
  <c r="W32" i="12"/>
  <c r="AI31" i="12"/>
  <c r="AK31" i="12" s="1"/>
  <c r="K21" i="12"/>
  <c r="BB28" i="1"/>
  <c r="BF28" i="1" s="1"/>
  <c r="K19" i="12"/>
  <c r="F19" i="12"/>
  <c r="F22" i="12"/>
  <c r="K22" i="12"/>
  <c r="K13" i="12"/>
  <c r="F13" i="12"/>
  <c r="N33" i="12"/>
  <c r="O33" i="12" s="1"/>
  <c r="AI33" i="12" s="1"/>
  <c r="AK33" i="12" s="1"/>
  <c r="F14" i="12"/>
  <c r="K14" i="12"/>
  <c r="F18" i="12"/>
  <c r="F16" i="12"/>
  <c r="K16" i="12"/>
  <c r="F23" i="12"/>
  <c r="K23" i="12"/>
  <c r="BB26" i="1"/>
  <c r="BF26" i="1" s="1"/>
  <c r="K17" i="12"/>
  <c r="F17" i="12"/>
  <c r="BB32" i="1"/>
  <c r="BF32" i="1" s="1"/>
  <c r="I25" i="34" s="1"/>
  <c r="J25" i="34" s="1"/>
  <c r="F20" i="12"/>
  <c r="K20" i="12"/>
  <c r="K24" i="12"/>
  <c r="F24" i="12"/>
  <c r="BB36" i="1"/>
  <c r="BF36" i="1" s="1"/>
  <c r="I29" i="34" s="1"/>
  <c r="J29" i="34" s="1"/>
  <c r="BB24" i="1"/>
  <c r="BF24" i="1" s="1"/>
  <c r="I17" i="34" s="1"/>
  <c r="J17" i="34" s="1"/>
  <c r="R18" i="12"/>
  <c r="R16" i="12"/>
  <c r="BB39" i="1"/>
  <c r="BF39" i="1" s="1"/>
  <c r="I32" i="34" s="1"/>
  <c r="J32" i="34" s="1"/>
  <c r="R14" i="12"/>
  <c r="F23" i="6"/>
  <c r="R15" i="12"/>
  <c r="BH35" i="1"/>
  <c r="U28" i="34" s="1"/>
  <c r="D48" i="19"/>
  <c r="D47" i="19"/>
  <c r="BW22" i="1"/>
  <c r="R20" i="12"/>
  <c r="I28" i="12"/>
  <c r="D51" i="19"/>
  <c r="D49" i="19"/>
  <c r="BW26" i="1"/>
  <c r="BW23" i="1"/>
  <c r="BR28" i="1"/>
  <c r="BR29" i="1"/>
  <c r="BW21" i="1"/>
  <c r="F17" i="6" a="1"/>
  <c r="F17" i="6" s="1"/>
  <c r="F8" i="6" a="1"/>
  <c r="F8" i="6" s="1"/>
  <c r="F35" i="6" a="1"/>
  <c r="F35" i="6" s="1"/>
  <c r="F26" i="6" a="1"/>
  <c r="F26" i="6" s="1"/>
  <c r="BB27" i="1"/>
  <c r="BF27" i="1" s="1"/>
  <c r="I20" i="34" s="1"/>
  <c r="J20" i="34" s="1"/>
  <c r="BR32" i="1"/>
  <c r="BW27" i="1"/>
  <c r="BR21" i="1"/>
  <c r="BR33" i="1"/>
  <c r="R13" i="12"/>
  <c r="BW29" i="1"/>
  <c r="BR31" i="1"/>
  <c r="BW31" i="1"/>
  <c r="BW34" i="1"/>
  <c r="BR34" i="1"/>
  <c r="BW30" i="1"/>
  <c r="BW28" i="1"/>
  <c r="BW38" i="1"/>
  <c r="BW35" i="1"/>
  <c r="BW32" i="1"/>
  <c r="R17" i="12"/>
  <c r="R21" i="12"/>
  <c r="BR36" i="1"/>
  <c r="BR23" i="1"/>
  <c r="BR27" i="1"/>
  <c r="F16" i="6" a="1"/>
  <c r="F16" i="6" s="1"/>
  <c r="F34" i="6" a="1"/>
  <c r="F34" i="6" s="1"/>
  <c r="F7" i="6" a="1"/>
  <c r="F7" i="6" s="1"/>
  <c r="F25" i="6" a="1"/>
  <c r="F25" i="6" s="1"/>
  <c r="BR24" i="1"/>
  <c r="R19" i="12"/>
  <c r="BR30" i="1"/>
  <c r="BR39" i="1"/>
  <c r="BR25" i="1"/>
  <c r="BR38" i="1"/>
  <c r="BR37" i="1"/>
  <c r="BW37" i="1"/>
  <c r="BR22" i="1"/>
  <c r="F5" i="6"/>
  <c r="F14" i="6"/>
  <c r="BR35" i="1"/>
  <c r="R22" i="12"/>
  <c r="BB38" i="1"/>
  <c r="BF38" i="1" s="1"/>
  <c r="I31" i="34" s="1"/>
  <c r="J31" i="34" s="1"/>
  <c r="BW24" i="1"/>
  <c r="I29" i="12"/>
  <c r="BB25" i="1"/>
  <c r="BF25" i="1" s="1"/>
  <c r="I18" i="34" s="1"/>
  <c r="J18" i="34" s="1"/>
  <c r="BB37" i="1"/>
  <c r="BF37" i="1" s="1"/>
  <c r="D45" i="19"/>
  <c r="BW25" i="1"/>
  <c r="BR26" i="1"/>
  <c r="D10" i="20" l="1"/>
  <c r="L61" i="6" a="1"/>
  <c r="L61" i="6" s="1"/>
  <c r="L163" i="6" a="1"/>
  <c r="L163" i="6" s="1"/>
  <c r="D13" i="22"/>
  <c r="L337" i="6" a="1"/>
  <c r="L337" i="6" s="1"/>
  <c r="D13" i="23"/>
  <c r="L134" i="6" a="1"/>
  <c r="L134" i="6" s="1"/>
  <c r="D11" i="22"/>
  <c r="L119" i="6" a="1"/>
  <c r="L119" i="6" s="1"/>
  <c r="D10" i="22"/>
  <c r="L308" i="6" a="1"/>
  <c r="L308" i="6" s="1"/>
  <c r="D11" i="23"/>
  <c r="H19" i="23" s="1"/>
  <c r="AK22" i="28" s="1"/>
  <c r="G20" i="20"/>
  <c r="L293" i="6" a="1"/>
  <c r="L293" i="6" s="1"/>
  <c r="D10" i="23"/>
  <c r="E35" i="6" a="1"/>
  <c r="E35" i="6" s="1"/>
  <c r="F140" i="6" s="1"/>
  <c r="L325" i="6" s="1" a="1"/>
  <c r="L325" i="6" s="1"/>
  <c r="E34" i="6" a="1"/>
  <c r="E34" i="6" s="1"/>
  <c r="BH20" i="1"/>
  <c r="BI20" i="1" s="1"/>
  <c r="V28" i="34"/>
  <c r="W28" i="34" s="1"/>
  <c r="AK28" i="34" s="1"/>
  <c r="AM28" i="34" s="1"/>
  <c r="BT35" i="1"/>
  <c r="I30" i="34"/>
  <c r="J30" i="34" s="1"/>
  <c r="BT20" i="1"/>
  <c r="I19" i="34"/>
  <c r="J19" i="34" s="1"/>
  <c r="BH28" i="1"/>
  <c r="U21" i="34" s="1"/>
  <c r="I21" i="34"/>
  <c r="J21" i="34" s="1"/>
  <c r="BT34" i="1"/>
  <c r="I27" i="34"/>
  <c r="J27" i="34" s="1"/>
  <c r="BH31" i="1"/>
  <c r="U24" i="34" s="1"/>
  <c r="V24" i="34" s="1"/>
  <c r="W24" i="34" s="1"/>
  <c r="X24" i="34" s="1"/>
  <c r="I24" i="34"/>
  <c r="J24" i="34" s="1"/>
  <c r="BH29" i="1"/>
  <c r="U22" i="34" s="1"/>
  <c r="I22" i="34"/>
  <c r="J22" i="34" s="1"/>
  <c r="BH30" i="1"/>
  <c r="U23" i="34" s="1"/>
  <c r="V23" i="34" s="1"/>
  <c r="W23" i="34" s="1"/>
  <c r="X23" i="34" s="1"/>
  <c r="I23" i="34"/>
  <c r="J23" i="34" s="1"/>
  <c r="BH33" i="1"/>
  <c r="U26" i="34" s="1"/>
  <c r="V26" i="34" s="1"/>
  <c r="W26" i="34" s="1"/>
  <c r="X26" i="34" s="1"/>
  <c r="I26" i="34"/>
  <c r="J26" i="34" s="1"/>
  <c r="BT47" i="1"/>
  <c r="BT49" i="1"/>
  <c r="BT50" i="1"/>
  <c r="BT51" i="1"/>
  <c r="BT33" i="1"/>
  <c r="BT45" i="1"/>
  <c r="BT43" i="1"/>
  <c r="BT46" i="1"/>
  <c r="BT30" i="1"/>
  <c r="BH32" i="1"/>
  <c r="BT29" i="1"/>
  <c r="D14" i="19"/>
  <c r="P39" i="12"/>
  <c r="BT26" i="1"/>
  <c r="I26" i="12"/>
  <c r="T25" i="12"/>
  <c r="U25" i="12" s="1"/>
  <c r="V25" i="12" s="1"/>
  <c r="W25" i="12" s="1"/>
  <c r="AI36" i="12"/>
  <c r="AK36" i="12" s="1"/>
  <c r="BT31" i="1"/>
  <c r="I27" i="12"/>
  <c r="I25" i="12"/>
  <c r="I21" i="12"/>
  <c r="T24" i="12"/>
  <c r="U24" i="12" s="1"/>
  <c r="V24" i="12" s="1"/>
  <c r="W24" i="12" s="1"/>
  <c r="D43" i="19"/>
  <c r="BH36" i="1"/>
  <c r="U29" i="34" s="1"/>
  <c r="D15" i="19"/>
  <c r="BT28" i="1"/>
  <c r="BH34" i="1"/>
  <c r="AI37" i="12"/>
  <c r="AK37" i="12" s="1"/>
  <c r="BT36" i="1"/>
  <c r="P35" i="12"/>
  <c r="BT32" i="1"/>
  <c r="BH26" i="1"/>
  <c r="U19" i="34" s="1"/>
  <c r="V19" i="34" s="1"/>
  <c r="W19" i="34" s="1"/>
  <c r="X19" i="34" s="1"/>
  <c r="M30" i="12"/>
  <c r="N30" i="12" s="1"/>
  <c r="O30" i="12" s="1"/>
  <c r="I18" i="12"/>
  <c r="D40" i="19"/>
  <c r="AI34" i="12"/>
  <c r="AK34" i="12" s="1"/>
  <c r="I15" i="12"/>
  <c r="I22" i="12"/>
  <c r="P32" i="12"/>
  <c r="I23" i="12"/>
  <c r="I19" i="12"/>
  <c r="D41" i="19"/>
  <c r="P33" i="12"/>
  <c r="I24" i="12"/>
  <c r="I17" i="12"/>
  <c r="I16" i="12"/>
  <c r="I20" i="12"/>
  <c r="E7" i="6" a="1"/>
  <c r="E7" i="6" s="1"/>
  <c r="D83" i="6" s="1"/>
  <c r="L122" i="6" s="1" a="1"/>
  <c r="L122" i="6" s="1"/>
  <c r="E8" i="6" a="1"/>
  <c r="E8" i="6" s="1"/>
  <c r="D140" i="6" s="1"/>
  <c r="L296" i="6" s="1" a="1"/>
  <c r="L296" i="6" s="1"/>
  <c r="E17" i="6" a="1"/>
  <c r="E17" i="6" s="1"/>
  <c r="E140" i="6" s="1"/>
  <c r="L311" i="6" s="1" a="1"/>
  <c r="L311" i="6" s="1"/>
  <c r="E16" i="6" a="1"/>
  <c r="E16" i="6" s="1"/>
  <c r="E83" i="6" s="1"/>
  <c r="L137" i="6" s="1" a="1"/>
  <c r="L137" i="6" s="1"/>
  <c r="E14" i="6"/>
  <c r="E5" i="6"/>
  <c r="D64" i="6" s="1"/>
  <c r="L64" i="6" s="1" a="1"/>
  <c r="L64" i="6" s="1"/>
  <c r="BI35" i="1"/>
  <c r="BJ35" i="1" s="1"/>
  <c r="D37" i="19"/>
  <c r="D24" i="19"/>
  <c r="D13" i="19"/>
  <c r="D16" i="19"/>
  <c r="D7" i="19"/>
  <c r="BH39" i="1"/>
  <c r="U32" i="34" s="1"/>
  <c r="V32" i="34" s="1"/>
  <c r="W32" i="34" s="1"/>
  <c r="X32" i="34" s="1"/>
  <c r="BT39" i="1"/>
  <c r="D33" i="19"/>
  <c r="D28" i="19"/>
  <c r="BT24" i="1"/>
  <c r="BH24" i="1"/>
  <c r="N17" i="34" s="1"/>
  <c r="O17" i="34" s="1"/>
  <c r="P17" i="34" s="1"/>
  <c r="Q17" i="34" s="1"/>
  <c r="D39" i="19"/>
  <c r="BT37" i="1"/>
  <c r="BH37" i="1"/>
  <c r="U30" i="34" s="1"/>
  <c r="V30" i="34" s="1"/>
  <c r="W30" i="34" s="1"/>
  <c r="X30" i="34" s="1"/>
  <c r="M26" i="12"/>
  <c r="N26" i="12" s="1"/>
  <c r="O26" i="12" s="1"/>
  <c r="BT25" i="1"/>
  <c r="BH25" i="1"/>
  <c r="N18" i="34" s="1"/>
  <c r="O18" i="34" s="1"/>
  <c r="P18" i="34" s="1"/>
  <c r="Q18" i="34" s="1"/>
  <c r="BT38" i="1"/>
  <c r="BH38" i="1"/>
  <c r="U31" i="34" s="1"/>
  <c r="V31" i="34" s="1"/>
  <c r="W31" i="34" s="1"/>
  <c r="X31" i="34" s="1"/>
  <c r="D21" i="19"/>
  <c r="BT22" i="1"/>
  <c r="BH22" i="1"/>
  <c r="N15" i="34" s="1"/>
  <c r="O15" i="34" s="1"/>
  <c r="P15" i="34" s="1"/>
  <c r="Q15" i="34" s="1"/>
  <c r="D8" i="19"/>
  <c r="BH27" i="1"/>
  <c r="U20" i="34" s="1"/>
  <c r="V20" i="34" s="1"/>
  <c r="W20" i="34" s="1"/>
  <c r="X20" i="34" s="1"/>
  <c r="D35" i="19"/>
  <c r="BT23" i="1"/>
  <c r="BH23" i="1"/>
  <c r="N16" i="34" s="1"/>
  <c r="O16" i="34" s="1"/>
  <c r="P16" i="34" s="1"/>
  <c r="Q16" i="34" s="1"/>
  <c r="D27" i="19"/>
  <c r="D17" i="19"/>
  <c r="D19" i="19"/>
  <c r="D6" i="19"/>
  <c r="D5" i="19"/>
  <c r="D46" i="19"/>
  <c r="D50" i="19"/>
  <c r="D44" i="19"/>
  <c r="D42" i="19"/>
  <c r="D38" i="19"/>
  <c r="D31" i="19"/>
  <c r="D29" i="19"/>
  <c r="D25" i="19"/>
  <c r="D12" i="19"/>
  <c r="D4" i="19"/>
  <c r="D23" i="19"/>
  <c r="D34" i="19"/>
  <c r="D36" i="19"/>
  <c r="D32" i="19"/>
  <c r="D10" i="19"/>
  <c r="D22" i="19"/>
  <c r="D30" i="19"/>
  <c r="D26" i="19"/>
  <c r="D18" i="19"/>
  <c r="D11" i="19"/>
  <c r="D20" i="19"/>
  <c r="BF21" i="1"/>
  <c r="G14" i="6" s="1"/>
  <c r="E26" i="6" a="1"/>
  <c r="E26" i="6" s="1"/>
  <c r="G140" i="6" s="1"/>
  <c r="L340" i="6" s="1" a="1"/>
  <c r="L340" i="6" s="1"/>
  <c r="E23" i="6"/>
  <c r="G64" i="6" s="1"/>
  <c r="L108" i="6" s="1" a="1"/>
  <c r="L108" i="6" s="1"/>
  <c r="G23" i="6"/>
  <c r="H23" i="6" s="1"/>
  <c r="E25" i="6" a="1"/>
  <c r="E25" i="6" s="1"/>
  <c r="G83" i="6" s="1"/>
  <c r="L166" i="6" s="1" a="1"/>
  <c r="L166" i="6" s="1"/>
  <c r="K45" i="6"/>
  <c r="K42" i="6"/>
  <c r="E64" i="6" l="1"/>
  <c r="L79" i="6" s="1" a="1"/>
  <c r="L79" i="6" s="1"/>
  <c r="H18" i="22"/>
  <c r="AI22" i="28" s="1"/>
  <c r="H17" i="20"/>
  <c r="AJ24" i="28" s="1"/>
  <c r="G17" i="20"/>
  <c r="H20" i="22"/>
  <c r="AI23" i="28" s="1"/>
  <c r="G20" i="22"/>
  <c r="G19" i="23"/>
  <c r="BI31" i="1"/>
  <c r="BJ31" i="1" s="1"/>
  <c r="BK31" i="1" s="1"/>
  <c r="CM27" i="1" s="1"/>
  <c r="BI30" i="1"/>
  <c r="BJ30" i="1" s="1"/>
  <c r="CC30" i="1" s="1"/>
  <c r="BI28" i="1"/>
  <c r="BJ28" i="1" s="1"/>
  <c r="CC28" i="1" s="1"/>
  <c r="BI29" i="1"/>
  <c r="BJ29" i="1" s="1"/>
  <c r="CC29" i="1" s="1"/>
  <c r="X28" i="34"/>
  <c r="BJ20" i="1"/>
  <c r="BL20" i="1" s="1"/>
  <c r="AK16" i="34"/>
  <c r="AM16" i="34" s="1"/>
  <c r="AK20" i="34"/>
  <c r="AM20" i="34" s="1"/>
  <c r="V22" i="34"/>
  <c r="W22" i="34" s="1"/>
  <c r="X22" i="34" s="1"/>
  <c r="AK15" i="34"/>
  <c r="AM15" i="34" s="1"/>
  <c r="AK19" i="34"/>
  <c r="AM19" i="34" s="1"/>
  <c r="V29" i="34"/>
  <c r="W29" i="34" s="1"/>
  <c r="X29" i="34" s="1"/>
  <c r="BI33" i="1"/>
  <c r="BJ33" i="1" s="1"/>
  <c r="DC33" i="1" s="1"/>
  <c r="V21" i="34"/>
  <c r="W21" i="34" s="1"/>
  <c r="X21" i="34" s="1"/>
  <c r="AK24" i="34"/>
  <c r="AM24" i="34" s="1"/>
  <c r="AK17" i="34"/>
  <c r="AM17" i="34" s="1"/>
  <c r="AK31" i="34"/>
  <c r="AM31" i="34" s="1"/>
  <c r="AK32" i="34"/>
  <c r="AM32" i="34" s="1"/>
  <c r="AK23" i="34"/>
  <c r="AM23" i="34" s="1"/>
  <c r="AK18" i="34"/>
  <c r="AM18" i="34" s="1"/>
  <c r="AK26" i="34"/>
  <c r="AM26" i="34" s="1"/>
  <c r="AK30" i="34"/>
  <c r="AM30" i="34" s="1"/>
  <c r="N13" i="34"/>
  <c r="BH21" i="1"/>
  <c r="N14" i="34" s="1"/>
  <c r="I14" i="34"/>
  <c r="BI34" i="1"/>
  <c r="BJ34" i="1" s="1"/>
  <c r="BK34" i="1" s="1"/>
  <c r="BV34" i="1" s="1"/>
  <c r="U27" i="34"/>
  <c r="BI32" i="1"/>
  <c r="BJ32" i="1" s="1"/>
  <c r="BK32" i="1" s="1"/>
  <c r="U25" i="34"/>
  <c r="BI26" i="1"/>
  <c r="BJ26" i="1" s="1"/>
  <c r="CV26" i="1" s="1"/>
  <c r="I23" i="6"/>
  <c r="BT48" i="1"/>
  <c r="BT44" i="1"/>
  <c r="I14" i="12"/>
  <c r="BT27" i="1"/>
  <c r="D9" i="19"/>
  <c r="T13" i="12"/>
  <c r="U13" i="12" s="1"/>
  <c r="V13" i="12" s="1"/>
  <c r="T17" i="12"/>
  <c r="U17" i="12" s="1"/>
  <c r="V17" i="12" s="1"/>
  <c r="W17" i="12" s="1"/>
  <c r="T14" i="12"/>
  <c r="U14" i="12" s="1"/>
  <c r="V14" i="12" s="1"/>
  <c r="W14" i="12" s="1"/>
  <c r="M27" i="12"/>
  <c r="N27" i="12" s="1"/>
  <c r="O27" i="12" s="1"/>
  <c r="P27" i="12" s="1"/>
  <c r="T22" i="12"/>
  <c r="U22" i="12" s="1"/>
  <c r="V22" i="12" s="1"/>
  <c r="M25" i="12"/>
  <c r="N25" i="12" s="1"/>
  <c r="O25" i="12" s="1"/>
  <c r="P25" i="12" s="1"/>
  <c r="T20" i="12"/>
  <c r="U20" i="12" s="1"/>
  <c r="V20" i="12" s="1"/>
  <c r="W20" i="12" s="1"/>
  <c r="M28" i="12"/>
  <c r="N28" i="12" s="1"/>
  <c r="O28" i="12" s="1"/>
  <c r="AI28" i="12" s="1"/>
  <c r="AK28" i="12" s="1"/>
  <c r="T21" i="12"/>
  <c r="U21" i="12" s="1"/>
  <c r="V21" i="12" s="1"/>
  <c r="W21" i="12" s="1"/>
  <c r="T26" i="12"/>
  <c r="U26" i="12" s="1"/>
  <c r="V26" i="12" s="1"/>
  <c r="W26" i="12" s="1"/>
  <c r="T27" i="12"/>
  <c r="U27" i="12" s="1"/>
  <c r="V27" i="12" s="1"/>
  <c r="W27" i="12" s="1"/>
  <c r="M22" i="12"/>
  <c r="N22" i="12" s="1"/>
  <c r="O22" i="12" s="1"/>
  <c r="P22" i="12" s="1"/>
  <c r="M21" i="12"/>
  <c r="N21" i="12" s="1"/>
  <c r="O21" i="12" s="1"/>
  <c r="P21" i="12" s="1"/>
  <c r="M18" i="12"/>
  <c r="N18" i="12" s="1"/>
  <c r="O18" i="12" s="1"/>
  <c r="P18" i="12" s="1"/>
  <c r="BI36" i="1"/>
  <c r="BJ36" i="1" s="1"/>
  <c r="CC36" i="1" s="1"/>
  <c r="M24" i="12"/>
  <c r="N24" i="12" s="1"/>
  <c r="O24" i="12" s="1"/>
  <c r="AI24" i="12" s="1"/>
  <c r="AK24" i="12" s="1"/>
  <c r="I13" i="12"/>
  <c r="T15" i="12"/>
  <c r="U15" i="12" s="1"/>
  <c r="V15" i="12" s="1"/>
  <c r="W15" i="12" s="1"/>
  <c r="M15" i="12"/>
  <c r="N15" i="12" s="1"/>
  <c r="O15" i="12" s="1"/>
  <c r="T16" i="12"/>
  <c r="U16" i="12" s="1"/>
  <c r="V16" i="12" s="1"/>
  <c r="W16" i="12" s="1"/>
  <c r="T23" i="12"/>
  <c r="U23" i="12" s="1"/>
  <c r="V23" i="12" s="1"/>
  <c r="W23" i="12" s="1"/>
  <c r="M19" i="12"/>
  <c r="N19" i="12" s="1"/>
  <c r="O19" i="12" s="1"/>
  <c r="P19" i="12" s="1"/>
  <c r="M29" i="12"/>
  <c r="N29" i="12" s="1"/>
  <c r="O29" i="12" s="1"/>
  <c r="AI29" i="12" s="1"/>
  <c r="AK29" i="12" s="1"/>
  <c r="M20" i="12"/>
  <c r="N20" i="12" s="1"/>
  <c r="O20" i="12" s="1"/>
  <c r="M17" i="12"/>
  <c r="N17" i="12" s="1"/>
  <c r="O17" i="12" s="1"/>
  <c r="AI30" i="12"/>
  <c r="AK30" i="12" s="1"/>
  <c r="P30" i="12"/>
  <c r="M23" i="12"/>
  <c r="N23" i="12" s="1"/>
  <c r="O23" i="12" s="1"/>
  <c r="T18" i="12"/>
  <c r="U18" i="12" s="1"/>
  <c r="T19" i="12"/>
  <c r="U19" i="12" s="1"/>
  <c r="V19" i="12" s="1"/>
  <c r="W19" i="12" s="1"/>
  <c r="CV28" i="1"/>
  <c r="DC28" i="1"/>
  <c r="P26" i="12"/>
  <c r="M16" i="12"/>
  <c r="N16" i="12" s="1"/>
  <c r="O16" i="12" s="1"/>
  <c r="P16" i="12" s="1"/>
  <c r="H14" i="6"/>
  <c r="G5" i="6"/>
  <c r="BL28" i="1"/>
  <c r="BK29" i="1"/>
  <c r="BL32" i="1"/>
  <c r="DC32" i="1"/>
  <c r="CC32" i="1"/>
  <c r="BL35" i="1"/>
  <c r="CV35" i="1"/>
  <c r="DC35" i="1"/>
  <c r="CC35" i="1"/>
  <c r="BI39" i="1"/>
  <c r="BJ39" i="1" s="1"/>
  <c r="BI24" i="1"/>
  <c r="BJ24" i="1" s="1"/>
  <c r="BK35" i="1"/>
  <c r="BV35" i="1" s="1"/>
  <c r="BI27" i="1"/>
  <c r="BJ27" i="1" s="1"/>
  <c r="BI38" i="1"/>
  <c r="BJ38" i="1" s="1"/>
  <c r="BI25" i="1"/>
  <c r="BJ25" i="1" s="1"/>
  <c r="BI23" i="1"/>
  <c r="BJ23" i="1" s="1"/>
  <c r="BI22" i="1"/>
  <c r="BI37" i="1"/>
  <c r="D2" i="19"/>
  <c r="D3" i="19"/>
  <c r="O23" i="6"/>
  <c r="D14" i="23"/>
  <c r="BT21" i="1"/>
  <c r="BF17" i="1"/>
  <c r="D62" i="6" l="1"/>
  <c r="L62" i="6" s="1" a="1"/>
  <c r="L62" i="6" s="1"/>
  <c r="H5" i="6"/>
  <c r="BK28" i="1"/>
  <c r="CV29" i="1"/>
  <c r="DC29" i="1"/>
  <c r="BK30" i="1"/>
  <c r="O13" i="34"/>
  <c r="P13" i="34" s="1"/>
  <c r="AK13" i="34" s="1"/>
  <c r="AM13" i="34" s="1"/>
  <c r="CV32" i="1"/>
  <c r="BL29" i="1"/>
  <c r="CV30" i="1"/>
  <c r="DC30" i="1"/>
  <c r="BL30" i="1"/>
  <c r="CC31" i="1"/>
  <c r="CV31" i="1"/>
  <c r="DC31" i="1"/>
  <c r="BL31" i="1"/>
  <c r="CC33" i="1"/>
  <c r="J9" i="6"/>
  <c r="BL33" i="1"/>
  <c r="AK21" i="34"/>
  <c r="AM21" i="34" s="1"/>
  <c r="BK33" i="1"/>
  <c r="BV33" i="1" s="1"/>
  <c r="AK29" i="34"/>
  <c r="AM29" i="34" s="1"/>
  <c r="AK22" i="34"/>
  <c r="AM22" i="34" s="1"/>
  <c r="CV33" i="1"/>
  <c r="CV20" i="1"/>
  <c r="CC20" i="1"/>
  <c r="BK20" i="1"/>
  <c r="I25" i="6" a="1"/>
  <c r="I25" i="6" s="1"/>
  <c r="G89" i="6" s="1"/>
  <c r="L172" i="6" s="1" a="1"/>
  <c r="L172" i="6" s="1"/>
  <c r="V25" i="34"/>
  <c r="W25" i="34" s="1"/>
  <c r="X25" i="34" s="1"/>
  <c r="J14" i="34"/>
  <c r="I9" i="34"/>
  <c r="D9" i="34" s="1"/>
  <c r="DC34" i="1"/>
  <c r="CC34" i="1"/>
  <c r="CV34" i="1"/>
  <c r="BL34" i="1"/>
  <c r="BU34" i="1" s="1"/>
  <c r="BK26" i="1"/>
  <c r="CM23" i="1" s="1"/>
  <c r="CC26" i="1"/>
  <c r="I14" i="6"/>
  <c r="DC26" i="1"/>
  <c r="BL26" i="1"/>
  <c r="BU20" i="1" s="1"/>
  <c r="V27" i="34"/>
  <c r="W27" i="34" s="1"/>
  <c r="AK27" i="34" s="1"/>
  <c r="AM27" i="34" s="1"/>
  <c r="O14" i="34"/>
  <c r="P14" i="34" s="1"/>
  <c r="Q14" i="34" s="1"/>
  <c r="G35" i="6" a="1"/>
  <c r="G35" i="6" s="1"/>
  <c r="J35" i="6" s="1"/>
  <c r="G34" i="6" a="1"/>
  <c r="G34" i="6" s="1"/>
  <c r="J34" i="6" s="1"/>
  <c r="D63" i="6"/>
  <c r="L63" i="6" s="1" a="1"/>
  <c r="L63" i="6" s="1"/>
  <c r="E10" i="20"/>
  <c r="G70" i="6"/>
  <c r="L114" i="6" s="1" a="1"/>
  <c r="L114" i="6" s="1"/>
  <c r="I9" i="12"/>
  <c r="D9" i="12" s="1"/>
  <c r="W13" i="12"/>
  <c r="U9" i="12"/>
  <c r="BP154" i="1"/>
  <c r="BP150" i="1"/>
  <c r="BP146" i="1"/>
  <c r="BP145" i="1"/>
  <c r="BN145" i="1"/>
  <c r="BN146" i="1"/>
  <c r="BN150" i="1"/>
  <c r="BQ150" i="1"/>
  <c r="BQ145" i="1"/>
  <c r="BQ146" i="1"/>
  <c r="BP90" i="1"/>
  <c r="BN90" i="1"/>
  <c r="BV32" i="1"/>
  <c r="BP141" i="1"/>
  <c r="BN141" i="1"/>
  <c r="BP96" i="1"/>
  <c r="AI17" i="12"/>
  <c r="AK17" i="12" s="1"/>
  <c r="I9" i="6"/>
  <c r="W22" i="12"/>
  <c r="AI20" i="12"/>
  <c r="AK20" i="12" s="1"/>
  <c r="P28" i="12"/>
  <c r="AI26" i="12"/>
  <c r="AK26" i="12" s="1"/>
  <c r="AI21" i="12"/>
  <c r="AK21" i="12" s="1"/>
  <c r="DC36" i="1"/>
  <c r="CV36" i="1"/>
  <c r="BK36" i="1"/>
  <c r="BV36" i="1" s="1"/>
  <c r="BL36" i="1"/>
  <c r="BU36" i="1" s="1"/>
  <c r="O14" i="6"/>
  <c r="I26" i="6" a="1"/>
  <c r="I26" i="6" s="1"/>
  <c r="P17" i="12"/>
  <c r="P29" i="12"/>
  <c r="AI22" i="12"/>
  <c r="AK22" i="12" s="1"/>
  <c r="AI23" i="12"/>
  <c r="AK23" i="12" s="1"/>
  <c r="M13" i="12"/>
  <c r="N13" i="12" s="1"/>
  <c r="AI15" i="12"/>
  <c r="AK15" i="12" s="1"/>
  <c r="I16" i="6" a="1"/>
  <c r="I16" i="6" s="1"/>
  <c r="I17" i="6" a="1"/>
  <c r="I17" i="6" s="1"/>
  <c r="J12" i="6" s="1"/>
  <c r="CC27" i="1"/>
  <c r="CV27" i="1"/>
  <c r="DC27" i="1"/>
  <c r="AI19" i="12"/>
  <c r="AK19" i="12" s="1"/>
  <c r="AI27" i="12"/>
  <c r="AK27" i="12" s="1"/>
  <c r="AI25" i="12"/>
  <c r="AK25" i="12" s="1"/>
  <c r="P23" i="12"/>
  <c r="P15" i="12"/>
  <c r="V18" i="12"/>
  <c r="AI16" i="12"/>
  <c r="AK16" i="12" s="1"/>
  <c r="P24" i="12"/>
  <c r="P20" i="12"/>
  <c r="G25" i="6" a="1"/>
  <c r="G25" i="6" s="1"/>
  <c r="H25" i="6" s="1"/>
  <c r="G8" i="6" a="1"/>
  <c r="G8" i="6" s="1"/>
  <c r="G7" i="6" a="1"/>
  <c r="G7" i="6" s="1"/>
  <c r="G3" i="6" s="1"/>
  <c r="G17" i="6" a="1"/>
  <c r="G17" i="6" s="1"/>
  <c r="G16" i="6" a="1"/>
  <c r="G16" i="6" s="1"/>
  <c r="H16" i="6" s="1"/>
  <c r="M14" i="12"/>
  <c r="BL23" i="1"/>
  <c r="BU50" i="1" s="1"/>
  <c r="CV23" i="1"/>
  <c r="CC23" i="1"/>
  <c r="DC23" i="1"/>
  <c r="DC25" i="1"/>
  <c r="CV25" i="1"/>
  <c r="CC25" i="1"/>
  <c r="CC38" i="1"/>
  <c r="CV38" i="1"/>
  <c r="DC38" i="1"/>
  <c r="DC24" i="1"/>
  <c r="CC24" i="1"/>
  <c r="CV24" i="1"/>
  <c r="CC39" i="1"/>
  <c r="DC39" i="1"/>
  <c r="CV39" i="1"/>
  <c r="DC20" i="1"/>
  <c r="BK23" i="1"/>
  <c r="BV50" i="1" s="1"/>
  <c r="BL25" i="1"/>
  <c r="BK25" i="1"/>
  <c r="BL39" i="1"/>
  <c r="BU32" i="1" s="1"/>
  <c r="BK39" i="1"/>
  <c r="BV39" i="1" s="1"/>
  <c r="BL38" i="1"/>
  <c r="BU33" i="1" s="1"/>
  <c r="BK38" i="1"/>
  <c r="BV38" i="1" s="1"/>
  <c r="BL27" i="1"/>
  <c r="BK27" i="1"/>
  <c r="CM24" i="1" s="1"/>
  <c r="BL24" i="1"/>
  <c r="BK24" i="1"/>
  <c r="BI21" i="1"/>
  <c r="BJ21" i="1" s="1"/>
  <c r="BJ37" i="1"/>
  <c r="BJ22" i="1"/>
  <c r="P23" i="6"/>
  <c r="D85" i="19"/>
  <c r="E14" i="23"/>
  <c r="H22" i="23"/>
  <c r="G22" i="23"/>
  <c r="G26" i="6" a="1"/>
  <c r="G26" i="6" s="1"/>
  <c r="H26" i="6" s="1"/>
  <c r="Q13" i="34" l="1"/>
  <c r="Q9" i="34" s="1"/>
  <c r="K9" i="34" s="1"/>
  <c r="E89" i="6"/>
  <c r="L143" i="6" s="1" a="1"/>
  <c r="L143" i="6" s="1"/>
  <c r="J9" i="34"/>
  <c r="D7" i="34" s="1"/>
  <c r="E7" i="34" s="1"/>
  <c r="BV20" i="1"/>
  <c r="J21" i="6"/>
  <c r="G146" i="6"/>
  <c r="L346" i="6" s="1" a="1"/>
  <c r="L346" i="6" s="1"/>
  <c r="I21" i="6"/>
  <c r="E146" i="6"/>
  <c r="L317" i="6" s="1" a="1"/>
  <c r="L317" i="6" s="1"/>
  <c r="I12" i="6"/>
  <c r="H17" i="6"/>
  <c r="O17" i="6" s="1"/>
  <c r="G12" i="6"/>
  <c r="N14" i="12"/>
  <c r="N9" i="12" s="1"/>
  <c r="J15" i="6" s="1"/>
  <c r="BP26" i="1"/>
  <c r="BV47" i="1"/>
  <c r="AK14" i="34"/>
  <c r="AM14" i="34" s="1"/>
  <c r="X27" i="34"/>
  <c r="X9" i="34" s="1"/>
  <c r="J8" i="6"/>
  <c r="E70" i="6"/>
  <c r="L85" i="6" s="1" a="1"/>
  <c r="L85" i="6" s="1"/>
  <c r="F9" i="34"/>
  <c r="H9" i="34"/>
  <c r="G9" i="34"/>
  <c r="E9" i="34"/>
  <c r="D54" i="6" s="1"/>
  <c r="J7" i="6"/>
  <c r="AK25" i="34"/>
  <c r="AM25" i="34" s="1"/>
  <c r="D81" i="6"/>
  <c r="D138" i="6"/>
  <c r="BQ154" i="1"/>
  <c r="CM22" i="1"/>
  <c r="CM21" i="1"/>
  <c r="CM26" i="1"/>
  <c r="J24" i="6"/>
  <c r="AA9" i="12"/>
  <c r="Y9" i="12"/>
  <c r="Z9" i="12"/>
  <c r="X9" i="12"/>
  <c r="H9" i="12"/>
  <c r="D7" i="12"/>
  <c r="D6" i="6"/>
  <c r="E9" i="12"/>
  <c r="D51" i="6" s="1"/>
  <c r="G9" i="12"/>
  <c r="F6" i="6" s="1"/>
  <c r="F9" i="12"/>
  <c r="BP164" i="1"/>
  <c r="BN164" i="1"/>
  <c r="BQ164" i="1"/>
  <c r="BN108" i="1"/>
  <c r="BN144" i="1"/>
  <c r="BQ153" i="1"/>
  <c r="BN109" i="1"/>
  <c r="BN107" i="1"/>
  <c r="BN153" i="1"/>
  <c r="BN140" i="1"/>
  <c r="BP153" i="1"/>
  <c r="BN111" i="1"/>
  <c r="BP144" i="1"/>
  <c r="BN75" i="1"/>
  <c r="BP107" i="1"/>
  <c r="BO153" i="1"/>
  <c r="BO143" i="1"/>
  <c r="BO111" i="1"/>
  <c r="BO140" i="1"/>
  <c r="BO108" i="1"/>
  <c r="BO104" i="1"/>
  <c r="BO112" i="1"/>
  <c r="BO64" i="1"/>
  <c r="BO82" i="1"/>
  <c r="BO107" i="1"/>
  <c r="BP140" i="1"/>
  <c r="BP75" i="1"/>
  <c r="BQ144" i="1"/>
  <c r="BP111" i="1"/>
  <c r="BO155" i="1"/>
  <c r="BO154" i="1"/>
  <c r="BP108" i="1"/>
  <c r="BN76" i="1"/>
  <c r="BP109" i="1"/>
  <c r="BN154" i="1"/>
  <c r="BP76" i="1"/>
  <c r="T9" i="12"/>
  <c r="R9" i="12"/>
  <c r="S9" i="12"/>
  <c r="Q9" i="12"/>
  <c r="Q7" i="12" s="1"/>
  <c r="BP20" i="1"/>
  <c r="BQ159" i="1"/>
  <c r="BO159" i="1"/>
  <c r="BN159" i="1"/>
  <c r="BO126" i="1"/>
  <c r="BN126" i="1"/>
  <c r="BO138" i="1"/>
  <c r="BO137" i="1"/>
  <c r="BO133" i="1"/>
  <c r="BO129" i="1"/>
  <c r="BO130" i="1"/>
  <c r="BP159" i="1"/>
  <c r="BU47" i="1"/>
  <c r="BP113" i="1"/>
  <c r="BP126" i="1"/>
  <c r="BQ152" i="1"/>
  <c r="BN152" i="1"/>
  <c r="BO152" i="1"/>
  <c r="BP152" i="1"/>
  <c r="BN56" i="1"/>
  <c r="BU51" i="1"/>
  <c r="BN77" i="1"/>
  <c r="BO77" i="1"/>
  <c r="BO78" i="1"/>
  <c r="BO149" i="1"/>
  <c r="BN149" i="1"/>
  <c r="BO59" i="1"/>
  <c r="BO86" i="1"/>
  <c r="BO119" i="1"/>
  <c r="BO124" i="1"/>
  <c r="BO55" i="1"/>
  <c r="BO57" i="1"/>
  <c r="BO58" i="1"/>
  <c r="BP56" i="1"/>
  <c r="BV51" i="1"/>
  <c r="BQ149" i="1"/>
  <c r="BN54" i="1"/>
  <c r="BP53" i="1"/>
  <c r="BP54" i="1"/>
  <c r="BP77" i="1"/>
  <c r="BO60" i="1"/>
  <c r="BO66" i="1"/>
  <c r="BO65" i="1"/>
  <c r="BP149" i="1"/>
  <c r="D78" i="6"/>
  <c r="L74" i="6" s="1" a="1"/>
  <c r="L74" i="6" s="1"/>
  <c r="D77" i="6"/>
  <c r="L73" i="6" s="1" a="1"/>
  <c r="L73" i="6" s="1"/>
  <c r="BV46" i="1"/>
  <c r="BP100" i="1"/>
  <c r="BP105" i="1"/>
  <c r="BN124" i="1"/>
  <c r="BN88" i="1"/>
  <c r="BP49" i="1"/>
  <c r="BN74" i="1"/>
  <c r="BP74" i="1"/>
  <c r="BP124" i="1"/>
  <c r="BP72" i="1"/>
  <c r="BP88" i="1"/>
  <c r="BP115" i="1"/>
  <c r="BP87" i="1"/>
  <c r="BP121" i="1"/>
  <c r="BO105" i="1"/>
  <c r="BO100" i="1"/>
  <c r="BO44" i="1"/>
  <c r="BO87" i="1"/>
  <c r="BO43" i="1"/>
  <c r="BO50" i="1"/>
  <c r="BO81" i="1"/>
  <c r="BO74" i="1"/>
  <c r="BO131" i="1"/>
  <c r="BO52" i="1"/>
  <c r="BO69" i="1"/>
  <c r="BO84" i="1"/>
  <c r="BO114" i="1"/>
  <c r="BO68" i="1"/>
  <c r="BN102" i="1"/>
  <c r="BO102" i="1"/>
  <c r="BN87" i="1"/>
  <c r="BN100" i="1"/>
  <c r="BN105" i="1"/>
  <c r="BQ126" i="1"/>
  <c r="BQ76" i="1"/>
  <c r="BV43" i="1"/>
  <c r="BQ87" i="1"/>
  <c r="BQ107" i="1"/>
  <c r="BQ102" i="1"/>
  <c r="BQ88" i="1"/>
  <c r="BQ105" i="1"/>
  <c r="BQ77" i="1"/>
  <c r="BQ90" i="1"/>
  <c r="BQ100" i="1"/>
  <c r="BQ124" i="1"/>
  <c r="BU43" i="1"/>
  <c r="BQ75" i="1"/>
  <c r="BQ54" i="1"/>
  <c r="BQ74" i="1"/>
  <c r="BU46" i="1"/>
  <c r="BQ108" i="1"/>
  <c r="BQ56" i="1"/>
  <c r="BQ140" i="1"/>
  <c r="BQ141" i="1"/>
  <c r="BQ109" i="1"/>
  <c r="BQ111" i="1"/>
  <c r="H8" i="6"/>
  <c r="BU31" i="1"/>
  <c r="BV23" i="1"/>
  <c r="BP23" i="1"/>
  <c r="BP22" i="1"/>
  <c r="BN41" i="1"/>
  <c r="BN106" i="1"/>
  <c r="BO79" i="1"/>
  <c r="BO118" i="1"/>
  <c r="BO128" i="1"/>
  <c r="BO85" i="1"/>
  <c r="BO46" i="1"/>
  <c r="BO41" i="1"/>
  <c r="BO134" i="1"/>
  <c r="BO127" i="1"/>
  <c r="BO48" i="1"/>
  <c r="BO80" i="1"/>
  <c r="BO106" i="1"/>
  <c r="BO97" i="1"/>
  <c r="BO94" i="1"/>
  <c r="BO95" i="1"/>
  <c r="BO110" i="1"/>
  <c r="BO116" i="1"/>
  <c r="BP41" i="1"/>
  <c r="BV24" i="1"/>
  <c r="BQ41" i="1"/>
  <c r="BQ106" i="1"/>
  <c r="BP106" i="1"/>
  <c r="BV30" i="1"/>
  <c r="BU30" i="1"/>
  <c r="BV31" i="1"/>
  <c r="BP45" i="1"/>
  <c r="BP103" i="1"/>
  <c r="BP125" i="1"/>
  <c r="BN119" i="1"/>
  <c r="BP71" i="1"/>
  <c r="BN59" i="1"/>
  <c r="BN55" i="1"/>
  <c r="BP68" i="1"/>
  <c r="BP47" i="1"/>
  <c r="BP66" i="1"/>
  <c r="BN138" i="1"/>
  <c r="BV26" i="1"/>
  <c r="BQ131" i="1"/>
  <c r="BQ68" i="1"/>
  <c r="BP142" i="1"/>
  <c r="BP70" i="1"/>
  <c r="BP131" i="1"/>
  <c r="BN67" i="1"/>
  <c r="BN70" i="1"/>
  <c r="BP118" i="1"/>
  <c r="BQ67" i="1"/>
  <c r="BQ137" i="1"/>
  <c r="BQ61" i="1"/>
  <c r="BP123" i="1"/>
  <c r="BN116" i="1"/>
  <c r="BN63" i="1"/>
  <c r="BQ69" i="1"/>
  <c r="BQ42" i="1"/>
  <c r="BQ133" i="1"/>
  <c r="BN71" i="1"/>
  <c r="BQ86" i="1"/>
  <c r="BQ57" i="1"/>
  <c r="BN65" i="1"/>
  <c r="BN133" i="1"/>
  <c r="BN82" i="1"/>
  <c r="BN66" i="1"/>
  <c r="BQ118" i="1"/>
  <c r="BQ85" i="1"/>
  <c r="BP40" i="1"/>
  <c r="BP136" i="1"/>
  <c r="BP63" i="1"/>
  <c r="BP69" i="1"/>
  <c r="BP65" i="1"/>
  <c r="BP137" i="1"/>
  <c r="BP116" i="1"/>
  <c r="BQ95" i="1"/>
  <c r="BP89" i="1"/>
  <c r="BN137" i="1"/>
  <c r="BN64" i="1"/>
  <c r="BP42" i="1"/>
  <c r="BP83" i="1"/>
  <c r="BP82" i="1"/>
  <c r="BQ71" i="1"/>
  <c r="BQ64" i="1"/>
  <c r="BQ65" i="1"/>
  <c r="BN68" i="1"/>
  <c r="BN57" i="1"/>
  <c r="BP119" i="1"/>
  <c r="BP133" i="1"/>
  <c r="BP61" i="1"/>
  <c r="BQ66" i="1"/>
  <c r="BQ60" i="1"/>
  <c r="BN95" i="1"/>
  <c r="BP59" i="1"/>
  <c r="BN61" i="1"/>
  <c r="BP67" i="1"/>
  <c r="BP60" i="1"/>
  <c r="BN85" i="1"/>
  <c r="BP55" i="1"/>
  <c r="BQ70" i="1"/>
  <c r="BQ116" i="1"/>
  <c r="BP99" i="1"/>
  <c r="BP57" i="1"/>
  <c r="BP138" i="1"/>
  <c r="BP85" i="1"/>
  <c r="BN42" i="1"/>
  <c r="BQ59" i="1"/>
  <c r="BQ138" i="1"/>
  <c r="BQ119" i="1"/>
  <c r="BV29" i="1"/>
  <c r="BP86" i="1"/>
  <c r="BP95" i="1"/>
  <c r="BN69" i="1"/>
  <c r="BN86" i="1"/>
  <c r="BQ63" i="1"/>
  <c r="BQ55" i="1"/>
  <c r="BN131" i="1"/>
  <c r="BN125" i="1"/>
  <c r="BN60" i="1"/>
  <c r="BN118" i="1"/>
  <c r="BP64" i="1"/>
  <c r="BQ125" i="1"/>
  <c r="BQ82" i="1"/>
  <c r="BQ123" i="1"/>
  <c r="BQ47" i="1"/>
  <c r="BQ40" i="1"/>
  <c r="BQ142" i="1"/>
  <c r="BQ45" i="1"/>
  <c r="BQ89" i="1"/>
  <c r="BQ99" i="1"/>
  <c r="BQ136" i="1"/>
  <c r="BO123" i="1"/>
  <c r="BO40" i="1"/>
  <c r="BN89" i="1"/>
  <c r="BO93" i="1"/>
  <c r="BO142" i="1"/>
  <c r="BN99" i="1"/>
  <c r="BO98" i="1"/>
  <c r="BO136" i="1"/>
  <c r="BO45" i="1"/>
  <c r="BN47" i="1"/>
  <c r="BN123" i="1"/>
  <c r="BO92" i="1"/>
  <c r="BN40" i="1"/>
  <c r="BO47" i="1"/>
  <c r="BO99" i="1"/>
  <c r="BN136" i="1"/>
  <c r="BN45" i="1"/>
  <c r="BN142" i="1"/>
  <c r="BO89" i="1"/>
  <c r="BQ58" i="1"/>
  <c r="BQ97" i="1"/>
  <c r="BQ117" i="1"/>
  <c r="BP58" i="1"/>
  <c r="BP97" i="1"/>
  <c r="BP117" i="1"/>
  <c r="BN97" i="1"/>
  <c r="BN58" i="1"/>
  <c r="BN117" i="1"/>
  <c r="BV25" i="1"/>
  <c r="BQ49" i="1"/>
  <c r="BQ115" i="1"/>
  <c r="BQ53" i="1"/>
  <c r="BQ121" i="1"/>
  <c r="BO115" i="1"/>
  <c r="BN49" i="1"/>
  <c r="BN53" i="1"/>
  <c r="BO51" i="1"/>
  <c r="BO121" i="1"/>
  <c r="BO120" i="1"/>
  <c r="BO53" i="1"/>
  <c r="BO49" i="1"/>
  <c r="BN115" i="1"/>
  <c r="BN121" i="1"/>
  <c r="BU29" i="1"/>
  <c r="BU24" i="1"/>
  <c r="BP34" i="1"/>
  <c r="BP29" i="1"/>
  <c r="BP35" i="1"/>
  <c r="O25" i="6"/>
  <c r="BU25" i="1"/>
  <c r="BU38" i="1"/>
  <c r="BU23" i="1"/>
  <c r="BU39" i="1"/>
  <c r="W18" i="12"/>
  <c r="W9" i="12" s="1"/>
  <c r="AI18" i="12"/>
  <c r="AK18" i="12" s="1"/>
  <c r="O13" i="12"/>
  <c r="B12" i="10"/>
  <c r="BK22" i="1"/>
  <c r="BV49" i="1" s="1"/>
  <c r="DC22" i="1"/>
  <c r="CV22" i="1"/>
  <c r="CC22" i="1"/>
  <c r="BK37" i="1"/>
  <c r="CM25" i="1" s="1"/>
  <c r="CC37" i="1"/>
  <c r="CV37" i="1"/>
  <c r="DC37" i="1"/>
  <c r="BL21" i="1"/>
  <c r="DC21" i="1"/>
  <c r="CC21" i="1"/>
  <c r="CV21" i="1"/>
  <c r="BK21" i="1"/>
  <c r="CM20" i="1" s="1"/>
  <c r="BL37" i="1"/>
  <c r="BL22" i="1"/>
  <c r="BU49" i="1" s="1"/>
  <c r="BP21" i="1"/>
  <c r="O16" i="6"/>
  <c r="O26" i="6"/>
  <c r="I22" i="23"/>
  <c r="J22" i="23"/>
  <c r="H7" i="6"/>
  <c r="AM9" i="34" l="1"/>
  <c r="AM8" i="34" s="1"/>
  <c r="Y7" i="34" s="1"/>
  <c r="D153" i="6"/>
  <c r="L305" i="6" s="1" a="1"/>
  <c r="L305" i="6" s="1"/>
  <c r="E10" i="23"/>
  <c r="D82" i="6"/>
  <c r="E10" i="22"/>
  <c r="C9" i="6"/>
  <c r="C10" i="24" s="1"/>
  <c r="C54" i="6"/>
  <c r="O14" i="12"/>
  <c r="D2" i="34"/>
  <c r="O9" i="34"/>
  <c r="P9" i="34"/>
  <c r="M9" i="34"/>
  <c r="N9" i="34"/>
  <c r="L9" i="34"/>
  <c r="K7" i="34"/>
  <c r="L7" i="34" s="1"/>
  <c r="C18" i="6" s="1"/>
  <c r="D18" i="6" s="1"/>
  <c r="D139" i="6"/>
  <c r="L295" i="6" s="1" a="1"/>
  <c r="L295" i="6" s="1"/>
  <c r="R9" i="34"/>
  <c r="S9" i="34"/>
  <c r="W9" i="34"/>
  <c r="R7" i="34"/>
  <c r="S7" i="34" s="1"/>
  <c r="C27" i="6" s="1"/>
  <c r="V9" i="34"/>
  <c r="T9" i="34"/>
  <c r="U9" i="34"/>
  <c r="L294" i="6" a="1"/>
  <c r="L294" i="6" s="1"/>
  <c r="D4" i="34"/>
  <c r="F4" i="34" s="1"/>
  <c r="G4" i="34" s="1"/>
  <c r="J14" i="6"/>
  <c r="K14" i="6" s="1"/>
  <c r="D118" i="6"/>
  <c r="C16" i="30"/>
  <c r="D16" i="30" s="1"/>
  <c r="E16" i="30" s="1"/>
  <c r="E6" i="6"/>
  <c r="J25" i="6" a="1"/>
  <c r="J25" i="6" s="1"/>
  <c r="BN20" i="1"/>
  <c r="BO20" i="1"/>
  <c r="BQ114" i="1"/>
  <c r="BQ181" i="1"/>
  <c r="BQ182" i="1"/>
  <c r="BP114" i="1"/>
  <c r="BN181" i="1"/>
  <c r="BP181" i="1"/>
  <c r="BP182" i="1"/>
  <c r="BN182" i="1"/>
  <c r="BO91" i="1"/>
  <c r="BP132" i="1"/>
  <c r="BN81" i="1"/>
  <c r="BP81" i="1"/>
  <c r="BN98" i="1"/>
  <c r="BP98" i="1"/>
  <c r="BQ79" i="1"/>
  <c r="BN79" i="1"/>
  <c r="BQ78" i="1"/>
  <c r="BN78" i="1"/>
  <c r="BQ80" i="1"/>
  <c r="BP80" i="1"/>
  <c r="BQ81" i="1"/>
  <c r="BQ98" i="1"/>
  <c r="BN80" i="1"/>
  <c r="BN132" i="1"/>
  <c r="BQ132" i="1"/>
  <c r="BP79" i="1"/>
  <c r="BP78" i="1"/>
  <c r="K9" i="12"/>
  <c r="M9" i="12"/>
  <c r="J9" i="12"/>
  <c r="D15" i="6" s="1"/>
  <c r="AI13" i="12"/>
  <c r="AK13" i="12" s="1"/>
  <c r="P13" i="12"/>
  <c r="CV16" i="1"/>
  <c r="DC16" i="1"/>
  <c r="BV48" i="1"/>
  <c r="BQ20" i="1"/>
  <c r="BN120" i="1"/>
  <c r="BN114" i="1"/>
  <c r="BU48" i="1"/>
  <c r="BN113" i="1"/>
  <c r="BO113" i="1"/>
  <c r="BQ120" i="1"/>
  <c r="BP120" i="1"/>
  <c r="BQ113" i="1"/>
  <c r="BP93" i="1"/>
  <c r="BN155" i="1"/>
  <c r="BN156" i="1"/>
  <c r="BP156" i="1"/>
  <c r="BP155" i="1"/>
  <c r="BQ129" i="1"/>
  <c r="BQ156" i="1"/>
  <c r="BQ155" i="1"/>
  <c r="BN92" i="1"/>
  <c r="BN93" i="1"/>
  <c r="BN128" i="1"/>
  <c r="BP110" i="1"/>
  <c r="BQ93" i="1"/>
  <c r="BQ92" i="1"/>
  <c r="BP91" i="1"/>
  <c r="BP94" i="1"/>
  <c r="BQ103" i="1"/>
  <c r="BQ104" i="1"/>
  <c r="BQ62" i="1"/>
  <c r="BQ91" i="1"/>
  <c r="BN110" i="1"/>
  <c r="BN104" i="1"/>
  <c r="BP62" i="1"/>
  <c r="BQ94" i="1"/>
  <c r="BP104" i="1"/>
  <c r="BN94" i="1"/>
  <c r="BQ110" i="1"/>
  <c r="BO103" i="1"/>
  <c r="BN62" i="1"/>
  <c r="BP92" i="1"/>
  <c r="BN91" i="1"/>
  <c r="BN103" i="1"/>
  <c r="L120" i="6" a="1"/>
  <c r="L120" i="6" s="1"/>
  <c r="D96" i="6"/>
  <c r="L131" i="6" s="1" a="1"/>
  <c r="L131" i="6" s="1"/>
  <c r="BV44" i="1"/>
  <c r="BV45" i="1"/>
  <c r="BP134" i="1"/>
  <c r="BN134" i="1"/>
  <c r="BP128" i="1"/>
  <c r="BN127" i="1"/>
  <c r="BN135" i="1"/>
  <c r="BP130" i="1"/>
  <c r="BQ127" i="1"/>
  <c r="BN73" i="1"/>
  <c r="BP129" i="1"/>
  <c r="BN129" i="1"/>
  <c r="BP73" i="1"/>
  <c r="BN130" i="1"/>
  <c r="BU44" i="1"/>
  <c r="BN72" i="1"/>
  <c r="BQ134" i="1"/>
  <c r="BP127" i="1"/>
  <c r="BQ73" i="1"/>
  <c r="BQ130" i="1"/>
  <c r="BQ135" i="1"/>
  <c r="BQ128" i="1"/>
  <c r="BQ72" i="1"/>
  <c r="BP135" i="1"/>
  <c r="BO72" i="1"/>
  <c r="BO30" i="1"/>
  <c r="BU45" i="1"/>
  <c r="BP84" i="1"/>
  <c r="BQ51" i="1"/>
  <c r="BU26" i="1"/>
  <c r="BQ96" i="1"/>
  <c r="BN83" i="1"/>
  <c r="BV22" i="1"/>
  <c r="BQ83" i="1"/>
  <c r="BN51" i="1"/>
  <c r="BN84" i="1"/>
  <c r="BO83" i="1"/>
  <c r="BQ112" i="1"/>
  <c r="BP112" i="1"/>
  <c r="BP51" i="1"/>
  <c r="BN112" i="1"/>
  <c r="BQ84" i="1"/>
  <c r="BV28" i="1"/>
  <c r="BU28" i="1"/>
  <c r="BQ52" i="1"/>
  <c r="BQ139" i="1"/>
  <c r="BQ48" i="1"/>
  <c r="BQ44" i="1"/>
  <c r="BQ46" i="1"/>
  <c r="BQ101" i="1"/>
  <c r="BQ122" i="1"/>
  <c r="BQ143" i="1"/>
  <c r="BQ50" i="1"/>
  <c r="BQ43" i="1"/>
  <c r="BP37" i="1"/>
  <c r="BP52" i="1"/>
  <c r="BN52" i="1"/>
  <c r="BN46" i="1"/>
  <c r="BN43" i="1"/>
  <c r="BN50" i="1"/>
  <c r="BP50" i="1"/>
  <c r="BN139" i="1"/>
  <c r="BN48" i="1"/>
  <c r="BP122" i="1"/>
  <c r="BN101" i="1"/>
  <c r="BP101" i="1"/>
  <c r="BP139" i="1"/>
  <c r="BP46" i="1"/>
  <c r="BN122" i="1"/>
  <c r="BN143" i="1"/>
  <c r="BP48" i="1"/>
  <c r="BN44" i="1"/>
  <c r="BP43" i="1"/>
  <c r="BP143" i="1"/>
  <c r="BP44" i="1"/>
  <c r="BN96" i="1"/>
  <c r="BO96" i="1"/>
  <c r="BU27" i="1"/>
  <c r="BP28" i="1"/>
  <c r="BV27" i="1"/>
  <c r="BV21" i="1"/>
  <c r="BV37" i="1"/>
  <c r="BP36" i="1"/>
  <c r="BP27" i="1"/>
  <c r="BP32" i="1"/>
  <c r="BP25" i="1"/>
  <c r="BP30" i="1"/>
  <c r="BP33" i="1"/>
  <c r="J23" i="6"/>
  <c r="K23" i="6" s="1"/>
  <c r="L23" i="6" s="1"/>
  <c r="BQ35" i="1"/>
  <c r="BN27" i="1"/>
  <c r="BQ28" i="1"/>
  <c r="BU37" i="1"/>
  <c r="BU35" i="1"/>
  <c r="BO27" i="1"/>
  <c r="BQ25" i="1"/>
  <c r="BO25" i="1"/>
  <c r="BN25" i="1"/>
  <c r="BQ27" i="1"/>
  <c r="BO26" i="1"/>
  <c r="BN26" i="1"/>
  <c r="BQ26" i="1"/>
  <c r="BN28" i="1"/>
  <c r="BO28" i="1"/>
  <c r="BN32" i="1"/>
  <c r="BO32" i="1"/>
  <c r="BO23" i="1"/>
  <c r="BN23" i="1"/>
  <c r="BQ34" i="1"/>
  <c r="BN34" i="1"/>
  <c r="BQ24" i="1"/>
  <c r="BP24" i="1"/>
  <c r="BP38" i="1"/>
  <c r="BO34" i="1"/>
  <c r="BP31" i="1"/>
  <c r="BN29" i="1"/>
  <c r="BN30" i="1"/>
  <c r="BO29" i="1"/>
  <c r="BQ32" i="1"/>
  <c r="BO35" i="1"/>
  <c r="BO33" i="1"/>
  <c r="BN24" i="1"/>
  <c r="BN35" i="1"/>
  <c r="BP39" i="1"/>
  <c r="BO24" i="1"/>
  <c r="BO21" i="1"/>
  <c r="BQ23" i="1"/>
  <c r="BN33" i="1"/>
  <c r="BQ33" i="1"/>
  <c r="BU21" i="1"/>
  <c r="J16" i="6" a="1"/>
  <c r="J16" i="6" s="1"/>
  <c r="K16" i="6" s="1"/>
  <c r="J17" i="6" a="1"/>
  <c r="J17" i="6" s="1"/>
  <c r="BN21" i="1"/>
  <c r="BO31" i="1"/>
  <c r="BN22" i="1"/>
  <c r="BN31" i="1"/>
  <c r="BO36" i="1"/>
  <c r="C17" i="10"/>
  <c r="B17" i="10" s="1"/>
  <c r="BN38" i="1"/>
  <c r="BN39" i="1"/>
  <c r="BO37" i="1"/>
  <c r="BN37" i="1"/>
  <c r="BO38" i="1"/>
  <c r="BN36" i="1"/>
  <c r="BO39" i="1"/>
  <c r="BO22" i="1"/>
  <c r="BQ38" i="1"/>
  <c r="BQ29" i="1"/>
  <c r="BU22" i="1"/>
  <c r="BQ39" i="1"/>
  <c r="BQ30" i="1"/>
  <c r="BQ22" i="1"/>
  <c r="BQ21" i="1"/>
  <c r="BQ31" i="1"/>
  <c r="D4" i="12"/>
  <c r="BQ37" i="1"/>
  <c r="BQ36" i="1"/>
  <c r="F24" i="6"/>
  <c r="J26" i="6" a="1"/>
  <c r="J26" i="6" s="1"/>
  <c r="P14" i="12" l="1"/>
  <c r="P9" i="12" s="1"/>
  <c r="L9" i="12" s="1"/>
  <c r="AI14" i="12"/>
  <c r="AK14" i="12" s="1"/>
  <c r="AK9" i="12" s="1"/>
  <c r="J17" i="22"/>
  <c r="L235" i="6" a="1"/>
  <c r="L235" i="6" s="1"/>
  <c r="D10" i="21"/>
  <c r="H17" i="21" s="1"/>
  <c r="AF9" i="34"/>
  <c r="J36" i="6" s="1"/>
  <c r="K17" i="6"/>
  <c r="L17" i="6" s="1"/>
  <c r="D154" i="6"/>
  <c r="L306" i="6" s="1" a="1"/>
  <c r="L306" i="6" s="1"/>
  <c r="AK9" i="34"/>
  <c r="L14" i="6"/>
  <c r="M14" i="6" s="1"/>
  <c r="Q32" i="6"/>
  <c r="Q41" i="6" s="1"/>
  <c r="D119" i="6"/>
  <c r="E3" i="6"/>
  <c r="G18" i="6"/>
  <c r="H18" i="6" s="1"/>
  <c r="H9" i="6" s="1"/>
  <c r="F18" i="6"/>
  <c r="F9" i="6" s="1"/>
  <c r="E18" i="6"/>
  <c r="E9" i="6" s="1"/>
  <c r="C11" i="24"/>
  <c r="I18" i="6"/>
  <c r="AL8" i="34"/>
  <c r="AK8" i="34"/>
  <c r="AC9" i="34"/>
  <c r="Z9" i="34"/>
  <c r="D55" i="6" s="1"/>
  <c r="AA9" i="34"/>
  <c r="Z7" i="34"/>
  <c r="C45" i="6" s="1"/>
  <c r="Y9" i="34"/>
  <c r="AD9" i="34"/>
  <c r="AE9" i="34"/>
  <c r="AB9" i="34"/>
  <c r="F36" i="6" s="1"/>
  <c r="D9" i="6"/>
  <c r="D99" i="6" s="1"/>
  <c r="E99" i="6"/>
  <c r="D11" i="24" s="1"/>
  <c r="D27" i="6"/>
  <c r="G27" i="6"/>
  <c r="E27" i="6"/>
  <c r="I27" i="6"/>
  <c r="J27" i="6"/>
  <c r="K27" i="6" s="1"/>
  <c r="L27" i="6" s="1"/>
  <c r="F27" i="6"/>
  <c r="C13" i="24"/>
  <c r="D2" i="12"/>
  <c r="CM14" i="1"/>
  <c r="G6" i="6"/>
  <c r="D121" i="6"/>
  <c r="L238" i="6" s="1" a="1"/>
  <c r="L238" i="6" s="1"/>
  <c r="L16" i="6"/>
  <c r="E91" i="6"/>
  <c r="L145" i="6" s="1" a="1"/>
  <c r="L145" i="6" s="1"/>
  <c r="L121" i="6" a="1"/>
  <c r="L121" i="6" s="1"/>
  <c r="D97" i="6"/>
  <c r="L132" i="6" s="1" a="1"/>
  <c r="L132" i="6" s="1"/>
  <c r="G63" i="6"/>
  <c r="L107" i="6" s="1" a="1"/>
  <c r="L107" i="6" s="1"/>
  <c r="G62" i="6"/>
  <c r="J7" i="12"/>
  <c r="M23" i="6"/>
  <c r="Q23" i="6"/>
  <c r="E17" i="10"/>
  <c r="F17" i="10"/>
  <c r="D17" i="10"/>
  <c r="K26" i="6"/>
  <c r="G148" i="6" s="1"/>
  <c r="L348" i="6" s="1" a="1"/>
  <c r="L348" i="6" s="1"/>
  <c r="CC16" i="1"/>
  <c r="V33" i="6"/>
  <c r="C24" i="6"/>
  <c r="I24" i="6"/>
  <c r="D24" i="6"/>
  <c r="F4" i="12"/>
  <c r="G4" i="12" s="1"/>
  <c r="P25" i="6"/>
  <c r="P26" i="6"/>
  <c r="Q26" i="6"/>
  <c r="C6" i="6"/>
  <c r="L106" i="6" l="1" a="1"/>
  <c r="L106" i="6" s="1"/>
  <c r="E13" i="20"/>
  <c r="F61" i="6"/>
  <c r="D12" i="20" s="1"/>
  <c r="G17" i="21"/>
  <c r="K17" i="21" s="1"/>
  <c r="D134" i="6"/>
  <c r="L247" i="6" s="1" a="1"/>
  <c r="L247" i="6" s="1"/>
  <c r="E10" i="21"/>
  <c r="D10" i="24"/>
  <c r="L192" i="6" a="1"/>
  <c r="L192" i="6" s="1"/>
  <c r="AI9" i="12"/>
  <c r="Q33" i="6" s="1"/>
  <c r="Q35" i="6"/>
  <c r="Q37" i="6" s="1"/>
  <c r="E148" i="6"/>
  <c r="L319" i="6" s="1" a="1"/>
  <c r="L319" i="6" s="1"/>
  <c r="L236" i="6" a="1"/>
  <c r="L236" i="6" s="1"/>
  <c r="D120" i="6"/>
  <c r="D135" i="6" s="1"/>
  <c r="L248" i="6" s="1" a="1"/>
  <c r="L248" i="6" s="1"/>
  <c r="E108" i="6"/>
  <c r="L201" i="6" s="1" a="1"/>
  <c r="L201" i="6" s="1"/>
  <c r="G9" i="6"/>
  <c r="E10" i="6"/>
  <c r="E102" i="6"/>
  <c r="L195" i="6" s="1" a="1"/>
  <c r="L195" i="6" s="1"/>
  <c r="J18" i="6"/>
  <c r="K18" i="6" s="1"/>
  <c r="E110" i="6" s="1"/>
  <c r="L203" i="6" s="1" a="1"/>
  <c r="L203" i="6" s="1"/>
  <c r="M27" i="6"/>
  <c r="G101" i="6"/>
  <c r="L223" i="6" s="1" a="1"/>
  <c r="L223" i="6" s="1"/>
  <c r="G100" i="6"/>
  <c r="G108" i="6"/>
  <c r="L230" i="6" s="1" a="1"/>
  <c r="L230" i="6" s="1"/>
  <c r="Q27" i="6"/>
  <c r="P27" i="6"/>
  <c r="G102" i="6"/>
  <c r="L224" i="6" s="1" a="1"/>
  <c r="L224" i="6" s="1"/>
  <c r="D36" i="6"/>
  <c r="E36" i="6"/>
  <c r="G36" i="6" s="1"/>
  <c r="H27" i="6"/>
  <c r="O27" i="6" s="1"/>
  <c r="C55" i="6"/>
  <c r="C36" i="6"/>
  <c r="G99" i="6"/>
  <c r="L177" i="6" a="1"/>
  <c r="L177" i="6" s="1"/>
  <c r="D102" i="6"/>
  <c r="L180" i="6" s="1" a="1"/>
  <c r="L180" i="6" s="1"/>
  <c r="C19" i="30"/>
  <c r="D19" i="30" s="1"/>
  <c r="E19" i="30" s="1"/>
  <c r="F63" i="6"/>
  <c r="F62" i="6"/>
  <c r="E12" i="20" s="1"/>
  <c r="AK8" i="12"/>
  <c r="AJ8" i="12"/>
  <c r="H6" i="6"/>
  <c r="C51" i="6"/>
  <c r="C23" i="30"/>
  <c r="B28" i="30" s="1" a="1"/>
  <c r="G118" i="6"/>
  <c r="G127" i="6"/>
  <c r="L288" i="6" s="1" a="1"/>
  <c r="L288" i="6" s="1"/>
  <c r="M17" i="6"/>
  <c r="E138" i="6"/>
  <c r="E11" i="23" s="1"/>
  <c r="E118" i="6"/>
  <c r="M16" i="6"/>
  <c r="E82" i="6"/>
  <c r="L136" i="6" s="1" a="1"/>
  <c r="L136" i="6" s="1"/>
  <c r="E81" i="6"/>
  <c r="Q21" i="6"/>
  <c r="K15" i="6"/>
  <c r="L15" i="6" s="1"/>
  <c r="L26" i="6"/>
  <c r="M26" i="6" s="1"/>
  <c r="K25" i="6"/>
  <c r="Q34" i="6" s="1"/>
  <c r="K24" i="6"/>
  <c r="E24" i="6"/>
  <c r="G24" i="6" s="1"/>
  <c r="H24" i="6" s="1"/>
  <c r="P16" i="6"/>
  <c r="Q17" i="6"/>
  <c r="Q16" i="6"/>
  <c r="P17" i="6"/>
  <c r="Q25" i="6"/>
  <c r="D100" i="6" l="1"/>
  <c r="E10" i="24" s="1"/>
  <c r="D101" i="6"/>
  <c r="D116" i="6" s="1"/>
  <c r="L190" i="6" s="1" a="1"/>
  <c r="L190" i="6" s="1"/>
  <c r="F80" i="6"/>
  <c r="D12" i="22" s="1"/>
  <c r="Q47" i="6"/>
  <c r="F119" i="6"/>
  <c r="E12" i="21" s="1"/>
  <c r="G91" i="6"/>
  <c r="L174" i="6" s="1" a="1"/>
  <c r="L174" i="6" s="1"/>
  <c r="L25" i="6"/>
  <c r="M25" i="6" s="1"/>
  <c r="L279" i="6" a="1"/>
  <c r="L279" i="6" s="1"/>
  <c r="D13" i="21"/>
  <c r="J17" i="21"/>
  <c r="L250" i="6" a="1"/>
  <c r="L250" i="6" s="1"/>
  <c r="D11" i="21"/>
  <c r="L135" i="6" a="1"/>
  <c r="L135" i="6" s="1"/>
  <c r="E11" i="22"/>
  <c r="I17" i="21"/>
  <c r="L222" i="6" a="1"/>
  <c r="L222" i="6" s="1"/>
  <c r="E13" i="24"/>
  <c r="L221" i="6" a="1"/>
  <c r="L221" i="6" s="1"/>
  <c r="D13" i="24"/>
  <c r="AI8" i="12"/>
  <c r="P33" i="6" s="1"/>
  <c r="L237" i="6" a="1"/>
  <c r="L237" i="6" s="1"/>
  <c r="P36" i="6"/>
  <c r="Q36" i="6"/>
  <c r="F99" i="6" s="1"/>
  <c r="L18" i="6"/>
  <c r="F138" i="6"/>
  <c r="F137" i="6"/>
  <c r="AD6" i="12"/>
  <c r="AD7" i="12" s="1"/>
  <c r="D33" i="6" s="1"/>
  <c r="C42" i="6"/>
  <c r="B28" i="30"/>
  <c r="C28" i="30" s="1" a="1"/>
  <c r="C28" i="30" s="1"/>
  <c r="D28" i="30" s="1"/>
  <c r="G121" i="6"/>
  <c r="L282" i="6" s="1" a="1"/>
  <c r="L282" i="6" s="1"/>
  <c r="L24" i="6"/>
  <c r="G129" i="6"/>
  <c r="L290" i="6" s="1" a="1"/>
  <c r="L290" i="6" s="1"/>
  <c r="G138" i="6"/>
  <c r="E13" i="23" s="1"/>
  <c r="E129" i="6"/>
  <c r="L261" i="6" s="1" a="1"/>
  <c r="L261" i="6" s="1"/>
  <c r="E139" i="6"/>
  <c r="L310" i="6" s="1" a="1"/>
  <c r="L310" i="6" s="1"/>
  <c r="L309" i="6" a="1"/>
  <c r="L309" i="6" s="1"/>
  <c r="J19" i="23"/>
  <c r="I19" i="23"/>
  <c r="Q24" i="6"/>
  <c r="O24" i="6"/>
  <c r="X35" i="6"/>
  <c r="P24" i="6"/>
  <c r="F120" i="6" l="1"/>
  <c r="L179" i="6" a="1"/>
  <c r="L179" i="6" s="1"/>
  <c r="F118" i="6"/>
  <c r="D12" i="21" s="1"/>
  <c r="J18" i="22"/>
  <c r="F139" i="6"/>
  <c r="L324" i="6" s="1" a="1"/>
  <c r="L324" i="6" s="1"/>
  <c r="E12" i="23"/>
  <c r="L322" i="6" a="1"/>
  <c r="L322" i="6" s="1"/>
  <c r="D12" i="23"/>
  <c r="I19" i="21"/>
  <c r="L178" i="6" a="1"/>
  <c r="L178" i="6" s="1"/>
  <c r="D115" i="6"/>
  <c r="L189" i="6" s="1" a="1"/>
  <c r="L189" i="6" s="1"/>
  <c r="E101" i="6"/>
  <c r="L194" i="6" s="1" a="1"/>
  <c r="L194" i="6" s="1"/>
  <c r="D12" i="24"/>
  <c r="M18" i="6"/>
  <c r="E100" i="6"/>
  <c r="E11" i="24" s="1"/>
  <c r="F100" i="6"/>
  <c r="F81" i="6"/>
  <c r="D51" i="30"/>
  <c r="D50" i="30"/>
  <c r="D49" i="30"/>
  <c r="D48" i="30"/>
  <c r="D53" i="30"/>
  <c r="D54" i="30"/>
  <c r="D52" i="30"/>
  <c r="D29" i="30"/>
  <c r="D37" i="30"/>
  <c r="D31" i="30"/>
  <c r="D42" i="30"/>
  <c r="D45" i="30"/>
  <c r="D33" i="30"/>
  <c r="D39" i="30"/>
  <c r="D44" i="30"/>
  <c r="D40" i="30"/>
  <c r="D36" i="30"/>
  <c r="D47" i="30"/>
  <c r="D30" i="30"/>
  <c r="D46" i="30"/>
  <c r="D34" i="30"/>
  <c r="D41" i="30"/>
  <c r="D32" i="30"/>
  <c r="D35" i="30"/>
  <c r="D38" i="30"/>
  <c r="D43" i="30"/>
  <c r="G119" i="6"/>
  <c r="M24" i="6"/>
  <c r="L323" i="6" a="1"/>
  <c r="L323" i="6" s="1"/>
  <c r="F153" i="6"/>
  <c r="L334" i="6" s="1" a="1"/>
  <c r="L334" i="6" s="1"/>
  <c r="L148" i="6" a="1"/>
  <c r="L148" i="6" s="1"/>
  <c r="G82" i="6"/>
  <c r="L165" i="6" s="1" a="1"/>
  <c r="L165" i="6" s="1"/>
  <c r="G81" i="6"/>
  <c r="E120" i="6"/>
  <c r="L252" i="6" s="1" a="1"/>
  <c r="L252" i="6" s="1"/>
  <c r="E119" i="6"/>
  <c r="G139" i="6"/>
  <c r="L339" i="6" s="1" a="1"/>
  <c r="L339" i="6" s="1"/>
  <c r="L338" i="6" a="1"/>
  <c r="L338" i="6" s="1"/>
  <c r="L264" i="6" l="1" a="1"/>
  <c r="L264" i="6" s="1"/>
  <c r="F154" i="6"/>
  <c r="L335" i="6" s="1" a="1"/>
  <c r="L335" i="6" s="1"/>
  <c r="G19" i="21"/>
  <c r="K19" i="21" s="1"/>
  <c r="L251" i="6" a="1"/>
  <c r="L251" i="6" s="1"/>
  <c r="E11" i="21"/>
  <c r="L164" i="6" a="1"/>
  <c r="L164" i="6" s="1"/>
  <c r="E13" i="22"/>
  <c r="J20" i="22" s="1"/>
  <c r="F82" i="6"/>
  <c r="F97" i="6" s="1"/>
  <c r="L161" i="6" s="1" a="1"/>
  <c r="L161" i="6" s="1"/>
  <c r="E12" i="22"/>
  <c r="G120" i="6"/>
  <c r="L281" i="6" s="1" a="1"/>
  <c r="L281" i="6" s="1"/>
  <c r="E13" i="21"/>
  <c r="G19" i="24"/>
  <c r="L206" i="6" a="1"/>
  <c r="L206" i="6" s="1"/>
  <c r="F101" i="6"/>
  <c r="F116" i="6" s="1"/>
  <c r="L219" i="6" s="1" a="1"/>
  <c r="L219" i="6" s="1"/>
  <c r="E12" i="24"/>
  <c r="L193" i="6" a="1"/>
  <c r="L193" i="6" s="1"/>
  <c r="L207" i="6" a="1"/>
  <c r="L207" i="6" s="1"/>
  <c r="H19" i="24"/>
  <c r="F115" i="6"/>
  <c r="L218" i="6" s="1" a="1"/>
  <c r="L218" i="6" s="1"/>
  <c r="L265" i="6" a="1"/>
  <c r="L265" i="6" s="1"/>
  <c r="F134" i="6"/>
  <c r="L276" i="6" s="1" a="1"/>
  <c r="L276" i="6" s="1"/>
  <c r="F135" i="6"/>
  <c r="L277" i="6" s="1" a="1"/>
  <c r="L277" i="6" s="1"/>
  <c r="L266" i="6" a="1"/>
  <c r="L266" i="6" s="1"/>
  <c r="C24" i="30"/>
  <c r="C25" i="30" s="1"/>
  <c r="L280" i="6" a="1"/>
  <c r="L280" i="6" s="1"/>
  <c r="L149" i="6" a="1"/>
  <c r="L149" i="6" s="1"/>
  <c r="F96" i="6"/>
  <c r="L160" i="6" s="1" a="1"/>
  <c r="L160" i="6" s="1"/>
  <c r="J17" i="20"/>
  <c r="I17" i="20"/>
  <c r="L150" i="6" l="1" a="1"/>
  <c r="L150" i="6" s="1"/>
  <c r="L208" i="6" a="1"/>
  <c r="L208" i="6" s="1"/>
  <c r="I18" i="21"/>
  <c r="J19" i="24"/>
  <c r="I19" i="24"/>
  <c r="I17" i="22"/>
  <c r="I18" i="23" l="1"/>
  <c r="J18" i="23"/>
  <c r="I17" i="24" l="1"/>
  <c r="J17" i="24"/>
  <c r="P18" i="6" l="1"/>
  <c r="Q18" i="6"/>
  <c r="X36" i="6"/>
  <c r="O18" i="6" l="1"/>
  <c r="P14" i="6"/>
  <c r="Q14" i="6"/>
  <c r="K19" i="6" l="1"/>
  <c r="E72" i="6"/>
  <c r="L87" i="6" s="1" a="1"/>
  <c r="L87" i="6" s="1"/>
  <c r="L92" i="6" l="1" a="1"/>
  <c r="L92" i="6" s="1"/>
  <c r="L91" i="6" a="1"/>
  <c r="L91" i="6" s="1"/>
  <c r="L90" i="6" a="1"/>
  <c r="L90" i="6" s="1"/>
  <c r="E63" i="6"/>
  <c r="L78" i="6" s="1" a="1"/>
  <c r="L78" i="6" s="1"/>
  <c r="E62" i="6"/>
  <c r="X32" i="6"/>
  <c r="L77" i="6" l="1" a="1"/>
  <c r="L77" i="6" s="1"/>
  <c r="E11" i="20"/>
  <c r="H19" i="20"/>
  <c r="G19" i="20"/>
  <c r="F77" i="6"/>
  <c r="L102" i="6" s="1" a="1"/>
  <c r="L102" i="6" s="1"/>
  <c r="F78" i="6"/>
  <c r="L103" i="6" s="1" a="1"/>
  <c r="L103" i="6" s="1"/>
  <c r="I15" i="6"/>
  <c r="E15" i="6"/>
  <c r="E121" i="6" s="1"/>
  <c r="L253" i="6" s="1" a="1"/>
  <c r="L253" i="6" s="1"/>
  <c r="C15" i="6"/>
  <c r="F15" i="6"/>
  <c r="J18" i="20" l="1"/>
  <c r="I18" i="20"/>
  <c r="I19" i="6"/>
  <c r="E127" i="6"/>
  <c r="L259" i="6" s="1" a="1"/>
  <c r="L259" i="6" s="1"/>
  <c r="G15" i="6"/>
  <c r="M15" i="6" s="1"/>
  <c r="Q15" i="6" l="1"/>
  <c r="P15" i="6"/>
  <c r="H15" i="6"/>
  <c r="H18" i="21" l="1"/>
  <c r="G18" i="21"/>
  <c r="O15" i="6"/>
  <c r="H21" i="23" l="1"/>
  <c r="AK23" i="28" s="1"/>
  <c r="G21" i="23"/>
  <c r="G18" i="20"/>
  <c r="H18" i="20"/>
  <c r="H20" i="20"/>
  <c r="AJ23" i="28" s="1"/>
  <c r="H17" i="22"/>
  <c r="AI24" i="28" s="1"/>
  <c r="G17" i="22"/>
  <c r="G18" i="22"/>
  <c r="G18" i="23"/>
  <c r="H18" i="23"/>
  <c r="AK24" i="28" s="1"/>
  <c r="AJ22" i="28" l="1"/>
  <c r="AI26" i="28" s="1" a="1"/>
  <c r="AI26" i="28" s="1"/>
  <c r="H17" i="24"/>
  <c r="G17" i="24"/>
  <c r="I18" i="22" l="1"/>
  <c r="J20" i="20"/>
  <c r="I20" i="20"/>
  <c r="J19" i="21" l="1"/>
  <c r="I18" i="24"/>
  <c r="J18" i="24"/>
  <c r="I20" i="24"/>
  <c r="J20" i="24"/>
  <c r="H19" i="21"/>
  <c r="H20" i="21"/>
  <c r="G20" i="21"/>
  <c r="G20" i="23" l="1"/>
  <c r="H20" i="23"/>
  <c r="J18" i="21"/>
  <c r="G20" i="24"/>
  <c r="H20" i="24"/>
  <c r="J21" i="23"/>
  <c r="I21" i="23"/>
  <c r="I20" i="23"/>
  <c r="J20" i="23"/>
  <c r="I20" i="21"/>
  <c r="J20" i="21"/>
  <c r="G19" i="22" l="1"/>
  <c r="H19" i="22"/>
  <c r="J19" i="22"/>
  <c r="I19" i="22"/>
  <c r="I20" i="22"/>
  <c r="G18" i="24" l="1"/>
  <c r="H18" i="24"/>
  <c r="I19" i="20" l="1"/>
  <c r="J19" i="20"/>
  <c r="C7" i="10" l="1"/>
  <c r="C6" i="10"/>
  <c r="C8" i="10"/>
  <c r="F8" i="10" l="1"/>
  <c r="E8" i="10"/>
  <c r="D8" i="10"/>
  <c r="E6" i="10"/>
  <c r="F6" i="10"/>
  <c r="D6" i="10"/>
  <c r="F7" i="10"/>
  <c r="E7" i="10"/>
  <c r="D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tc={658A9509-8331-45DA-95DC-24B5214489F7}</author>
    <author>tc={73C7630A-390A-4D3C-BBF3-9965510ACA30}</author>
    <author>tc={C8C68185-7428-45C1-8C27-67422BD0B5F6}</author>
    <author>tc={9FD801BC-717C-49C0-8C00-443689FA64BA}</author>
    <author>tc={8F3CE814-8ACD-4F48-94E6-8CB1E53F0C41}</author>
  </authors>
  <commentList>
    <comment ref="X85" authorId="0" shapeId="0" xr:uid="{658A9509-8331-45DA-95DC-24B5214489F7}">
      <text>
        <t>[Threaded comment]
Your version of Excel allows you to read this threaded comment; however, any edits to it will get removed if the file is opened in a newer version of Excel. Learn more: https://go.microsoft.com/fwlink/?linkid=870924
Comment:
    This was 2 - but this causes issues in the ‘Changes’ tab - as the one in the previous quarter was 4</t>
      </text>
    </comment>
    <comment ref="U88" authorId="1" shapeId="0" xr:uid="{73C7630A-390A-4D3C-BBF3-9965510ACA30}">
      <text>
        <t>[Threaded comment]
Your version of Excel allows you to read this threaded comment; however, any edits to it will get removed if the file is opened in a newer version of Excel. Learn more: https://go.microsoft.com/fwlink/?linkid=870924
Comment:
    Doesn’t have an ID - hasn’t launched - we need to check - space craft exist (monthly launch exercise) - ask UW if launch (Sinead)</t>
      </text>
    </comment>
    <comment ref="U128" authorId="2" shapeId="0" xr:uid="{C8C68185-7428-45C1-8C27-67422BD0B5F6}">
      <text>
        <t>[Threaded comment]
Your version of Excel allows you to read this threaded comment; however, any edits to it will get removed if the file is opened in a newer version of Excel. Learn more: https://go.microsoft.com/fwlink/?linkid=870924
Comment:
    Check with Sinead - or the tracker</t>
      </text>
    </comment>
    <comment ref="U167" authorId="3" shapeId="0" xr:uid="{9FD801BC-717C-49C0-8C00-443689FA64BA}">
      <text>
        <t>[Threaded comment]
Your version of Excel allows you to read this threaded comment; however, any edits to it will get removed if the file is opened in a newer version of Excel. Learn more: https://go.microsoft.com/fwlink/?linkid=870924
Comment:
    Not launched</t>
      </text>
    </comment>
    <comment ref="U178" authorId="4" shapeId="0" xr:uid="{8F3CE814-8ACD-4F48-94E6-8CB1E53F0C41}">
      <text>
        <t>[Threaded comment]
Your version of Excel allows you to read this threaded comment; however, any edits to it will get removed if the file is opened in a newer version of Excel. Learn more: https://go.microsoft.com/fwlink/?linkid=870924
Comment:
    Manual exclusion list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tc={04B56752-8EDA-48A5-B186-6BBE5A6FCA1F}</author>
  </authors>
  <commentList>
    <comment ref="C6" authorId="0" shapeId="0" xr:uid="{04B56752-8EDA-48A5-B186-6BBE5A6FCA1F}">
      <text>
        <t>[Threaded comment]
Your version of Excel allows you to read this threaded comment; however, any edits to it will get removed if the file is opened in a newer version of Excel. Learn more: https://go.microsoft.com/fwlink/?linkid=870924
Comment:
    Filtered on On-risk, unlike LVFO and L + 1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Connolly, Shane</author>
  </authors>
  <commentList>
    <comment ref="H8" authorId="0" shapeId="0" xr:uid="{FD54DB44-FAE8-41AE-B4B3-0223C91DCBCB}">
      <text>
        <r>
          <rPr>
            <b/>
            <sz val="9"/>
            <color indexed="81"/>
            <rFont val="Tahoma"/>
            <family val="2"/>
          </rPr>
          <t>Connolly, Shane:</t>
        </r>
        <r>
          <rPr>
            <sz val="9"/>
            <color indexed="81"/>
            <rFont val="Tahoma"/>
            <family val="2"/>
          </rPr>
          <t xml:space="preserve">
Was at 50% for Q1 RDS but FUL to FIBL IGR ss says 40%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tc={66396C45-C701-4B04-9066-0E21FD769EE7}</author>
    <author>tc={BB8E37A2-A2EB-4792-8613-F62F6B74DF3C}</author>
    <author>tc={A227F64A-AA29-4278-9371-38221A6F6522}</author>
    <author>tc={66194A85-75E3-483A-85FA-EFFB6F6711F6}</author>
  </authors>
  <commentList>
    <comment ref="AC17" authorId="0" shapeId="0" xr:uid="{66396C45-C701-4B04-9066-0E21FD769EE7}">
      <text>
        <t>[Threaded comment]
Your version of Excel allows you to read this threaded comment; however, any edits to it will get removed if the file is opened in a newer version of Excel. Learn more: https://go.microsoft.com/fwlink/?linkid=870924
Comment:
    Should Match Proton Flare Changes</t>
      </text>
    </comment>
    <comment ref="AF17" authorId="1" shapeId="0" xr:uid="{BB8E37A2-A2EB-4792-8613-F62F6B74DF3C}">
      <text>
        <t>[Threaded comment]
Your version of Excel allows you to read this threaded comment; however, any edits to it will get removed if the file is opened in a newer version of Excel. Learn more: https://go.microsoft.com/fwlink/?linkid=870924
Comment:
    Should match Space Debris RDS Gross Value Change</t>
      </text>
    </comment>
    <comment ref="AI17" authorId="2" shapeId="0" xr:uid="{A227F64A-AA29-4278-9371-38221A6F6522}">
      <text>
        <t>[Threaded comment]
Your version of Excel allows you to read this threaded comment; however, any edits to it will get removed if the file is opened in a newer version of Excel. Learn more: https://go.microsoft.com/fwlink/?linkid=870924
Comment:
    Should Match Generic Defect Changes</t>
      </text>
    </comment>
    <comment ref="Q133" authorId="3" shapeId="0" xr:uid="{66194A85-75E3-483A-85FA-EFFB6F6711F6}">
      <text>
        <t xml:space="preserve">[Threaded comment]
Your version of Excel allows you to read this threaded comment; however, any edits to it will get removed if the file is opened in a newer version of Excel. Learn more: https://go.microsoft.com/fwlink/?linkid=870924
Comment:
    Splity bteween two sets because it comes from different sales channels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tc={4479C011-F2FD-45AA-B170-6CDFC12D1556}</author>
    <author>tc={079D182B-B877-46F4-9172-C1E20D13ECD2}</author>
    <author>tc={F1A4DD18-D289-464B-ACA4-F7F7EA5B5A8C}</author>
  </authors>
  <commentList>
    <comment ref="D44" authorId="0" shapeId="0" xr:uid="{4479C011-F2FD-45AA-B170-6CDFC12D1556}">
      <text>
        <t xml:space="preserve">[Threaded comment]
Your version of Excel allows you to read this threaded comment; however, any edits to it will get removed if the file is opened in a newer version of Excel. Learn more: https://go.microsoft.com/fwlink/?linkid=870924
Comment:
    Changed to column AE instead of P - P is used for Generic Defect - AE is used for Space Debris </t>
      </text>
    </comment>
    <comment ref="D54" authorId="1" shapeId="0" xr:uid="{079D182B-B877-46F4-9172-C1E20D13ECD2}">
      <text>
        <t>[Threaded comment]
Your version of Excel allows you to read this threaded comment; however, any edits to it will get removed if the file is opened in a newer version of Excel. Learn more: https://go.microsoft.com/fwlink/?linkid=870924
Comment:
    Should be checked to see if equity share changes max risk for FIHL</t>
      </text>
    </comment>
    <comment ref="D55" authorId="2" shapeId="0" xr:uid="{F1A4DD18-D289-464B-ACA4-F7F7EA5B5A8C}">
      <text>
        <t>[Threaded comment]
Your version of Excel allows you to read this threaded comment; however, any edits to it will get removed if the file is opened in a newer version of Excel. Learn more: https://go.microsoft.com/fwlink/?linkid=870924
Comment:
    Should be checked to see if equity share changes max risk for FIHL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<sst xmlns="http://schemas.openxmlformats.org/spreadsheetml/2006/main" count="4413" uniqueCount="681">
  <si>
    <t>LayerID</t>
  </si>
  <si>
    <t>Coverage</t>
  </si>
  <si>
    <t>Launch Date</t>
  </si>
  <si>
    <t>Inception</t>
  </si>
  <si>
    <t>Expiry</t>
  </si>
  <si>
    <t>Orbit Category</t>
  </si>
  <si>
    <t>On_Risk_Date</t>
  </si>
  <si>
    <t>Off_Risk_Date</t>
  </si>
  <si>
    <t>Bus Manufacturer</t>
  </si>
  <si>
    <t>Prime Manufacturer</t>
  </si>
  <si>
    <t>Risk_Period_Factor</t>
  </si>
  <si>
    <t>On_Risk_Flag</t>
  </si>
  <si>
    <t>L + 1</t>
  </si>
  <si>
    <t>NULL</t>
  </si>
  <si>
    <t>LVFO</t>
  </si>
  <si>
    <t>MEO</t>
  </si>
  <si>
    <t>LEO</t>
  </si>
  <si>
    <t>Orbit</t>
  </si>
  <si>
    <t>SSL (Space Systems/Loral - Part of Maxar)</t>
  </si>
  <si>
    <t>ProgramID</t>
  </si>
  <si>
    <t>UW_Year</t>
  </si>
  <si>
    <t>Underwriting_Status</t>
  </si>
  <si>
    <t>Bound (Signed Off)</t>
  </si>
  <si>
    <t>Bound (Expired)</t>
  </si>
  <si>
    <t>Bound</t>
  </si>
  <si>
    <t>Bound (Pre Sign-Off)</t>
  </si>
  <si>
    <t>Signed Exposure USD</t>
  </si>
  <si>
    <t>LayerID OCC</t>
  </si>
  <si>
    <t>Per S/C</t>
  </si>
  <si>
    <t>FUL</t>
  </si>
  <si>
    <t>FIBL Direct</t>
  </si>
  <si>
    <t>FIID</t>
  </si>
  <si>
    <t>FIHL</t>
  </si>
  <si>
    <t>FIBL</t>
  </si>
  <si>
    <t>FIBL Ceded</t>
  </si>
  <si>
    <t>BH</t>
  </si>
  <si>
    <t>Proton Flare</t>
  </si>
  <si>
    <t>Entity</t>
  </si>
  <si>
    <t>Space Weather</t>
  </si>
  <si>
    <t>Generic Defect</t>
  </si>
  <si>
    <t>Space Debris</t>
  </si>
  <si>
    <t>Outwards_LayerID</t>
  </si>
  <si>
    <t>Is_Explicit_Allocation</t>
  </si>
  <si>
    <t>Is_Explicit_Allocation_XOL</t>
  </si>
  <si>
    <t>Is_Explicit_Allocation_FAC</t>
  </si>
  <si>
    <t>Is_Explicit_Allocation_QS</t>
  </si>
  <si>
    <t>Sidecar_Name</t>
  </si>
  <si>
    <t>Percent_Ceded</t>
  </si>
  <si>
    <t>OCIL 2019 (11.76%)</t>
  </si>
  <si>
    <t>National Indemnity Company 2020 (20%)</t>
  </si>
  <si>
    <t>Outwards LayerID:</t>
  </si>
  <si>
    <t>Expiry:</t>
  </si>
  <si>
    <t>Inception:</t>
  </si>
  <si>
    <t>QS Cede:</t>
  </si>
  <si>
    <t>Type:</t>
  </si>
  <si>
    <t>Limit:</t>
  </si>
  <si>
    <t>Attach:</t>
  </si>
  <si>
    <t>Basis:</t>
  </si>
  <si>
    <t>RAD</t>
  </si>
  <si>
    <t>QS</t>
  </si>
  <si>
    <t>Notes:</t>
  </si>
  <si>
    <t>Ext RI</t>
  </si>
  <si>
    <t>Other Ext RI</t>
  </si>
  <si>
    <t>Ceded To FIBL</t>
  </si>
  <si>
    <t>Net of IGR</t>
  </si>
  <si>
    <t>Generic Defect Loss:</t>
  </si>
  <si>
    <t>Space Debris Loss</t>
  </si>
  <si>
    <t>Proton Flare Affect:</t>
  </si>
  <si>
    <t>IGR</t>
  </si>
  <si>
    <t>Max Risk</t>
  </si>
  <si>
    <t>RDS</t>
  </si>
  <si>
    <t>Max Risks</t>
  </si>
  <si>
    <t>Max Risk To FIBL</t>
  </si>
  <si>
    <t>Max Manufacturer</t>
  </si>
  <si>
    <t>Max Manufacturer to FIBL</t>
  </si>
  <si>
    <t>Max Manufacturer to BH</t>
  </si>
  <si>
    <t>Max Risk To BH</t>
  </si>
  <si>
    <t>Program ID</t>
  </si>
  <si>
    <t>ASO</t>
  </si>
  <si>
    <t>ASL</t>
  </si>
  <si>
    <t>ASC</t>
  </si>
  <si>
    <t>Program Name</t>
  </si>
  <si>
    <t>Months before off-risk</t>
  </si>
  <si>
    <t>Largest Risks</t>
  </si>
  <si>
    <t>Max Gross</t>
  </si>
  <si>
    <t>Check</t>
  </si>
  <si>
    <t>Max Manufacturer To FIID</t>
  </si>
  <si>
    <t>Ext RI %</t>
  </si>
  <si>
    <t>Max Manufacturer To FUL</t>
  </si>
  <si>
    <t>Gross</t>
  </si>
  <si>
    <t>Net</t>
  </si>
  <si>
    <t>Other RI</t>
  </si>
  <si>
    <t>Max Net</t>
  </si>
  <si>
    <t>Max Line</t>
  </si>
  <si>
    <t>Max Bus manufacturer</t>
  </si>
  <si>
    <t>Class Code</t>
  </si>
  <si>
    <t>Sat launch &amp; Orbit</t>
  </si>
  <si>
    <t>ASR</t>
  </si>
  <si>
    <t>Sat Launch</t>
  </si>
  <si>
    <t>Sat in Orbit</t>
  </si>
  <si>
    <t>Space Reinsurance</t>
  </si>
  <si>
    <t>UW Year</t>
  </si>
  <si>
    <t>IGR Cessions</t>
  </si>
  <si>
    <t>As At Date</t>
  </si>
  <si>
    <t>Months left on risk</t>
  </si>
  <si>
    <t>Risk Period Factor Space Debris</t>
  </si>
  <si>
    <t>Radius</t>
  </si>
  <si>
    <t>Debris</t>
  </si>
  <si>
    <t>Category</t>
  </si>
  <si>
    <t>Surface Area</t>
  </si>
  <si>
    <t>Calculated Factor</t>
  </si>
  <si>
    <t>Adjusted Factor</t>
  </si>
  <si>
    <t>Class</t>
  </si>
  <si>
    <t>GEO-GSO</t>
  </si>
  <si>
    <t>National Indemnity Company 2022 (20%)</t>
  </si>
  <si>
    <t>ProgramId</t>
  </si>
  <si>
    <t>LayerId</t>
  </si>
  <si>
    <t>MonthsOnRisk</t>
  </si>
  <si>
    <t>SpacecraftId</t>
  </si>
  <si>
    <t>Program_Type</t>
  </si>
  <si>
    <t>Program_Name</t>
  </si>
  <si>
    <t>Mapping_Code</t>
  </si>
  <si>
    <t>Spacecraft Name</t>
  </si>
  <si>
    <t>Bus Family</t>
  </si>
  <si>
    <t>Vehicle Family</t>
  </si>
  <si>
    <t>Layer Signed Exposure</t>
  </si>
  <si>
    <t>Year</t>
  </si>
  <si>
    <t>Cession</t>
  </si>
  <si>
    <t>Area</t>
  </si>
  <si>
    <t>Item</t>
  </si>
  <si>
    <t>Data Quality</t>
  </si>
  <si>
    <t>Prequel Policy Listing</t>
  </si>
  <si>
    <t>Narrative of Change</t>
  </si>
  <si>
    <t>Compare RDS results with Prior Quarter</t>
  </si>
  <si>
    <t>Methodology Documentation</t>
  </si>
  <si>
    <t>Documented methodology used</t>
  </si>
  <si>
    <t>Version Control</t>
  </si>
  <si>
    <t>Confirm material changes to calculation spreadsheet have been noted</t>
  </si>
  <si>
    <t>User</t>
  </si>
  <si>
    <t>Date</t>
  </si>
  <si>
    <t>Change</t>
  </si>
  <si>
    <t>SC</t>
  </si>
  <si>
    <t>Tab</t>
  </si>
  <si>
    <t>Stored_Proc</t>
  </si>
  <si>
    <t xml:space="preserve">Changed column BA to look up IGR values from new table ("tbl_IGRCessionsToFIBL"). </t>
  </si>
  <si>
    <t>Changed column CC so that it uses IGR values from column BA rather than hardcoded values which may not be correct for certain policies</t>
  </si>
  <si>
    <t>Changed columns CL &amp; CS to use IGR values from column BA rather than hardcoded values</t>
  </si>
  <si>
    <t>RDS Name</t>
  </si>
  <si>
    <t>Data Updated</t>
  </si>
  <si>
    <t>QA Updated</t>
  </si>
  <si>
    <t>Overall QA Status</t>
  </si>
  <si>
    <t>Y</t>
  </si>
  <si>
    <t>Control</t>
  </si>
  <si>
    <t>Response</t>
  </si>
  <si>
    <t>If No, reason RDS is still valid</t>
  </si>
  <si>
    <t>QA Status</t>
  </si>
  <si>
    <t>The following must be present in each RDS and be completed such that each control is a 'pass'.</t>
  </si>
  <si>
    <t>Q3</t>
  </si>
  <si>
    <t>Q2</t>
  </si>
  <si>
    <t>Expired</t>
  </si>
  <si>
    <t>Renewal</t>
  </si>
  <si>
    <t>Max Risk (FIHL)</t>
  </si>
  <si>
    <t>All figures USD</t>
  </si>
  <si>
    <t>This Quarter</t>
  </si>
  <si>
    <t>Last Quarter</t>
  </si>
  <si>
    <t>Top Exposure</t>
  </si>
  <si>
    <t>Narrative</t>
  </si>
  <si>
    <t>Gross Value Change</t>
  </si>
  <si>
    <t>Gross % Change</t>
  </si>
  <si>
    <t>Net Value Change</t>
  </si>
  <si>
    <t>Net % Change</t>
  </si>
  <si>
    <t>Max Gross to FUL</t>
  </si>
  <si>
    <t>N/A: Agg of policies exposed to RDS scenario</t>
  </si>
  <si>
    <t>Increase mirrors overall increase in exposure for FIHL of ceded aggregate RDS expsure</t>
  </si>
  <si>
    <t>External QS</t>
  </si>
  <si>
    <t>Net of External QS</t>
  </si>
  <si>
    <t>Net of External QS &amp; Ext RI</t>
  </si>
  <si>
    <t>Net Of External QS</t>
  </si>
  <si>
    <t>Net Of Ext RI (and External QS)</t>
  </si>
  <si>
    <t>Top exposed bus manufacturer split by entity</t>
  </si>
  <si>
    <t>Max net exposure by entity</t>
  </si>
  <si>
    <t>Max Net to FUL</t>
  </si>
  <si>
    <t>Months before Expiry</t>
  </si>
  <si>
    <t>Risk Factor</t>
  </si>
  <si>
    <t>=INDEX($O$10:$O$14,MATCH(DATEDIF($AB$15,L20,"M"),$N$10:$N$14,1))</t>
  </si>
  <si>
    <t>WARNING - Stored Proc not working on Risk Period Factor. Paste formula below into First cell then drag down</t>
  </si>
  <si>
    <t>Don't forget to change as at date</t>
  </si>
  <si>
    <t>Is volume of data provided consistent with last quarter?</t>
  </si>
  <si>
    <t>Do numercial fields used in calcuation appear reasonable? (ie no blanks, minimum &amp; maximum values and dates within expected range)</t>
  </si>
  <si>
    <t>Other Policy Listings 
(ie from MGA or Line slip, not Prequel)</t>
  </si>
  <si>
    <t>Is volume of data provided consistent with EPI under contract?</t>
  </si>
  <si>
    <t>IGR values are the latest for the quarter-end reporting period</t>
  </si>
  <si>
    <t>Provide short narrative explaining why RDS results from current quarter differ from last</t>
  </si>
  <si>
    <t>Confirm RDS calculation methodology used is as described in latest documentation</t>
  </si>
  <si>
    <t>Have any material changes to calculation spreadsheet been noted in "Control Tab"?</t>
  </si>
  <si>
    <t>N</t>
  </si>
  <si>
    <t>•	 2 new policies incepted for this quarter on risk, alongside 2 existing policies which have just came on risk this quarter</t>
  </si>
  <si>
    <t>•	 321556 policy now off risk (07/08/2023)</t>
  </si>
  <si>
    <t>On risk</t>
  </si>
  <si>
    <t>Off risk</t>
  </si>
  <si>
    <t>XoL</t>
  </si>
  <si>
    <t>Limit ($m)</t>
  </si>
  <si>
    <t>Deductible($m)</t>
  </si>
  <si>
    <t>CM</t>
  </si>
  <si>
    <t>Updated IGR cessions</t>
  </si>
  <si>
    <t>tbl_IGRCessionsToFIBL</t>
  </si>
  <si>
    <t>QS FIBL Ceded</t>
  </si>
  <si>
    <t>XoL FIBL Ceded</t>
  </si>
  <si>
    <t>Net of QS IGR</t>
  </si>
  <si>
    <t>Net of XoL IGR</t>
  </si>
  <si>
    <t>Total FIBL Ceded</t>
  </si>
  <si>
    <t>QS IGR</t>
  </si>
  <si>
    <t>Updated columns BA:BF, BK, BP, BW, CG, CP, CW for new IGR cessions</t>
  </si>
  <si>
    <t>QS Ceded To FIBL</t>
  </si>
  <si>
    <t>XoL Ceded to FIBL</t>
  </si>
  <si>
    <t>SES Fleet</t>
  </si>
  <si>
    <t>Summary</t>
  </si>
  <si>
    <t>IGR QS</t>
  </si>
  <si>
    <t>IGR XoL</t>
  </si>
  <si>
    <t>Net of QS</t>
  </si>
  <si>
    <t>Net of XoL</t>
  </si>
  <si>
    <t>Removed as SES fleet did not renew this year</t>
  </si>
  <si>
    <t>Updated for new IGR Cessions</t>
  </si>
  <si>
    <t>BH_Applicable</t>
  </si>
  <si>
    <t>Space RDS Q2 2024</t>
  </si>
  <si>
    <t>Space QS</t>
  </si>
  <si>
    <t>Manual risks input due to no Seradata ID and layers signed exposure manually entered for Inmarsat Fleet (highlighted in control tab)</t>
  </si>
  <si>
    <t>•	FIID Proton Flare decreased by 16.5% this quarter due to 1 layer coming off risk with exposure 1,747,627 (intelsat 236131) and only 1 layer on risk this quarter with exposure 370,112. 
•	FIID Space Weather decreased by 19% this quarter as 1 layer has become off risk with exposure 34,952,537 and 1 layer has become on risk with exposure 7,402,233 (telenor Thor). Max exposed bus is still SSL.
•	FIID Generic Defect dropped by 37% this quarter due to 1 layer off risk with exposure 3,495,254 and 1 layer coming on risk with exposure 1,480,447. Exposure dropped by 7,875,029 due to risk period factor dropping for 7 layers.
•	•	FIID Space Debris dropped by 34% as 2 layers came off risk with exposure 6,033,437, 1 policy was cancelled (Airbus Defence and Space SASTheos – 2) with exposure 4,601,308 and 2 layers came on risk with exposure 4,709,422.
•	No changes to FIHL max risk. FIID and FIBL max risk dropped by 3% as last quarters Intelsat L+1 max risk layer is now off risk, this quarters max risk is another Intelsat L+1 layer on the same program with reduced exposure of 1,002,745.
•	No RIPs apply
•	RI recoveries are as follows:
          o	127,472,356 external QS with travellers
          o	311,082,653 QS ceded to FIBL
          o	47,924,982 XoL ceded to FIBL</t>
  </si>
  <si>
    <t>In-Orbit</t>
  </si>
  <si>
    <t>L + 12 Months</t>
  </si>
  <si>
    <t>Airbus Defence and Space (Toulouse)</t>
  </si>
  <si>
    <t>Astrium Satellites SAS (Toulouse) (Part of EADS)</t>
  </si>
  <si>
    <t>Lockheed Martin Commercial Space Systems</t>
  </si>
  <si>
    <t>Boeing Satellite Systems Inc.</t>
  </si>
  <si>
    <t>Thales Alenia Space France (Cannes)</t>
  </si>
  <si>
    <t>SSTL - Surrey Satellite Technology Limited (Part of Airbus DS)</t>
  </si>
  <si>
    <t>Mitsubishi Electric Corp (MELCO)</t>
  </si>
  <si>
    <t>BALL AEROSPACE AND TECHNOLOGIES CORP (HQ)</t>
  </si>
  <si>
    <t>Orbital Sciences Corporation</t>
  </si>
  <si>
    <t>Airbus Defence and Space/Thales Alenia Space JOINT</t>
  </si>
  <si>
    <t>ORBITAL ATK INC.</t>
  </si>
  <si>
    <t>Airbus DS/TUSAS (JOINT)</t>
  </si>
  <si>
    <t>CGWIC - China Great Wall Industry Corp</t>
  </si>
  <si>
    <t>Astrium/Thales Alenia Space Consortium</t>
  </si>
  <si>
    <t>Lockheed Martin Space Systems</t>
  </si>
  <si>
    <t>Airbus Defence and Space (Stevenage)</t>
  </si>
  <si>
    <t>EADS Astrium/Thales Consortium</t>
  </si>
  <si>
    <t>Arabsat</t>
  </si>
  <si>
    <t>Eutelsat</t>
  </si>
  <si>
    <t>Sirius XM Radio Inc.  Sirius XM - L+1</t>
  </si>
  <si>
    <t>Sirius XM Radio Inc.  Sirius XM - L+1 - TOFF</t>
  </si>
  <si>
    <t>Arabsat BADR 8</t>
  </si>
  <si>
    <t>Arabsat 5A</t>
  </si>
  <si>
    <t>Arabsat 5B</t>
  </si>
  <si>
    <t>Arabsat 5C</t>
  </si>
  <si>
    <t>Arabsat BADR 7</t>
  </si>
  <si>
    <t>Arabsat 6A</t>
  </si>
  <si>
    <t>E115WB (S7)</t>
  </si>
  <si>
    <t>W3C/E16A</t>
  </si>
  <si>
    <t>AB7/E7WA</t>
  </si>
  <si>
    <t>E117WA (S8)</t>
  </si>
  <si>
    <t>W6A/E21B</t>
  </si>
  <si>
    <t>W5A/E70B</t>
  </si>
  <si>
    <t>W3D/E3D</t>
  </si>
  <si>
    <t>E3B</t>
  </si>
  <si>
    <t>E9B</t>
  </si>
  <si>
    <t>E117WB (S9)</t>
  </si>
  <si>
    <t>E8WB</t>
  </si>
  <si>
    <t>E36C</t>
  </si>
  <si>
    <t>E65WA</t>
  </si>
  <si>
    <t>E172B</t>
  </si>
  <si>
    <t>Quantum</t>
  </si>
  <si>
    <t>E7C</t>
  </si>
  <si>
    <t>Konnect</t>
  </si>
  <si>
    <t>K-VHTS</t>
  </si>
  <si>
    <t>E13G</t>
  </si>
  <si>
    <t>E10B</t>
  </si>
  <si>
    <t>E13F</t>
  </si>
  <si>
    <t>WORLDVIEW 1</t>
  </si>
  <si>
    <t>WORLDVIEW 3</t>
  </si>
  <si>
    <t>WORLDVIEW 2</t>
  </si>
  <si>
    <t>BSAT 4A</t>
  </si>
  <si>
    <t>AMAZONAS 3</t>
  </si>
  <si>
    <t>HISPASAT 30W-6 (HISPASAT 1F)</t>
  </si>
  <si>
    <t>AMAZONAS 5</t>
  </si>
  <si>
    <t>HISPASAT 30W-5 (HISPASAT 1E)</t>
  </si>
  <si>
    <t>TURKSAT 4A</t>
  </si>
  <si>
    <t>TURKSAT 5B</t>
  </si>
  <si>
    <t>TURKSAT 5A</t>
  </si>
  <si>
    <t>TURKSAT 4B</t>
  </si>
  <si>
    <t>VIASAT-1</t>
  </si>
  <si>
    <t>KA-SAT</t>
  </si>
  <si>
    <t>VIASAT-2</t>
  </si>
  <si>
    <t>TIBA 1 (NAVISAT 12A)</t>
  </si>
  <si>
    <t>MEASAT 3A (1R)</t>
  </si>
  <si>
    <t>MEASAT 3B</t>
  </si>
  <si>
    <t>STAR ONE C4</t>
  </si>
  <si>
    <t>STAR ONE D2</t>
  </si>
  <si>
    <t>STAR ONE D1</t>
  </si>
  <si>
    <t>MEASAT 3D</t>
  </si>
  <si>
    <t>SATRIA</t>
  </si>
  <si>
    <t>FALCON EYE 2</t>
  </si>
  <si>
    <t>WORLDVIEW LEGION-1</t>
  </si>
  <si>
    <t>WORLDVIEW LEGION-3</t>
  </si>
  <si>
    <t>WORLDVIEW LEGION-4</t>
  </si>
  <si>
    <t>EUTELSAT 36D</t>
  </si>
  <si>
    <t>TELKOMSAT 113BT</t>
  </si>
  <si>
    <t>AZERSPACE-1/AFRICASAT 1A</t>
  </si>
  <si>
    <t>JCSAT-2B (JCSAT-14)</t>
  </si>
  <si>
    <t>JCSAT-110A (JCSAT-15)</t>
  </si>
  <si>
    <t>JCSAT-16</t>
  </si>
  <si>
    <t>JCSAT-18/KACIFIC-1</t>
  </si>
  <si>
    <t>JCSAT-17</t>
  </si>
  <si>
    <t>HYLAS 4</t>
  </si>
  <si>
    <t>INMARSAT 6-F1</t>
  </si>
  <si>
    <t>EUROSTAR E3000</t>
  </si>
  <si>
    <t>LM 2100</t>
  </si>
  <si>
    <t>SPACEBUS 4000</t>
  </si>
  <si>
    <t>BSS-702SP</t>
  </si>
  <si>
    <t>MAXAR 1300</t>
  </si>
  <si>
    <t>GMP-T</t>
  </si>
  <si>
    <t>SPACEBUS NEO</t>
  </si>
  <si>
    <t>EUROSTAR NEO</t>
  </si>
  <si>
    <t>LM 2100/A2100 FAMILY</t>
  </si>
  <si>
    <t>DS2000</t>
  </si>
  <si>
    <t>MAXAR 1300 (FS-/LS-/SSL-1300)</t>
  </si>
  <si>
    <t>BOEING BSS 702</t>
  </si>
  <si>
    <t>BCP 5000 FAMILY</t>
  </si>
  <si>
    <t>SmallGEO (OHB) Luxor FAMILY</t>
  </si>
  <si>
    <t>GEOSTAR 2 (ORIG. STAR 2) FAMILY</t>
  </si>
  <si>
    <t>DFH-4 FAMILY</t>
  </si>
  <si>
    <t>SPACEBUS NEO FAMILY</t>
  </si>
  <si>
    <t>ASTROBUS/ASTROSAT/S-BUS FAMILY (AIRBUS)</t>
  </si>
  <si>
    <t>GEOSTAR 3 FAMILY</t>
  </si>
  <si>
    <t>MAXAR 500 (LEGION (SSL-500)) FAMILY</t>
  </si>
  <si>
    <t>Custom</t>
  </si>
  <si>
    <t>ALPHABUS</t>
  </si>
  <si>
    <t>ARIANE 5</t>
  </si>
  <si>
    <t>FALCON 9, 5 &amp; HEAVY</t>
  </si>
  <si>
    <t>PROTON</t>
  </si>
  <si>
    <t xml:space="preserve">DELTA I - III </t>
  </si>
  <si>
    <t>ATLAS V</t>
  </si>
  <si>
    <t>SOYUZ/MOLNIYA/SPUTNIK/R-7 SEMYORKA</t>
  </si>
  <si>
    <t>ZENIT &amp; SEA LAUNCH</t>
  </si>
  <si>
    <t>LONG MARCH 1, 2, 3, 4</t>
  </si>
  <si>
    <t>H-2, H-2S, H-2A &amp; H-2B</t>
  </si>
  <si>
    <t>Airbus Defence and Space</t>
  </si>
  <si>
    <t>L + 24 Months</t>
  </si>
  <si>
    <t>SPAINSAT NG-1</t>
  </si>
  <si>
    <t xml:space="preserve">MAPFRE ESPAÑA COMPAÑÍA DE SEGUROS Y  Spainsat NG-1 Launch + 16 Top Up </t>
  </si>
  <si>
    <t>AZRE REINSURANCE OJSC  Azerspace 1 - In Orbit</t>
  </si>
  <si>
    <t>Ovzon AB  Ovzon 3 - In Orbit</t>
  </si>
  <si>
    <t>OVZON-3</t>
  </si>
  <si>
    <t>KARI - Korea Aerospace Research Institute</t>
  </si>
  <si>
    <t>=IF(J20="LEO",ROUNDUP(((L20-$AB$15)/30.5),0)*P20,0)</t>
  </si>
  <si>
    <t>Reason</t>
  </si>
  <si>
    <t>Came On Risk</t>
  </si>
  <si>
    <t>Negligible</t>
  </si>
  <si>
    <t>Written</t>
  </si>
  <si>
    <t>Renewed</t>
  </si>
  <si>
    <t>Came Off Risk</t>
  </si>
  <si>
    <t>No Change</t>
  </si>
  <si>
    <t>Binding Change</t>
  </si>
  <si>
    <t>5% Loss on all GEO satellites</t>
  </si>
  <si>
    <t>5% Loss to all GEO, 40% Loss to LEO and 10% loss to all MEO satellites</t>
  </si>
  <si>
    <t>Risk Period Factor</t>
  </si>
  <si>
    <t>Off Risk Date</t>
  </si>
  <si>
    <t>In Force Exposure</t>
  </si>
  <si>
    <t>In-Force Exposure</t>
  </si>
  <si>
    <t>Risk Period Factor Adjusted In-Force Exposure</t>
  </si>
  <si>
    <t>Alcatel Alenia Space (Cannes)</t>
  </si>
  <si>
    <t>Turkish Aerospace Industries (TAI/TUSAs)</t>
  </si>
  <si>
    <t xml:space="preserve">MAPFRE VIDA S/A  StarOne Fleet - IO - Primary </t>
  </si>
  <si>
    <t>MAPFRE VIDA S/A  StarOne Fleet - IO - Excess</t>
  </si>
  <si>
    <t>PAKISTAN REINSURANCE CO. LTD  - Paksat MM1(R) - IO</t>
  </si>
  <si>
    <t>MAXAR TECHNOLOGIES INC.  Maxar Legion Fleet</t>
  </si>
  <si>
    <t>AIRBUS DEFENCE AND SPACE SAS  PNEO3 &amp; PNEO4 - IO</t>
  </si>
  <si>
    <t>W7/E36B</t>
  </si>
  <si>
    <t>PAKSAT-MULTI MISSION 1 (PAKSAT-MM1)</t>
  </si>
  <si>
    <t>THAICOM 8</t>
  </si>
  <si>
    <t>TURKSAT 6A</t>
  </si>
  <si>
    <t>PLEIADES NEO 3</t>
  </si>
  <si>
    <t>PLEIADES NEO 4</t>
  </si>
  <si>
    <t>AMAZONAS NEXUS</t>
  </si>
  <si>
    <t>SXM-10</t>
  </si>
  <si>
    <t>UNKNOWN</t>
  </si>
  <si>
    <t>Check for Change in Off risk date</t>
  </si>
  <si>
    <t>Space Debris weighted</t>
  </si>
  <si>
    <t>Space Debris Weighted</t>
  </si>
  <si>
    <t>RDS Change Checks</t>
  </si>
  <si>
    <t>Note: You need to link the previous quarter's RDS values in the Change Narrative sheets before these checks work</t>
  </si>
  <si>
    <t>Check Summary</t>
  </si>
  <si>
    <t>Is Consortium</t>
  </si>
  <si>
    <t>Equity Share %</t>
  </si>
  <si>
    <t>Level</t>
  </si>
  <si>
    <t>Equity Share USD</t>
  </si>
  <si>
    <t>Equity Share</t>
  </si>
  <si>
    <t>Launch and Orbit</t>
  </si>
  <si>
    <t>CO3D L+15</t>
  </si>
  <si>
    <t>CO3D 1</t>
  </si>
  <si>
    <t>VEGA-C</t>
  </si>
  <si>
    <t>CO3D 2</t>
  </si>
  <si>
    <t>CO3D 3</t>
  </si>
  <si>
    <t>CO3D 4</t>
  </si>
  <si>
    <t>AVANTI HYLAS 3 LIMITED  - Hylas 4 Orbit</t>
  </si>
  <si>
    <t>VEGA</t>
  </si>
  <si>
    <t>INMARSAT 5-F5 (INMARSAT GX-5)</t>
  </si>
  <si>
    <t>HELLAS-SAT 3/INMARSAT-S-EAN</t>
  </si>
  <si>
    <t>ALPHASAT I-XL</t>
  </si>
  <si>
    <t>INMARSAT 5-F4 (INMARSAT GX-4)</t>
  </si>
  <si>
    <t>INMARSAT 5-F3 (INMARSAT GX-3)</t>
  </si>
  <si>
    <t>INMARSAT 5-F2 (INMARSAT GX-2)</t>
  </si>
  <si>
    <t>INMARSAT 5-F1 (INMARSAT GX-1)</t>
  </si>
  <si>
    <t>NGIS (Northrop Grumman Innovation Systems)</t>
  </si>
  <si>
    <t>BSAT 4B</t>
  </si>
  <si>
    <t>WORLDVIEW LEGION-2</t>
  </si>
  <si>
    <t>Space Norway HEOSAT AS   - ASBM1 ASBM2 IO</t>
  </si>
  <si>
    <t>ASBM 1 (NORWAY)</t>
  </si>
  <si>
    <t>AVANTI HYLAS 3 LIMITED  - HYLAS 3 - In Orbit</t>
  </si>
  <si>
    <t>EDRS C (HYLAS 3)</t>
  </si>
  <si>
    <t>Qatar Satellite Company   -  Es'hail 1 &amp; 2 - IO</t>
  </si>
  <si>
    <t>ES'HAIL 2</t>
  </si>
  <si>
    <t>ES'HAIL 1</t>
  </si>
  <si>
    <t>Asiasat</t>
  </si>
  <si>
    <t>ASIASAT 5</t>
  </si>
  <si>
    <t>ASIASAT 6/THAICOM 7</t>
  </si>
  <si>
    <t>ASIASAT 7</t>
  </si>
  <si>
    <t>AMOS 7 (ASIASAT 8)</t>
  </si>
  <si>
    <t>ASIASAT 9</t>
  </si>
  <si>
    <t>2025Q3</t>
  </si>
  <si>
    <t>Total</t>
  </si>
  <si>
    <t>Risk Period Factor Decrease</t>
  </si>
  <si>
    <t>The FIHL check will no longer work due to Equity Share - it may work in future quarters when equity share becomes consistent between quarters</t>
  </si>
  <si>
    <r>
      <t xml:space="preserve">Further Commentary:
</t>
    </r>
    <r>
      <rPr>
        <sz val="11"/>
        <color theme="1"/>
        <rFont val="Calibri"/>
        <family val="2"/>
        <scheme val="minor"/>
      </rPr>
      <t xml:space="preserve">All renewals/new layers written through Consortium
Max line for IG currently is 30m USD but SXM - 10 was written in 2022 when there was a larger max line.
</t>
    </r>
    <r>
      <rPr>
        <b/>
        <sz val="11"/>
        <color theme="1"/>
        <rFont val="Calibri"/>
        <family val="2"/>
        <scheme val="minor"/>
      </rPr>
      <t xml:space="preserve">
Including IG Equity Share of Syndicate (1.1m). </t>
    </r>
    <r>
      <rPr>
        <sz val="11"/>
        <color theme="1"/>
        <rFont val="Calibri"/>
        <family val="2"/>
        <scheme val="minor"/>
      </rPr>
      <t>Applies only to FIBL as SXM-10 was not written on the S3123</t>
    </r>
  </si>
  <si>
    <t>Input to Change Narrative</t>
  </si>
  <si>
    <t>Gross Loss</t>
  </si>
  <si>
    <t>Net Loss</t>
  </si>
  <si>
    <t>Net Loss inc RIPS</t>
  </si>
  <si>
    <t>Outwards QS Recovery</t>
  </si>
  <si>
    <t>Outwards QS RIPS</t>
  </si>
  <si>
    <t>Outwards XOL Recovery</t>
  </si>
  <si>
    <t>Outwards XOL RIPS</t>
  </si>
  <si>
    <t>Facultative RI Recovery</t>
  </si>
  <si>
    <t>Facultative RI RIPS</t>
  </si>
  <si>
    <t>IGR QS Recovery</t>
  </si>
  <si>
    <t>IGR QS RIPS</t>
  </si>
  <si>
    <t>IGR XOL Recovery</t>
  </si>
  <si>
    <t>IGR XOL RIPS</t>
  </si>
  <si>
    <t>Specialty Re Addon Gross</t>
  </si>
  <si>
    <t>Specialty Re Addon Net</t>
  </si>
  <si>
    <t>Specialty Re Addon Final Net</t>
  </si>
  <si>
    <t>IG Equity Share of S3123 (% of Net Loss xRIPS)</t>
  </si>
  <si>
    <t>IG Equity Share of S3123 (% of Net RIPS)</t>
  </si>
  <si>
    <t>Inwards RIPS</t>
  </si>
  <si>
    <t>LEAVE BLANK</t>
  </si>
  <si>
    <t>Scenario</t>
  </si>
  <si>
    <t>Space - Proton Flare</t>
  </si>
  <si>
    <t>Space - Generic Defect</t>
  </si>
  <si>
    <t>Space - Max Risk</t>
  </si>
  <si>
    <t>Space - Space Weather</t>
  </si>
  <si>
    <t>Space - Space Debris</t>
  </si>
  <si>
    <t>Wide</t>
  </si>
  <si>
    <t>Long</t>
  </si>
  <si>
    <t>ScenarioName</t>
  </si>
  <si>
    <t>Perspective</t>
  </si>
  <si>
    <t>Value</t>
  </si>
  <si>
    <t>SSL (Space Systems/Loral)</t>
  </si>
  <si>
    <t>Maxar Space Systems</t>
  </si>
  <si>
    <t>TURKIYE SIGORTA AS  - Turksat 6A - In Orbit RI</t>
  </si>
  <si>
    <t xml:space="preserve">Mapfre Re Compania De Reaseguros S.A.  Hispasat NEXUS - In Orbit </t>
  </si>
  <si>
    <t>VIASAT, INC.  - Viasat 1, 2 &amp; KA-SAT - In Orbit</t>
  </si>
  <si>
    <t>Japanese Aviation Insurance Pool  - BSAT 4a &amp; 4b - IO</t>
  </si>
  <si>
    <t>Vantor Inc.  - (Maxar) Worldview LEO Fleet IO</t>
  </si>
  <si>
    <t>VIASAT, INC.  ViaSat 3 F2 - Launch and In Orbit</t>
  </si>
  <si>
    <t>Korean Reinsurance Company  Kompsat-7 - Launch and In Orbit</t>
  </si>
  <si>
    <t>EGYPTIAN ARMAMENT AUTHORITY OF THE MINISTRY OF DEFENCE  - Tiba 1 - In Orbit</t>
  </si>
  <si>
    <t>MEASAT Communication Systems Sdn Bhd  MEASAT-3a &amp; -3b  IO</t>
  </si>
  <si>
    <t>MEASAT Communication Systems Sdn Bhd  - Measat 3d - IO</t>
  </si>
  <si>
    <t>PT SATELIT NUSANTARA TIGA  SNT Satria (N3) - IO</t>
  </si>
  <si>
    <t>TURKIYE SIGORTA AS  Turksat fleet - Excess In Orbit</t>
  </si>
  <si>
    <t>TURKIYE SIGORTA AS  Turksat - Primary In Orbit</t>
  </si>
  <si>
    <t>GHQ UAE ARMED FORCES   FalconEye 2 - IO</t>
  </si>
  <si>
    <t>HISPASAT SA  - Fleet In Orbit 2025</t>
  </si>
  <si>
    <t>SPACE42 PLC  Yahsat - In Orbit - Excess</t>
  </si>
  <si>
    <t>SPACE42 PLC  Yahsat - In Orbit - Primary</t>
  </si>
  <si>
    <t>SPAINSAT NG-2</t>
  </si>
  <si>
    <t>VIASAT-3 F2</t>
  </si>
  <si>
    <t>KOMPSAT 7</t>
  </si>
  <si>
    <t>AL YAH 1</t>
  </si>
  <si>
    <t>AL YAH 2</t>
  </si>
  <si>
    <t>TUPAC KATARI</t>
  </si>
  <si>
    <t>Multiplying exposure  by  12.5/30  to get Syndicate equity share</t>
  </si>
  <si>
    <t>Renewal Analysis</t>
  </si>
  <si>
    <t>Satellites</t>
  </si>
  <si>
    <t>Status</t>
  </si>
  <si>
    <t>Satellite</t>
  </si>
  <si>
    <t>Exposure</t>
  </si>
  <si>
    <t>Top 10 Satellites</t>
  </si>
  <si>
    <t>XOL Terms</t>
  </si>
  <si>
    <t>YOA</t>
  </si>
  <si>
    <t>Source</t>
  </si>
  <si>
    <t>Contributing Loss Limit</t>
  </si>
  <si>
    <t>Contributing Loss Excess</t>
  </si>
  <si>
    <t>Info From ceded Re team</t>
  </si>
  <si>
    <t>Order</t>
  </si>
  <si>
    <t xml:space="preserve">For 5% part of the 55% order, there is a 120m class of business contribution line, effectively making it impossible for Space RDS to recover from that 5% </t>
  </si>
  <si>
    <t>Effective Order for Space</t>
  </si>
  <si>
    <t>Space Weather Check</t>
  </si>
  <si>
    <t>Manufacturer</t>
  </si>
  <si>
    <t>Contributing Loss</t>
  </si>
  <si>
    <t>Total Contributing Loss</t>
  </si>
  <si>
    <t>Total XOL Recovery</t>
  </si>
  <si>
    <t>RDS Gross Value</t>
  </si>
  <si>
    <t>Agg Limit</t>
  </si>
  <si>
    <t>Agg Excess</t>
  </si>
  <si>
    <t>Recovery</t>
  </si>
  <si>
    <t>Assume in Paralell with WA QS</t>
  </si>
  <si>
    <t>2025Q4</t>
  </si>
  <si>
    <t>=B20&amp;"_"&amp;C20</t>
  </si>
  <si>
    <t>CAST - Chinese Academy of Space Technology</t>
  </si>
  <si>
    <t>Thales Alenia Space France (Toulouse)</t>
  </si>
  <si>
    <t>OHB-SYSTEM AG (HQ)</t>
  </si>
  <si>
    <t>Astrium Limited - Stevenage (Part of EADS)</t>
  </si>
  <si>
    <t>ITS - Institute of Telecommunication Satellites (Part of CAST)</t>
  </si>
  <si>
    <t>Not in the SQL data input</t>
  </si>
  <si>
    <t>Set equal to 'Coverage' - seems to be 3 lines where this is NULL for the last 2 quarters</t>
  </si>
  <si>
    <t>Seems to be NULL for all - except for when the program type is 'NULL' in which case this is 'BOUND'</t>
  </si>
  <si>
    <t xml:space="preserve">Added the iferror to set to zero for off risk date before the as at date - unless these lines are deleted? </t>
  </si>
  <si>
    <t xml:space="preserve">Changed the formyula slightly - as it was allowing negative months left on risk - which causes error in column AC </t>
  </si>
  <si>
    <t>Could set the prarams as named range</t>
  </si>
  <si>
    <t xml:space="preserve">This factor could be parameterised - rather than hard coded
Also would make more sense if calcs flow from left to right - so 'Signed Exposure' should be before this column. </t>
  </si>
  <si>
    <t>This column is pasted values/hard coded - where is this coming from? - mostly 1 but the bottom but goes up in sequence?</t>
  </si>
  <si>
    <t>why does this one only includes column AN - whereas the formula in column AY includes column AO too? - both columns are zero</t>
  </si>
  <si>
    <t xml:space="preserve">Inconsistent formula - BL uses col AK for entity and BM uses column U for entity - but both columns should be the same? </t>
  </si>
  <si>
    <t xml:space="preserve">Sum by Layer. </t>
  </si>
  <si>
    <t xml:space="preserve">only to 135? </t>
  </si>
  <si>
    <t>Holding Co has all the risks</t>
  </si>
  <si>
    <t xml:space="preserve">After QS &amp; XoL </t>
  </si>
  <si>
    <t xml:space="preserve">What is the 0.2 hard coded value? </t>
  </si>
  <si>
    <t xml:space="preserve">what is S/C ? </t>
  </si>
  <si>
    <t xml:space="preserve">Why is this only to line 39? </t>
  </si>
  <si>
    <t>Does not inlcude LEO - but per the process doc - it said LEO is included?</t>
  </si>
  <si>
    <t xml:space="preserve">Don’t have access to this - does this need to be updated? </t>
  </si>
  <si>
    <t xml:space="preserve">Why is the exposure below not based on specific manufacturer too - ie having the manufacturer as one of the conditions? </t>
  </si>
  <si>
    <t>Manual adjustments - in line with Q4 results</t>
  </si>
  <si>
    <t>Paste values - could be better if we use some sort of formula for it ?  - seems to be pasted values from the Renewal Analysis</t>
  </si>
  <si>
    <t>Could better sectioned so its clear when the calc starts for FUL and FIID</t>
  </si>
  <si>
    <t xml:space="preserve">Some are hardcoded - some are not - are these likely to change in the future? </t>
  </si>
  <si>
    <t>Mapfre  Spainsat NG-1 &amp; 2 - Launch + 16</t>
  </si>
  <si>
    <t>THAICOM PCL  - Thaicom 8 - In Orbit</t>
  </si>
  <si>
    <t>INMARSAT GLOBAL LIMITED  - Inmarsat 6 F1 - In Orbit</t>
  </si>
  <si>
    <t>INMARSAT GLOBAL LIMITED  - In-Orbit</t>
  </si>
  <si>
    <t>NORTHROP GRUMMAN CORPORATION  -  TRK &amp; TL  -  OPAR</t>
  </si>
  <si>
    <t>N3O Lda  - N3O 1 &amp; N3O 2 - L+12 TLO</t>
  </si>
  <si>
    <t>Japanese Aviation Insurance Pool  - JSAT Fleet Renewal Excess Layer</t>
  </si>
  <si>
    <t>PT ASURANSI TUGU PRATAMA INDONESIA TBK  - Telkomsat 113BT (Merah Putih 2) In-Orbit RI</t>
  </si>
  <si>
    <t xml:space="preserve">BISA SEGUROS Y REASEGUROS SA  TKSAT 1 - In orbit </t>
  </si>
  <si>
    <t>VANTOR INC.  Legion Satellites In-Orbit Fleet</t>
  </si>
  <si>
    <t>SKY PERFECT JSAT CORPORATION  - JCSAT-17 IO (Primary)</t>
  </si>
  <si>
    <t>SKY PERFECT JSAT CORPORATION  - JCSAT-17 IO (Excess)</t>
  </si>
  <si>
    <t>Fidelis Space Consortium   Fidelis Space Consortium 2026</t>
  </si>
  <si>
    <t>Astranis  Block 3 &amp; 4</t>
  </si>
  <si>
    <t>CPIC CO., LIMITED  - Alsat 3A 3B (LM 2C) (L+12)</t>
  </si>
  <si>
    <t>THURAYA 4-NGS</t>
  </si>
  <si>
    <t>WORLDVIEW LEGION-6</t>
  </si>
  <si>
    <t>WORLDVIEW LEGION-5</t>
  </si>
  <si>
    <t>ALSAT 3A (AERJILIYA YAOGAN-3A)</t>
  </si>
  <si>
    <t>ALSAT 3B (AERJILIYA YAOGAN-3B)</t>
  </si>
  <si>
    <t>CAST 3000</t>
  </si>
  <si>
    <t xml:space="preserve">Not in the SQL data input - what is 'BH'? Berkshire Hathaway </t>
  </si>
  <si>
    <t xml:space="preserve">PT Pasifik Satelit Nusantara Lima -   NUSANTARA LIMA - N5 </t>
  </si>
  <si>
    <t>NUSANTARA LIMA</t>
  </si>
  <si>
    <t xml:space="preserve">Not sure what this means </t>
  </si>
  <si>
    <t xml:space="preserve">Added IF Error set to 0% - to avoid errors due to the nulls </t>
  </si>
  <si>
    <t>Global Satellite Vu Ltd  - Hotsat 2 &amp; 3 - L+1</t>
  </si>
  <si>
    <t>HOTSAT-2 (SATELLITE VU 2)</t>
  </si>
  <si>
    <t>SSTL MICRO (SSTL-42/-50/-X50/-70/-100)</t>
  </si>
  <si>
    <t>AVANTI HYLAS 2 CYPRUS LIMITED  - Hylas 2 IO</t>
  </si>
  <si>
    <t>HYLAS 2</t>
  </si>
  <si>
    <t>U. R. Rao Satellite Centre (URSC)</t>
  </si>
  <si>
    <t>AVANTI SPACE LIMITED  - Hylas 1 - IO</t>
  </si>
  <si>
    <t>HYLAS 1</t>
  </si>
  <si>
    <t>I-2K (I-2000)</t>
  </si>
  <si>
    <t>Astranis</t>
  </si>
  <si>
    <t>ASTRANIS SPACE TECHNOLOGIES CORP.  - Block 2 In Orbit</t>
  </si>
  <si>
    <t>ANUVU 1 (NUVIEW A)</t>
  </si>
  <si>
    <t>OMEGA MicroGEO (Astranis)</t>
  </si>
  <si>
    <t>ANUVU 2 (NUVIEW B)</t>
  </si>
  <si>
    <t>AGILA</t>
  </si>
  <si>
    <t>Checked prequel</t>
  </si>
  <si>
    <t>Orbit and after 31/12/25  - so OK</t>
  </si>
  <si>
    <t>Orbit and off risk date after 31/12/25  - so OK</t>
  </si>
  <si>
    <t>Checked launched date to website - dates confirmed correct</t>
  </si>
  <si>
    <t>Cant confirmed on website - but SQL date is 15/1/26</t>
  </si>
  <si>
    <t xml:space="preserve">Changed by 1 day from 30/12/26 to 31/12/26 - not an issue </t>
  </si>
  <si>
    <t>Pre-signed off - to check with UW</t>
  </si>
  <si>
    <t>Hardcoded - Group - so fine</t>
  </si>
  <si>
    <t>JJ: These lines can be removed - not ready or not launched per earnings pattern s/s</t>
  </si>
  <si>
    <t xml:space="preserve">JJ: These lines can be removed - not launched - new </t>
  </si>
  <si>
    <t>Start Date</t>
  </si>
  <si>
    <t>Factor to apply</t>
  </si>
  <si>
    <t>2026-01-01 - 2026 Schematics - Live at 1st January 2026 (version 4) FINAL - Copy.xlsx</t>
  </si>
  <si>
    <t>Doesn’t work because off risk date has been updated for 486815 from 14/11/26 to 14/05/27</t>
  </si>
  <si>
    <t xml:space="preserve">Checked </t>
  </si>
  <si>
    <t>To split this out into FUL, FIID and FIBL - so don’t have to do it manually</t>
  </si>
  <si>
    <t>End Date</t>
  </si>
  <si>
    <t>Controlling Body</t>
  </si>
  <si>
    <t>Controlling Body Id</t>
  </si>
  <si>
    <t>Max_Line_Size_USD</t>
  </si>
  <si>
    <t>MGU</t>
  </si>
  <si>
    <t>Syndicate 3123</t>
  </si>
  <si>
    <t>Syndicate 2126</t>
  </si>
  <si>
    <t>Amazonas Nexus</t>
  </si>
  <si>
    <t>Spainsat NG-1</t>
  </si>
  <si>
    <t>Match in Data</t>
  </si>
  <si>
    <t>Excluded Spacecraft Name</t>
  </si>
  <si>
    <t>Excluded Spacecraft ID</t>
  </si>
  <si>
    <t>Date From</t>
  </si>
  <si>
    <t>Date To</t>
  </si>
  <si>
    <t>Included in Inwards S3123 QS</t>
  </si>
  <si>
    <t>Inward S3123 QS</t>
  </si>
  <si>
    <t>New 2026Q1</t>
  </si>
  <si>
    <t>FIBL Combined</t>
  </si>
  <si>
    <t>Rows</t>
  </si>
  <si>
    <t>Consortium Share</t>
  </si>
  <si>
    <t>IG Share</t>
  </si>
  <si>
    <t>S3123 Share</t>
  </si>
  <si>
    <t>IG Net Share</t>
  </si>
  <si>
    <t>Layer 1</t>
  </si>
  <si>
    <t>Layer 2</t>
  </si>
  <si>
    <t>IG to S3123 Share conversion</t>
  </si>
  <si>
    <t>TPC Share</t>
  </si>
  <si>
    <t>S2126 Share</t>
  </si>
  <si>
    <t>Total of Equity Share, IGR and S3123 QS</t>
  </si>
  <si>
    <t>example of why a spacecraft would be excluded from QS</t>
  </si>
  <si>
    <t>S3123  QS to IG</t>
  </si>
  <si>
    <t>Above IG max line of 30m, exclude all layers with that satellite from QS</t>
  </si>
  <si>
    <t>Layer</t>
  </si>
  <si>
    <t>S3123 QS</t>
  </si>
  <si>
    <t>FIBL (Direct)</t>
  </si>
  <si>
    <t>S3123 QS to IG - Applies to FIHL and FIBL</t>
  </si>
  <si>
    <t>IG Equity Share - Applies to FIHL and FIBL</t>
  </si>
  <si>
    <t>Spacecraft ID</t>
  </si>
  <si>
    <t>Final Net</t>
  </si>
  <si>
    <t>Only including IG exposure (no S3123 QS or Equity Share)</t>
  </si>
  <si>
    <t>Including all</t>
  </si>
  <si>
    <t>Max Risks - FIHL</t>
  </si>
  <si>
    <t>Max Risks - FIBL</t>
  </si>
  <si>
    <t>Max Spacecraft</t>
  </si>
  <si>
    <t xml:space="preserve">Already did Proton Flare as an example! </t>
  </si>
  <si>
    <t>2026Q1</t>
  </si>
  <si>
    <t>Space Weather RDS 2026Q1 Comparison with previous quarter</t>
  </si>
  <si>
    <r>
      <rPr>
        <b/>
        <sz val="11"/>
        <color theme="1"/>
        <rFont val="Calibri"/>
        <family val="2"/>
        <scheme val="minor"/>
      </rPr>
      <t xml:space="preserve">Reinsurance Arrangements:
</t>
    </r>
    <r>
      <rPr>
        <sz val="11"/>
        <color theme="1"/>
        <rFont val="Calibri"/>
        <family val="2"/>
        <scheme val="minor"/>
      </rPr>
      <t xml:space="preserve">External 20% QS applied for FUL/FIID/FIHL on Risk Attaching basis
Internal QS from FUL to FIBL 40% for 2022 inceptions and 50% for 2023/2024/2025.
Internal QS from FIID to FIBL 85% for all inception years.
Internal XoL from FUL to FIBL $245m xs $50m  and from FIID to FIBL $72.5m xs $7.5m .
Plus Internal 20% QS from S3123 to FIBL which had been in forced since 01/07/2024 but not included in the analysis until this quarter. </t>
    </r>
  </si>
  <si>
    <r>
      <rPr>
        <b/>
        <sz val="11"/>
        <color theme="1"/>
        <rFont val="Calibri"/>
        <family val="2"/>
        <scheme val="minor"/>
      </rPr>
      <t>Reinsurance Arrangements:</t>
    </r>
    <r>
      <rPr>
        <sz val="11"/>
        <color theme="1"/>
        <rFont val="Calibri"/>
        <family val="2"/>
        <scheme val="minor"/>
      </rPr>
      <t xml:space="preserve">
External 20% QS applied for FUL/FIID/FIHL on Risk Attaching basis
Internal QS from FUL to FIBL 40% for 2022 inceptions and 50% for 2023/2024/2025.
Internal QS from FIID to FIBL 85% for all inception years.
Internal XoL from FUL to FIBL $245m xs $50m  and from FIID to FIBL $72.5m xs $7.5m .
Plus Internal 20% QS from S3123 to FIBL which had been in forced since 01/07/2024 but not included in the analysis until this quarter. </t>
    </r>
  </si>
  <si>
    <r>
      <rPr>
        <b/>
        <sz val="11"/>
        <color theme="1"/>
        <rFont val="Calibri"/>
        <family val="2"/>
        <scheme val="minor"/>
      </rPr>
      <t xml:space="preserve">Reinsurance Arrangements:
</t>
    </r>
    <r>
      <rPr>
        <sz val="11"/>
        <color theme="1"/>
        <rFont val="Calibri"/>
        <family val="2"/>
        <scheme val="minor"/>
      </rPr>
      <t xml:space="preserve">External 20% QS applied for FUL/FIID/FIHL on Risk Attaching basis
Internal QS from FUL to FIBL 40% for 2022 inceptions and 50% for 2023/2024/2025.
Internal QS from FIID to FIBL 85% for all inception years.
Internal XoL from FUL to FIBL $245m xs $50m  and from FIID to FIBL $72.5m xs $7.5m .
Multiline agg XOL 100 xs 150m in place includes space. Maximum recovery any one event is 30m.
Plus Internal QS from S3123 to FIBL which had been in forced since 01/07/2024 but not included in the analysis until this quarter. </t>
    </r>
  </si>
  <si>
    <t>Generic Defect RDS 2026Q1 Comparison with previous quarter</t>
  </si>
  <si>
    <r>
      <rPr>
        <b/>
        <sz val="11"/>
        <color theme="1"/>
        <rFont val="Calibri"/>
        <family val="2"/>
        <scheme val="minor"/>
      </rPr>
      <t xml:space="preserve">Gross and Net: </t>
    </r>
    <r>
      <rPr>
        <sz val="11"/>
        <color theme="1"/>
        <rFont val="Calibri"/>
        <family val="2"/>
        <scheme val="minor"/>
      </rPr>
      <t xml:space="preserve">Reduction noted due to decrease in GEO risk adjusted exposure. Combination of expiries, less exposure on renewals and policies reducing in their risk period factor have lead to a decrease in this scenario. 
</t>
    </r>
  </si>
  <si>
    <t xml:space="preserve">CHECK with JM </t>
  </si>
  <si>
    <t xml:space="preserve">Exposure is IGR + S1323 QS for (Spainsat NG-2). </t>
  </si>
  <si>
    <t xml:space="preserve">Change in since last quarter is due to inclusion of the 20% QS from S1323 to FIBL relating to SPAINSAT NG-2. Spainsat NG-1 is not applicable, and spainsat NG-2 has beomce largest Satellite </t>
  </si>
  <si>
    <t xml:space="preserve">No Change since Last quarter. </t>
  </si>
  <si>
    <t xml:space="preserve">No Change since Last quarter. Expected as SXM-10 are not off risk until 07/06/2026. </t>
  </si>
  <si>
    <r>
      <rPr>
        <b/>
        <sz val="11"/>
        <color theme="1"/>
        <rFont val="Calibri"/>
        <family val="2"/>
        <scheme val="minor"/>
      </rPr>
      <t xml:space="preserve">Gross: </t>
    </r>
    <r>
      <rPr>
        <sz val="11"/>
        <color theme="1"/>
        <rFont val="Calibri"/>
        <family val="2"/>
        <scheme val="minor"/>
      </rPr>
      <t xml:space="preserve">All attributable to changes in in-force exposure. 
</t>
    </r>
    <r>
      <rPr>
        <b/>
        <sz val="11"/>
        <color theme="1"/>
        <rFont val="Calibri"/>
        <family val="2"/>
        <scheme val="minor"/>
      </rPr>
      <t xml:space="preserve">Net: </t>
    </r>
    <r>
      <rPr>
        <sz val="11"/>
        <color theme="1"/>
        <rFont val="Calibri"/>
        <family val="2"/>
        <scheme val="minor"/>
      </rPr>
      <t xml:space="preserve">Similarly, the net movement is also influenced by inforced exposure. The net figure is after external 20% QS arrangement, and IGR. The QS arrangement with FIBL proporion is not quite 50% because there are 4 S/C incepted in 2022 (so 40% QS). </t>
    </r>
  </si>
  <si>
    <r>
      <rPr>
        <b/>
        <sz val="11"/>
        <color theme="1"/>
        <rFont val="Calibri"/>
        <family val="2"/>
        <scheme val="minor"/>
      </rPr>
      <t xml:space="preserve">Gross and Net: </t>
    </r>
    <r>
      <rPr>
        <sz val="11"/>
        <color theme="1"/>
        <rFont val="Calibri"/>
        <family val="2"/>
        <scheme val="minor"/>
      </rPr>
      <t xml:space="preserve">Largely due to inclusion of S1323 to FIBL 20% QS arrangement. The rest of the movement is due to changes in in-force exposure, given that IGR after external 20% QS agreement. Minor change attributable to equity share. </t>
    </r>
  </si>
  <si>
    <r>
      <rPr>
        <b/>
        <sz val="11"/>
        <color theme="1"/>
        <rFont val="Calibri"/>
        <family val="2"/>
        <scheme val="minor"/>
      </rPr>
      <t>Gross and Net:</t>
    </r>
    <r>
      <rPr>
        <sz val="11"/>
        <color theme="1"/>
        <rFont val="Calibri"/>
        <family val="2"/>
        <scheme val="minor"/>
      </rPr>
      <t xml:space="preserve"> All attributable to changes in in-force exposure.</t>
    </r>
  </si>
  <si>
    <r>
      <rPr>
        <b/>
        <sz val="11"/>
        <color theme="1"/>
        <rFont val="Calibri"/>
        <family val="2"/>
        <scheme val="minor"/>
      </rPr>
      <t xml:space="preserve">Gross: </t>
    </r>
    <r>
      <rPr>
        <sz val="11"/>
        <color theme="1"/>
        <rFont val="Calibri"/>
        <family val="2"/>
        <scheme val="minor"/>
      </rPr>
      <t xml:space="preserve">Airbus Space and Defence Toulouse remains the largest manufacturer. The majority of the movement of is due to the inclusion of S1323 20% QS to FIBL. Movement of around -5mil is from new vs expired policies. With the rest due to equity share. 
</t>
    </r>
    <r>
      <rPr>
        <b/>
        <sz val="11"/>
        <color theme="1"/>
        <rFont val="Calibri"/>
        <family val="2"/>
        <scheme val="minor"/>
      </rPr>
      <t xml:space="preserve">Net: </t>
    </r>
    <r>
      <rPr>
        <sz val="11"/>
        <color theme="1"/>
        <rFont val="Calibri"/>
        <family val="2"/>
        <scheme val="minor"/>
      </rPr>
      <t xml:space="preserve">The net change is due to recent inclusion of S1323 QS to FIBL, which was not included in the analysis in the prior quarter. 
</t>
    </r>
  </si>
  <si>
    <r>
      <rPr>
        <b/>
        <sz val="11"/>
        <color theme="1"/>
        <rFont val="Calibri"/>
        <family val="2"/>
        <scheme val="minor"/>
      </rPr>
      <t xml:space="preserve">Gross: </t>
    </r>
    <r>
      <rPr>
        <sz val="11"/>
        <color theme="1"/>
        <rFont val="Calibri"/>
        <family val="2"/>
        <scheme val="minor"/>
      </rPr>
      <t xml:space="preserve">Airbus Space and Defence Toulouse remains the largest manufacturer. The movement is due new policies vs expired policy.
</t>
    </r>
    <r>
      <rPr>
        <b/>
        <sz val="11"/>
        <color theme="1"/>
        <rFont val="Calibri"/>
        <family val="2"/>
        <scheme val="minor"/>
      </rPr>
      <t>Net:</t>
    </r>
    <r>
      <rPr>
        <sz val="11"/>
        <color theme="1"/>
        <rFont val="Calibri"/>
        <family val="2"/>
        <scheme val="minor"/>
      </rPr>
      <t xml:space="preserve"> Minor change, as the excess on the XOL arrangement with FIBL remains at 50mil, but for this quarter, this limit did not bite. </t>
    </r>
  </si>
  <si>
    <r>
      <rPr>
        <b/>
        <sz val="11"/>
        <color theme="1"/>
        <rFont val="Calibri"/>
        <family val="2"/>
        <scheme val="minor"/>
      </rPr>
      <t xml:space="preserve">Gross &amp; Net: </t>
    </r>
    <r>
      <rPr>
        <sz val="11"/>
        <color theme="1"/>
        <rFont val="Calibri"/>
        <family val="2"/>
        <scheme val="minor"/>
      </rPr>
      <t xml:space="preserve">Airbus Space and Defence Toulouse remains the largest manufacturer. Movement largely due to inclusion of S1323 20% QS to FIBL.
The rest of the change noted are due to changes in in-force exposure, and its corresponding effect on FIBL via IGR. With minor differences attributable to equity share. </t>
    </r>
  </si>
  <si>
    <r>
      <t xml:space="preserve">Further Commentary:
</t>
    </r>
    <r>
      <rPr>
        <sz val="11"/>
        <color theme="1"/>
        <rFont val="Calibri"/>
        <family val="2"/>
        <scheme val="minor"/>
      </rPr>
      <t xml:space="preserve">
Risk Period factor is 40% where risk is 6-12 months from expiry and 20% where &lt;6 months from expiry, 60% if 12-18 months and 80% if &gt;18 months 
Including IG Equity Share of Syndicate this quarter - ~4m to FIHL and FIBL
</t>
    </r>
  </si>
  <si>
    <r>
      <t xml:space="preserve">Further Commentary:
</t>
    </r>
    <r>
      <rPr>
        <sz val="11"/>
        <color theme="1"/>
        <rFont val="Calibri"/>
        <family val="2"/>
        <scheme val="minor"/>
      </rPr>
      <t xml:space="preserve">
All renewals/new layers written through Consortium.</t>
    </r>
    <r>
      <rPr>
        <b/>
        <sz val="11"/>
        <color theme="1"/>
        <rFont val="Calibri"/>
        <family val="2"/>
        <scheme val="minor"/>
      </rPr>
      <t xml:space="preserve">
Including IG Equity Share (1.4m to FIBL and FIHL)</t>
    </r>
  </si>
  <si>
    <r>
      <t xml:space="preserve">Further Commentary:
</t>
    </r>
    <r>
      <rPr>
        <sz val="11"/>
        <color theme="1"/>
        <rFont val="Calibri"/>
        <family val="2"/>
        <scheme val="minor"/>
      </rPr>
      <t>All renewals/new layers written through Consortium. Now Including the IG Equity share of the syndicate</t>
    </r>
    <r>
      <rPr>
        <b/>
        <sz val="11"/>
        <color theme="1"/>
        <rFont val="Calibri"/>
        <family val="2"/>
        <scheme val="minor"/>
      </rPr>
      <t xml:space="preserve"> (9m to FIBL and FIHL)</t>
    </r>
  </si>
  <si>
    <r>
      <t xml:space="preserve">Further Commentary:
</t>
    </r>
    <r>
      <rPr>
        <sz val="11"/>
        <color theme="1"/>
        <rFont val="Calibri"/>
        <family val="2"/>
        <scheme val="minor"/>
      </rPr>
      <t>All renewals/new layers written through Consortium.</t>
    </r>
    <r>
      <rPr>
        <b/>
        <sz val="11"/>
        <color theme="1"/>
        <rFont val="Calibri"/>
        <family val="2"/>
        <scheme val="minor"/>
      </rPr>
      <t xml:space="preserve">
Including IG Equity share on FIHL and FIBL (3.4m)</t>
    </r>
  </si>
  <si>
    <r>
      <rPr>
        <b/>
        <sz val="11"/>
        <color theme="1"/>
        <rFont val="Calibri"/>
        <family val="2"/>
        <scheme val="minor"/>
      </rPr>
      <t xml:space="preserve">Gross: </t>
    </r>
    <r>
      <rPr>
        <sz val="11"/>
        <color theme="1"/>
        <rFont val="Calibri"/>
        <family val="2"/>
        <scheme val="minor"/>
      </rPr>
      <t>Largely due to inclusion of S1323 to FIBL 20% QS arrangement.
The rest of the offsetting movement are driven by the changes in in-force exposure.</t>
    </r>
    <r>
      <rPr>
        <sz val="11"/>
        <color rgb="FFFF0000"/>
        <rFont val="Calibri"/>
        <family val="2"/>
        <scheme val="minor"/>
      </rPr>
      <t xml:space="preserve"> 
</t>
    </r>
    <r>
      <rPr>
        <sz val="11"/>
        <rFont val="Calibri"/>
        <family val="2"/>
        <scheme val="minor"/>
      </rPr>
      <t xml:space="preserve">S3123 max line growth for 2026 had a knock on impact of greater equity share back to IG. </t>
    </r>
    <r>
      <rPr>
        <sz val="11"/>
        <color theme="1"/>
        <rFont val="Calibri"/>
        <family val="2"/>
        <scheme val="minor"/>
      </rPr>
      <t xml:space="preserve">
</t>
    </r>
    <r>
      <rPr>
        <b/>
        <sz val="11"/>
        <rFont val="Calibri"/>
        <family val="2"/>
        <scheme val="minor"/>
      </rPr>
      <t xml:space="preserve">Net: </t>
    </r>
    <r>
      <rPr>
        <sz val="11"/>
        <rFont val="Calibri"/>
        <family val="2"/>
        <scheme val="minor"/>
      </rPr>
      <t xml:space="preserve">Net movement is different due to inclusion of the S3123 20% QS to FIBL in this quarter. </t>
    </r>
  </si>
  <si>
    <r>
      <rPr>
        <b/>
        <sz val="11"/>
        <color theme="1"/>
        <rFont val="Calibri"/>
        <family val="2"/>
        <scheme val="minor"/>
      </rPr>
      <t xml:space="preserve">Gross: </t>
    </r>
    <r>
      <rPr>
        <sz val="11"/>
        <color theme="1"/>
        <rFont val="Calibri"/>
        <family val="2"/>
        <scheme val="minor"/>
      </rPr>
      <t xml:space="preserve">Airbus Space and Defence Toulouse remains the largest manufacturer. The movement is due expiry of a policy.
</t>
    </r>
    <r>
      <rPr>
        <b/>
        <sz val="11"/>
        <color theme="1"/>
        <rFont val="Calibri"/>
        <family val="2"/>
        <scheme val="minor"/>
      </rPr>
      <t xml:space="preserve">Net: </t>
    </r>
    <r>
      <rPr>
        <sz val="11"/>
        <color theme="1"/>
        <rFont val="Calibri"/>
        <family val="2"/>
        <scheme val="minor"/>
      </rPr>
      <t xml:space="preserve">No change, as the excess on IGR XOL remains at 7.5mil. </t>
    </r>
  </si>
  <si>
    <r>
      <rPr>
        <b/>
        <sz val="11"/>
        <color theme="1"/>
        <rFont val="Calibri"/>
        <family val="2"/>
        <scheme val="minor"/>
      </rPr>
      <t>Gross:</t>
    </r>
    <r>
      <rPr>
        <sz val="11"/>
        <color theme="1"/>
        <rFont val="Calibri"/>
        <family val="2"/>
        <scheme val="minor"/>
      </rPr>
      <t xml:space="preserve"> Reduction noted due to decrease in GEO risk adjusted exposure. 
</t>
    </r>
    <r>
      <rPr>
        <b/>
        <sz val="11"/>
        <color theme="1"/>
        <rFont val="Calibri"/>
        <family val="2"/>
        <scheme val="minor"/>
      </rPr>
      <t>Net:</t>
    </r>
    <r>
      <rPr>
        <sz val="11"/>
        <color theme="1"/>
        <rFont val="Calibri"/>
        <family val="2"/>
        <scheme val="minor"/>
      </rPr>
      <t xml:space="preserve"> Net change differs from Gross due to different IGR cessions by UWY.</t>
    </r>
  </si>
  <si>
    <r>
      <rPr>
        <b/>
        <sz val="11"/>
        <rFont val="Calibri"/>
        <family val="2"/>
        <scheme val="minor"/>
      </rPr>
      <t xml:space="preserve">Gross: </t>
    </r>
    <r>
      <rPr>
        <sz val="11"/>
        <rFont val="Calibri"/>
        <family val="2"/>
        <scheme val="minor"/>
      </rPr>
      <t xml:space="preserve">This movement is made up of Reduction in GEO-GSO exposure and Increase in LEO exposure. 
Increase from including S1323 20% QS to FIBL.
- Increase of equity share in line with increase in exposure for this scenario.  
</t>
    </r>
    <r>
      <rPr>
        <b/>
        <sz val="11"/>
        <rFont val="Calibri"/>
        <family val="2"/>
        <scheme val="minor"/>
      </rPr>
      <t xml:space="preserve">Net: </t>
    </r>
    <r>
      <rPr>
        <sz val="11"/>
        <rFont val="Calibri"/>
        <family val="2"/>
        <scheme val="minor"/>
      </rPr>
      <t xml:space="preserve">The net change is slightly different due to recent inclusion of S1323 QS to FIBL. 
</t>
    </r>
  </si>
  <si>
    <r>
      <rPr>
        <b/>
        <sz val="11"/>
        <color theme="1"/>
        <rFont val="Calibri"/>
        <family val="2"/>
        <scheme val="minor"/>
      </rPr>
      <t xml:space="preserve">Gross: </t>
    </r>
    <r>
      <rPr>
        <sz val="11"/>
        <color theme="1"/>
        <rFont val="Calibri"/>
        <family val="2"/>
        <scheme val="minor"/>
      </rPr>
      <t xml:space="preserve">This movement is driven by reduction in GEO-GSO exposure and Increase in LEO exposure.
</t>
    </r>
    <r>
      <rPr>
        <b/>
        <sz val="11"/>
        <color theme="1"/>
        <rFont val="Calibri"/>
        <family val="2"/>
        <scheme val="minor"/>
      </rPr>
      <t xml:space="preserve">Net: </t>
    </r>
    <r>
      <rPr>
        <sz val="11"/>
        <color theme="1"/>
        <rFont val="Calibri"/>
        <family val="2"/>
        <scheme val="minor"/>
      </rPr>
      <t>% Change differing to gross due to differences in IGR for the 2022 UWY, which is 40% QS instead of the 50%.</t>
    </r>
  </si>
  <si>
    <r>
      <rPr>
        <b/>
        <sz val="11"/>
        <color theme="1"/>
        <rFont val="Calibri"/>
        <family val="2"/>
        <scheme val="minor"/>
      </rPr>
      <t xml:space="preserve">Gross: </t>
    </r>
    <r>
      <rPr>
        <sz val="11"/>
        <color theme="1"/>
        <rFont val="Calibri"/>
        <family val="2"/>
        <scheme val="minor"/>
      </rPr>
      <t xml:space="preserve">This movement is driven by reduction in GEO-GSO exposure and Increase in LEO exposure.
</t>
    </r>
    <r>
      <rPr>
        <b/>
        <sz val="11"/>
        <color theme="1"/>
        <rFont val="Calibri"/>
        <family val="2"/>
        <scheme val="minor"/>
      </rPr>
      <t xml:space="preserve">Net: </t>
    </r>
    <r>
      <rPr>
        <sz val="11"/>
        <color theme="1"/>
        <rFont val="Calibri"/>
        <family val="2"/>
        <scheme val="minor"/>
      </rPr>
      <t xml:space="preserve">The movement is essentially 15% of the above movement after external QS and IGR. </t>
    </r>
  </si>
  <si>
    <r>
      <rPr>
        <b/>
        <sz val="11"/>
        <rFont val="Calibri"/>
        <family val="2"/>
        <scheme val="minor"/>
      </rPr>
      <t>Gross</t>
    </r>
    <r>
      <rPr>
        <sz val="11"/>
        <rFont val="Calibri"/>
        <family val="2"/>
        <scheme val="minor"/>
      </rPr>
      <t xml:space="preserve">: 
+9.7mil of the movement noted is due to S1323 20% QS to FIBL.
-5.1mil of the movement noted is due to decrease in GEO risk adjusted exposure.
Remainder due to equity share
</t>
    </r>
    <r>
      <rPr>
        <b/>
        <sz val="11"/>
        <rFont val="Calibri"/>
        <family val="2"/>
        <scheme val="minor"/>
      </rPr>
      <t xml:space="preserve">Net: </t>
    </r>
    <r>
      <rPr>
        <sz val="11"/>
        <rFont val="Calibri"/>
        <family val="2"/>
        <scheme val="minor"/>
      </rPr>
      <t xml:space="preserve">The net change is different due to recent inclusion of S1323 QS to FIBL. </t>
    </r>
  </si>
  <si>
    <r>
      <rPr>
        <b/>
        <sz val="11"/>
        <rFont val="Calibri"/>
        <family val="2"/>
        <scheme val="minor"/>
      </rPr>
      <t xml:space="preserve">Gross and Net: </t>
    </r>
    <r>
      <rPr>
        <sz val="11"/>
        <rFont val="Calibri"/>
        <family val="2"/>
        <scheme val="minor"/>
      </rPr>
      <t xml:space="preserve">
+9.7mil of the movement noted is due to S1323 20% QS to FIBL.
-2.6mil is due to movement in GEO risk adjusted Exposure
Rest of minor movement is due to changes in equity share. </t>
    </r>
  </si>
  <si>
    <r>
      <rPr>
        <b/>
        <sz val="11"/>
        <color theme="1"/>
        <rFont val="Calibri"/>
        <family val="2"/>
        <scheme val="minor"/>
      </rPr>
      <t xml:space="preserve">Gross: </t>
    </r>
    <r>
      <rPr>
        <sz val="11"/>
        <color theme="1"/>
        <rFont val="Calibri"/>
        <family val="2"/>
        <scheme val="minor"/>
      </rPr>
      <t>The majority of movement is made up of: 
- +8.8</t>
    </r>
    <r>
      <rPr>
        <sz val="11"/>
        <rFont val="Calibri"/>
        <family val="2"/>
        <scheme val="minor"/>
      </rPr>
      <t>mil</t>
    </r>
    <r>
      <rPr>
        <sz val="11"/>
        <color theme="1"/>
        <rFont val="Calibri"/>
        <family val="2"/>
        <scheme val="minor"/>
      </rPr>
      <t xml:space="preserve"> from S1323 20% QS to FIBL 
- +4mil from 2 LEO spacecrafts written directly by FIBL 
</t>
    </r>
    <r>
      <rPr>
        <b/>
        <sz val="11"/>
        <color theme="1"/>
        <rFont val="Calibri"/>
        <family val="2"/>
        <scheme val="minor"/>
      </rPr>
      <t>Net:</t>
    </r>
    <r>
      <rPr>
        <sz val="11"/>
        <color theme="1"/>
        <rFont val="Calibri"/>
        <family val="2"/>
        <scheme val="minor"/>
      </rPr>
      <t xml:space="preserve"> Same as above except the direct exposure benefits from 20% external QS arrangement.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</si>
</sst>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_ ;[Red]\-#,##0\ "/>
    <numFmt numFmtId="165" formatCode="0.000%"/>
    <numFmt numFmtId="166" formatCode="0.0%"/>
    <numFmt numFmtId="167" formatCode="0_ ;[Red]\-0\ "/>
    <numFmt numFmtId="168" formatCode="#,##0_ ;\-#,##0\ "/>
    <numFmt numFmtId="169" formatCode="#,##0.00_ ;[Red]\-#,##0.00\ "/>
    <numFmt numFmtId="170" formatCode="#,##0.000_ ;[Red]\-#,##0.000\ "/>
    <numFmt numFmtId="171" formatCode="_-* #,##0_-;\-* #,##0_-;_-* &quot;-&quot;??_-;_-@_-"/>
    <numFmt numFmtId="172" formatCode="0.0%;\(0.0%\);* ?&quot;-&quot;?_%"/>
    <numFmt numFmtId="173" formatCode="#,##0.0000000"/>
    <numFmt numFmtId="174" formatCode="0.0,,&quot;m&quot;"/>
    <numFmt numFmtId="175" formatCode="0.0"/>
    <numFmt numFmtId="176" formatCode="0.00000"/>
    <numFmt numFmtId="177" formatCode="0.00%;\(0.00%\);* ?&quot;-&quot;?_%"/>
    <numFmt numFmtId="178" formatCode="0.000000%"/>
    <numFmt numFmtId="179" formatCode="0.0000000"/>
    <numFmt numFmtId="180" formatCode="0.000"/>
    <numFmt numFmtId="181" formatCode="0.00000000000000%"/>
    <numFmt numFmtId="182" formatCode="_-* #,##0.00000_-;\-* #,##0.00000_-;_-* &quot;-&quot;??_-;_-@_-"/>
    <numFmt numFmtId="183" formatCode="#,##0.000000"/>
  </numFmts>
  <fonts count="3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i/>
      <sz val="11"/>
      <color theme="1"/>
      <name val="Calibri"/>
      <family val="2"/>
      <scheme val="minor"/>
    </font>
    <font>
      <sz val="11"/>
      <color theme="0"/>
      <name val="Calibri"/>
      <family val="2"/>
      <scheme val="minor"/>
    </font>
    <font>
      <sz val="11"/>
      <color theme="0" tint="-0.499984740745262"/>
      <name val="Calibri"/>
      <family val="2"/>
      <scheme val="minor"/>
    </font>
    <font>
      <sz val="11"/>
      <name val="Calibri"/>
      <family val="2"/>
      <scheme val="minor"/>
    </font>
    <font>
      <sz val="11"/>
      <color rgb="FF3F3F76"/>
      <name val="Calibri"/>
      <family val="2"/>
      <scheme val="minor"/>
    </font>
    <font>
      <b/>
      <i/>
      <sz val="16"/>
      <color theme="1"/>
      <name val="Calibri"/>
      <family val="2"/>
      <scheme val="minor"/>
    </font>
    <font>
      <i/>
      <sz val="11"/>
      <color theme="1"/>
      <name val="Calibri"/>
      <family val="2"/>
      <scheme val="minor"/>
    </font>
    <font>
      <sz val="9"/>
      <color indexed="81"/>
      <name val="Tahoma"/>
      <family val="2"/>
    </font>
    <font>
      <b/>
      <sz val="9"/>
      <color indexed="81"/>
      <name val="Tahoma"/>
      <family val="2"/>
    </font>
    <font>
      <b/>
      <sz val="11"/>
      <color theme="8"/>
      <name val="Calibri"/>
      <family val="2"/>
      <scheme val="minor"/>
    </font>
    <font>
      <sz val="18"/>
      <color theme="1"/>
      <name val="Calibri"/>
      <family val="2"/>
      <scheme val="minor"/>
    </font>
    <font>
      <b/>
      <sz val="11"/>
      <name val="Calibri"/>
      <family val="2"/>
      <scheme val="minor"/>
    </font>
    <font>
      <sz val="12"/>
      <color theme="1"/>
      <name val="Calibri"/>
      <family val="2"/>
      <scheme val="minor"/>
    </font>
    <font>
      <b/>
      <sz val="12"/>
      <color theme="0"/>
      <name val="Calibri"/>
      <family val="2"/>
      <scheme val="minor"/>
    </font>
    <font>
      <sz val="11"/>
      <color theme="2" tint="0.39997558519241921"/>
      <name val="Calibri"/>
      <family val="2"/>
      <scheme val="minor"/>
    </font>
    <font>
      <sz val="11"/>
      <color rgb="FFFF0000"/>
      <name val="Calibri"/>
      <family val="2"/>
      <scheme val="minor"/>
    </font>
    <font>
      <b/>
      <sz val="11"/>
      <color rgb="FF000000"/>
      <name val="Calibri"/>
      <family val="2"/>
    </font>
    <font>
      <sz val="11"/>
      <color theme="1"/>
      <name val="Calibri"/>
      <family val="2"/>
    </font>
    <font>
      <i/>
      <sz val="11"/>
      <name val="Calibri"/>
      <family val="2"/>
      <scheme val="minor"/>
    </font>
    <font>
      <b/>
      <u/>
      <sz val="11"/>
      <color theme="1"/>
      <name val="Calibri"/>
      <family val="2"/>
      <scheme val="minor"/>
    </font>
    <font>
      <sz val="11"/>
      <color theme="3" tint="0.749992370372631"/>
      <name val="Calibri"/>
      <family val="2"/>
      <scheme val="minor"/>
    </font>
    <font>
      <u/>
      <sz val="11"/>
      <color theme="10"/>
      <name val="Calibri"/>
      <family val="2"/>
      <scheme val="minor"/>
    </font>
    <font>
      <sz val="11"/>
      <color theme="4"/>
      <name val="Calibri"/>
      <family val="2"/>
      <scheme val="minor"/>
    </font>
    <font>
      <b/>
      <sz val="11"/>
      <color theme="4"/>
      <name val="Calibri"/>
      <family val="2"/>
      <scheme val="minor"/>
    </font>
    <font>
      <sz val="11"/>
      <color rgb="FF00B0F0"/>
      <name val="Calibri"/>
      <family val="2"/>
      <scheme val="minor"/>
    </font>
    <font>
      <sz val="11"/>
      <color theme="8" tint="-0.249977111117893"/>
      <name val="Calibri"/>
      <family val="2"/>
      <scheme val="minor"/>
    </font>
    <font>
      <sz val="11"/>
      <color rgb="FFC00000"/>
      <name val="Calibri"/>
      <family val="2"/>
      <scheme val="minor"/>
    </font>
    <font>
      <b/>
      <sz val="11"/>
      <color rgb="FFFF0000"/>
      <name val="Calibri"/>
      <family val="2"/>
      <scheme val="minor"/>
    </font>
    <font>
      <b/>
      <sz val="11"/>
      <color theme="0"/>
      <name val="Arial"/>
      <family val="2"/>
    </font>
    <font>
      <b/>
      <sz val="11"/>
      <color theme="1"/>
      <name val="Arial"/>
      <family val="2"/>
    </font>
  </fonts>
  <fills count="37">
    <fill>
      <patternFill patternType="none"/>
    </fill>
    <fill>
      <patternFill patternType="gray125"/>
    </fill>
    <fill>
      <patternFill patternType="solid">
        <fgColor rgb="FFFFFF00"/>
        <bgColor indexed="64"/>
      </patternFill>
    </fill>
    <fill>
      <patternFill patternType="solid">
        <fgColor theme="4" tint="0.39997558519241921"/>
        <bgColor indexed="65"/>
      </patternFill>
    </fill>
    <fill>
      <patternFill patternType="solid">
        <fgColor theme="1"/>
        <bgColor indexed="64"/>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rgb="FFFFCC99"/>
      </patternFill>
    </fill>
    <fill>
      <patternFill patternType="solid">
        <fgColor theme="3"/>
        <bgColor indexed="64"/>
      </patternFill>
    </fill>
    <fill>
      <patternFill patternType="solid">
        <fgColor theme="7" tint="0.39997558519241921"/>
        <bgColor indexed="64"/>
      </patternFill>
    </fill>
    <fill>
      <patternFill patternType="solid">
        <fgColor theme="0"/>
        <bgColor indexed="64"/>
      </patternFill>
    </fill>
    <fill>
      <patternFill patternType="solid">
        <fgColor theme="2" tint="-0.14999847407452621"/>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5"/>
        <bgColor indexed="64"/>
      </patternFill>
    </fill>
    <fill>
      <patternFill patternType="solid">
        <fgColor theme="7"/>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rgb="FF000000"/>
        <bgColor indexed="64"/>
      </patternFill>
    </fill>
    <fill>
      <patternFill patternType="solid">
        <fgColor rgb="FFFF0000"/>
        <bgColor indexed="64"/>
      </patternFill>
    </fill>
    <fill>
      <patternFill patternType="solid">
        <fgColor rgb="FFFF00FF"/>
        <bgColor indexed="64"/>
      </patternFill>
    </fill>
    <fill>
      <patternFill patternType="solid">
        <fgColor rgb="FF0066FF"/>
        <bgColor indexed="64"/>
      </patternFill>
    </fill>
    <fill>
      <patternFill patternType="solid">
        <fgColor rgb="FF00B05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6"/>
        <bgColor indexed="64"/>
      </patternFill>
    </fill>
    <fill>
      <patternFill patternType="solid">
        <fgColor rgb="FFC00000"/>
        <bgColor indexed="64"/>
      </patternFill>
    </fill>
    <fill>
      <patternFill patternType="solid">
        <fgColor theme="7" tint="0.59999389629810485"/>
        <bgColor indexed="64"/>
      </patternFill>
    </fill>
    <fill>
      <patternFill patternType="solid">
        <fgColor rgb="FF99FF33"/>
        <bgColor indexed="64"/>
      </patternFill>
    </fill>
    <fill>
      <patternFill patternType="solid">
        <fgColor theme="4" tint="0.79998168889431442"/>
        <bgColor indexed="64"/>
      </patternFill>
    </fill>
    <fill>
      <patternFill patternType="solid">
        <fgColor rgb="FFFF6699"/>
        <bgColor indexed="64"/>
      </patternFill>
    </fill>
    <fill>
      <patternFill patternType="solid">
        <fgColor rgb="FFFF0066"/>
        <bgColor indexed="64"/>
      </patternFill>
    </fill>
    <fill>
      <patternFill patternType="solid">
        <fgColor theme="4"/>
        <bgColor indexed="64"/>
      </patternFill>
    </fill>
    <fill>
      <patternFill patternType="solid">
        <fgColor rgb="FFFF66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9" fontId="2" fillId="0" borderId="0" applyFont="0" applyFill="0" applyBorder="0" applyAlignment="0" applyProtection="0"/>
    <xf numFmtId="0" fontId="2" fillId="3"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5" fillId="7" borderId="0" applyNumberFormat="0" applyBorder="0" applyAlignment="0" applyProtection="0"/>
    <xf numFmtId="43" fontId="2" fillId="0" borderId="0" applyFont="0" applyFill="0" applyBorder="0" applyAlignment="0" applyProtection="0"/>
    <xf numFmtId="0" fontId="8" fillId="8" borderId="11" applyNumberFormat="0" applyAlignment="0" applyProtection="0"/>
    <xf numFmtId="0" fontId="3" fillId="9" borderId="1">
      <alignment horizontal="center" vertical="center"/>
    </xf>
    <xf numFmtId="0" fontId="2" fillId="10" borderId="1" applyProtection="0"/>
    <xf numFmtId="0" fontId="2" fillId="11" borderId="0"/>
    <xf numFmtId="0" fontId="2" fillId="12" borderId="1"/>
    <xf numFmtId="0" fontId="25" fillId="0" borderId="0" applyNumberFormat="0" applyFill="0" applyBorder="0" applyAlignment="0" applyProtection="0"/>
  </cellStyleXfs>
  <cellXfs count="529">
    <xf numFmtId="0" fontId="0" fillId="0" borderId="0" xfId="0"/>
    <xf numFmtId="47" fontId="0" fillId="0" borderId="0" xfId="0" applyNumberFormat="1"/>
    <xf numFmtId="14" fontId="0" fillId="0" borderId="0" xfId="0" applyNumberFormat="1"/>
    <xf numFmtId="0" fontId="0" fillId="2" borderId="0" xfId="0" applyFill="1"/>
    <xf numFmtId="164" fontId="0" fillId="0" borderId="0" xfId="0" applyNumberFormat="1"/>
    <xf numFmtId="0" fontId="1" fillId="0" borderId="0" xfId="0" applyFont="1"/>
    <xf numFmtId="0" fontId="0" fillId="0" borderId="0" xfId="0" applyAlignment="1">
      <alignment horizontal="center"/>
    </xf>
    <xf numFmtId="0" fontId="0" fillId="0" borderId="1" xfId="0" applyBorder="1"/>
    <xf numFmtId="0" fontId="2" fillId="3" borderId="1" xfId="2" applyBorder="1" applyAlignment="1">
      <alignment horizontal="center"/>
    </xf>
    <xf numFmtId="14" fontId="2" fillId="3" borderId="1" xfId="2" applyNumberFormat="1" applyBorder="1" applyAlignment="1">
      <alignment horizontal="center"/>
    </xf>
    <xf numFmtId="165" fontId="2" fillId="3" borderId="1" xfId="1" applyNumberFormat="1" applyFill="1" applyBorder="1" applyAlignment="1">
      <alignment horizontal="center"/>
    </xf>
    <xf numFmtId="0" fontId="1" fillId="0" borderId="0" xfId="0" applyFont="1" applyAlignment="1">
      <alignment horizontal="center"/>
    </xf>
    <xf numFmtId="0" fontId="1" fillId="0" borderId="1" xfId="0" applyFon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0" fontId="1" fillId="0" borderId="1" xfId="0" applyFont="1" applyBorder="1"/>
    <xf numFmtId="0" fontId="1" fillId="0" borderId="1" xfId="0" applyFont="1" applyBorder="1" applyAlignment="1">
      <alignment horizontal="centerContinuous"/>
    </xf>
    <xf numFmtId="0" fontId="4" fillId="0" borderId="1" xfId="0" applyFont="1" applyBorder="1" applyAlignment="1">
      <alignment horizontal="center"/>
    </xf>
    <xf numFmtId="164" fontId="1" fillId="0" borderId="1" xfId="0" applyNumberFormat="1" applyFont="1" applyBorder="1" applyAlignment="1">
      <alignment horizontal="center"/>
    </xf>
    <xf numFmtId="0" fontId="3" fillId="4" borderId="1" xfId="0" applyFont="1" applyFill="1" applyBorder="1"/>
    <xf numFmtId="9" fontId="0" fillId="0" borderId="1" xfId="0" applyNumberFormat="1" applyBorder="1" applyAlignment="1">
      <alignment horizontal="center"/>
    </xf>
    <xf numFmtId="164" fontId="0" fillId="0" borderId="0" xfId="0" applyNumberFormat="1" applyAlignment="1">
      <alignment horizontal="center"/>
    </xf>
    <xf numFmtId="0" fontId="3" fillId="4" borderId="1" xfId="0" applyFont="1" applyFill="1" applyBorder="1" applyAlignment="1">
      <alignment horizontal="center"/>
    </xf>
    <xf numFmtId="0" fontId="2" fillId="5" borderId="1" xfId="3" applyBorder="1" applyAlignment="1">
      <alignment horizontal="center"/>
    </xf>
    <xf numFmtId="0" fontId="5" fillId="7" borderId="0" xfId="5" applyAlignment="1">
      <alignment horizontal="centerContinuous"/>
    </xf>
    <xf numFmtId="164" fontId="0" fillId="0" borderId="1" xfId="0" applyNumberFormat="1" applyBorder="1"/>
    <xf numFmtId="10" fontId="0" fillId="0" borderId="1" xfId="1" applyNumberFormat="1" applyFont="1" applyBorder="1" applyAlignment="1">
      <alignment horizontal="center"/>
    </xf>
    <xf numFmtId="164" fontId="2" fillId="6" borderId="1" xfId="4" applyNumberFormat="1" applyBorder="1" applyAlignment="1">
      <alignment horizontal="center"/>
    </xf>
    <xf numFmtId="0" fontId="3" fillId="7" borderId="0" xfId="5" applyFont="1" applyAlignment="1">
      <alignment horizontal="centerContinuous"/>
    </xf>
    <xf numFmtId="0" fontId="3" fillId="7" borderId="0" xfId="5" applyFont="1" applyBorder="1" applyAlignment="1">
      <alignment horizontal="centerContinuous"/>
    </xf>
    <xf numFmtId="164" fontId="6" fillId="6" borderId="1" xfId="4" applyNumberFormat="1" applyFont="1" applyBorder="1" applyAlignment="1">
      <alignment horizontal="center"/>
    </xf>
    <xf numFmtId="14" fontId="0" fillId="0" borderId="1" xfId="0" applyNumberFormat="1" applyBorder="1" applyAlignment="1">
      <alignment horizontal="center"/>
    </xf>
    <xf numFmtId="14" fontId="1" fillId="0" borderId="1" xfId="0" applyNumberFormat="1" applyFont="1" applyBorder="1" applyAlignment="1">
      <alignment horizontal="center"/>
    </xf>
    <xf numFmtId="3" fontId="0" fillId="0" borderId="0" xfId="0" applyNumberFormat="1"/>
    <xf numFmtId="3" fontId="1" fillId="0" borderId="1" xfId="0" applyNumberFormat="1" applyFont="1" applyBorder="1" applyAlignment="1">
      <alignment horizontal="center"/>
    </xf>
    <xf numFmtId="3" fontId="0" fillId="0" borderId="1" xfId="0" applyNumberFormat="1" applyBorder="1" applyAlignment="1">
      <alignment horizontal="center"/>
    </xf>
    <xf numFmtId="0" fontId="4" fillId="0" borderId="0" xfId="0" applyFont="1"/>
    <xf numFmtId="9" fontId="0" fillId="0" borderId="1" xfId="1" applyFont="1" applyBorder="1" applyAlignment="1">
      <alignment horizontal="center"/>
    </xf>
    <xf numFmtId="166" fontId="0" fillId="0" borderId="1" xfId="0" applyNumberFormat="1" applyBorder="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3" fontId="0" fillId="0" borderId="2" xfId="0" applyNumberFormat="1" applyBorder="1" applyAlignment="1">
      <alignment horizontal="center"/>
    </xf>
    <xf numFmtId="0" fontId="5" fillId="4" borderId="12" xfId="0" applyFont="1" applyFill="1" applyBorder="1" applyAlignment="1">
      <alignment horizontal="center"/>
    </xf>
    <xf numFmtId="0" fontId="5" fillId="4" borderId="13" xfId="0" applyFont="1" applyFill="1" applyBorder="1" applyAlignment="1">
      <alignment horizontal="center"/>
    </xf>
    <xf numFmtId="164" fontId="0" fillId="0" borderId="4" xfId="0" applyNumberFormat="1" applyBorder="1" applyAlignment="1">
      <alignment horizontal="center"/>
    </xf>
    <xf numFmtId="164" fontId="0" fillId="0" borderId="3" xfId="0" applyNumberFormat="1" applyBorder="1" applyAlignment="1">
      <alignment horizontal="center"/>
    </xf>
    <xf numFmtId="164" fontId="0" fillId="0" borderId="5" xfId="0" applyNumberFormat="1" applyBorder="1" applyAlignment="1">
      <alignment horizontal="center"/>
    </xf>
    <xf numFmtId="164" fontId="0" fillId="0" borderId="12" xfId="0" applyNumberFormat="1" applyBorder="1" applyAlignment="1">
      <alignment horizontal="center"/>
    </xf>
    <xf numFmtId="3" fontId="1" fillId="0" borderId="1" xfId="0" applyNumberFormat="1" applyFont="1" applyBorder="1"/>
    <xf numFmtId="3" fontId="1" fillId="0" borderId="0" xfId="0" applyNumberFormat="1" applyFont="1"/>
    <xf numFmtId="167" fontId="0" fillId="0" borderId="1" xfId="0" applyNumberFormat="1" applyBorder="1" applyAlignment="1">
      <alignment horizontal="center"/>
    </xf>
    <xf numFmtId="11" fontId="9" fillId="0" borderId="0" xfId="0" applyNumberFormat="1" applyFont="1"/>
    <xf numFmtId="0" fontId="0" fillId="0" borderId="9" xfId="0" applyBorder="1" applyAlignment="1">
      <alignment horizontal="center"/>
    </xf>
    <xf numFmtId="9" fontId="0" fillId="0" borderId="0" xfId="1" applyFont="1" applyBorder="1" applyAlignment="1">
      <alignment horizontal="center"/>
    </xf>
    <xf numFmtId="9" fontId="0" fillId="0" borderId="2" xfId="1" applyFont="1" applyBorder="1" applyAlignment="1">
      <alignment horizontal="center"/>
    </xf>
    <xf numFmtId="0" fontId="0" fillId="0" borderId="2" xfId="0" applyBorder="1" applyAlignment="1">
      <alignment horizontal="center"/>
    </xf>
    <xf numFmtId="14" fontId="8" fillId="8" borderId="11" xfId="7" applyNumberFormat="1"/>
    <xf numFmtId="0" fontId="3" fillId="4" borderId="3" xfId="0" applyFont="1" applyFill="1" applyBorder="1" applyAlignment="1">
      <alignment horizontal="center"/>
    </xf>
    <xf numFmtId="0" fontId="3" fillId="4" borderId="12" xfId="0" applyFont="1" applyFill="1" applyBorder="1" applyAlignment="1">
      <alignment horizontal="center"/>
    </xf>
    <xf numFmtId="0" fontId="3" fillId="4" borderId="13" xfId="0" applyFont="1" applyFill="1" applyBorder="1" applyAlignment="1">
      <alignment horizontal="center"/>
    </xf>
    <xf numFmtId="165" fontId="0" fillId="0" borderId="0" xfId="1" applyNumberFormat="1" applyFont="1" applyBorder="1" applyAlignment="1">
      <alignment horizontal="center"/>
    </xf>
    <xf numFmtId="9" fontId="0" fillId="0" borderId="9" xfId="0" applyNumberFormat="1" applyBorder="1" applyAlignment="1">
      <alignment horizontal="center"/>
    </xf>
    <xf numFmtId="165" fontId="0" fillId="0" borderId="2" xfId="1" applyNumberFormat="1" applyFont="1" applyBorder="1" applyAlignment="1">
      <alignment horizontal="center"/>
    </xf>
    <xf numFmtId="9" fontId="0" fillId="0" borderId="10" xfId="0" applyNumberForma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168" fontId="0" fillId="0" borderId="0" xfId="6" applyNumberFormat="1" applyFont="1" applyBorder="1" applyAlignment="1">
      <alignment horizontal="center"/>
    </xf>
    <xf numFmtId="168" fontId="0" fillId="0" borderId="0" xfId="6" applyNumberFormat="1" applyFont="1" applyAlignment="1">
      <alignment horizontal="center"/>
    </xf>
    <xf numFmtId="168" fontId="0" fillId="0" borderId="2" xfId="6" applyNumberFormat="1" applyFont="1" applyBorder="1" applyAlignment="1">
      <alignment horizontal="center"/>
    </xf>
    <xf numFmtId="0" fontId="10" fillId="0" borderId="0" xfId="0" applyFont="1"/>
    <xf numFmtId="9" fontId="0" fillId="0" borderId="0" xfId="1" applyFont="1"/>
    <xf numFmtId="164" fontId="0" fillId="0" borderId="2" xfId="0" applyNumberFormat="1" applyBorder="1"/>
    <xf numFmtId="169" fontId="0" fillId="0" borderId="0" xfId="0" applyNumberFormat="1" applyAlignment="1">
      <alignment horizontal="center"/>
    </xf>
    <xf numFmtId="43" fontId="0" fillId="0" borderId="0" xfId="0" applyNumberFormat="1"/>
    <xf numFmtId="0" fontId="0" fillId="0" borderId="0" xfId="0" applyAlignment="1">
      <alignment wrapText="1"/>
    </xf>
    <xf numFmtId="0" fontId="5" fillId="4" borderId="0" xfId="0" applyFont="1" applyFill="1"/>
    <xf numFmtId="14" fontId="0" fillId="0" borderId="1" xfId="0" applyNumberFormat="1" applyBorder="1"/>
    <xf numFmtId="170" fontId="0" fillId="0" borderId="0" xfId="0" applyNumberFormat="1"/>
    <xf numFmtId="0" fontId="3" fillId="9" borderId="1" xfId="8">
      <alignment horizontal="center" vertical="center"/>
    </xf>
    <xf numFmtId="0" fontId="2" fillId="10" borderId="1" xfId="9" applyAlignment="1">
      <alignment horizontal="center" vertical="center"/>
    </xf>
    <xf numFmtId="0" fontId="2" fillId="11" borderId="0" xfId="10"/>
    <xf numFmtId="14" fontId="2" fillId="12" borderId="1" xfId="11" applyNumberFormat="1"/>
    <xf numFmtId="0" fontId="3" fillId="9" borderId="8" xfId="8" applyBorder="1">
      <alignment horizontal="center" vertical="center"/>
    </xf>
    <xf numFmtId="0" fontId="3" fillId="9" borderId="9" xfId="8" applyBorder="1">
      <alignment horizontal="center" vertical="center"/>
    </xf>
    <xf numFmtId="0" fontId="0" fillId="14" borderId="0" xfId="0" applyFill="1"/>
    <xf numFmtId="171" fontId="0" fillId="0" borderId="0" xfId="6" applyNumberFormat="1" applyFont="1"/>
    <xf numFmtId="9" fontId="0" fillId="0" borderId="1" xfId="1" applyFont="1" applyFill="1" applyBorder="1" applyAlignment="1">
      <alignment horizontal="center"/>
    </xf>
    <xf numFmtId="10" fontId="0" fillId="0" borderId="1" xfId="1" applyNumberFormat="1" applyFont="1" applyFill="1" applyBorder="1" applyAlignment="1">
      <alignment horizontal="center"/>
    </xf>
    <xf numFmtId="43" fontId="0" fillId="0" borderId="0" xfId="6" applyFont="1" applyFill="1"/>
    <xf numFmtId="10" fontId="0" fillId="0" borderId="0" xfId="1" applyNumberFormat="1" applyFont="1"/>
    <xf numFmtId="0" fontId="5" fillId="11" borderId="0" xfId="10" applyFont="1"/>
    <xf numFmtId="0" fontId="3" fillId="9" borderId="14" xfId="10" applyFont="1" applyFill="1" applyBorder="1"/>
    <xf numFmtId="0" fontId="3" fillId="9" borderId="15" xfId="10" applyFont="1" applyFill="1" applyBorder="1"/>
    <xf numFmtId="0" fontId="3" fillId="9" borderId="15" xfId="10" applyFont="1" applyFill="1" applyBorder="1" applyAlignment="1">
      <alignment horizontal="center"/>
    </xf>
    <xf numFmtId="0" fontId="3" fillId="9" borderId="16" xfId="10" applyFont="1" applyFill="1" applyBorder="1" applyAlignment="1">
      <alignment horizontal="center"/>
    </xf>
    <xf numFmtId="0" fontId="3" fillId="18" borderId="4" xfId="10" applyFont="1" applyFill="1" applyBorder="1" applyAlignment="1">
      <alignment horizontal="left" indent="1"/>
    </xf>
    <xf numFmtId="0" fontId="2" fillId="11" borderId="3" xfId="10" applyBorder="1"/>
    <xf numFmtId="171" fontId="0" fillId="11" borderId="12" xfId="6" applyNumberFormat="1" applyFont="1" applyFill="1" applyBorder="1"/>
    <xf numFmtId="171" fontId="0" fillId="11" borderId="13" xfId="6" applyNumberFormat="1" applyFont="1" applyFill="1" applyBorder="1"/>
    <xf numFmtId="0" fontId="3" fillId="18" borderId="6" xfId="10" applyFont="1" applyFill="1" applyBorder="1" applyAlignment="1">
      <alignment horizontal="left" indent="1"/>
    </xf>
    <xf numFmtId="171" fontId="0" fillId="11" borderId="0" xfId="6" applyNumberFormat="1" applyFont="1" applyFill="1" applyBorder="1"/>
    <xf numFmtId="171" fontId="0" fillId="11" borderId="9" xfId="6" applyNumberFormat="1" applyFont="1" applyFill="1" applyBorder="1"/>
    <xf numFmtId="0" fontId="3" fillId="18" borderId="8" xfId="10" applyFont="1" applyFill="1" applyBorder="1" applyAlignment="1">
      <alignment horizontal="left" indent="1"/>
    </xf>
    <xf numFmtId="171" fontId="0" fillId="11" borderId="2" xfId="6" applyNumberFormat="1" applyFont="1" applyFill="1" applyBorder="1"/>
    <xf numFmtId="171" fontId="0" fillId="11" borderId="10" xfId="6" applyNumberFormat="1" applyFont="1" applyFill="1" applyBorder="1"/>
    <xf numFmtId="0" fontId="3" fillId="9" borderId="1" xfId="10" applyFont="1" applyFill="1" applyBorder="1" applyAlignment="1">
      <alignment horizontal="center"/>
    </xf>
    <xf numFmtId="0" fontId="3" fillId="18" borderId="4" xfId="10" applyFont="1" applyFill="1" applyBorder="1" applyAlignment="1">
      <alignment horizontal="left" vertical="center" indent="1"/>
    </xf>
    <xf numFmtId="171" fontId="2" fillId="11" borderId="4" xfId="10" applyNumberFormat="1" applyBorder="1" applyAlignment="1">
      <alignment vertical="center"/>
    </xf>
    <xf numFmtId="172" fontId="0" fillId="11" borderId="4" xfId="1" applyNumberFormat="1" applyFont="1" applyFill="1" applyBorder="1" applyAlignment="1">
      <alignment vertical="center"/>
    </xf>
    <xf numFmtId="0" fontId="3" fillId="18" borderId="6" xfId="10" applyFont="1" applyFill="1" applyBorder="1" applyAlignment="1">
      <alignment horizontal="left" vertical="center" indent="1"/>
    </xf>
    <xf numFmtId="171" fontId="0" fillId="11" borderId="6" xfId="6" applyNumberFormat="1" applyFont="1" applyFill="1" applyBorder="1" applyAlignment="1">
      <alignment vertical="center"/>
    </xf>
    <xf numFmtId="172" fontId="0" fillId="11" borderId="6" xfId="1" applyNumberFormat="1" applyFont="1" applyFill="1" applyBorder="1" applyAlignment="1">
      <alignment vertical="center"/>
    </xf>
    <xf numFmtId="171" fontId="0" fillId="11" borderId="8" xfId="6" applyNumberFormat="1" applyFont="1" applyFill="1" applyBorder="1" applyAlignment="1">
      <alignment vertical="center"/>
    </xf>
    <xf numFmtId="172" fontId="0" fillId="11" borderId="8" xfId="1" applyNumberFormat="1" applyFont="1" applyFill="1" applyBorder="1" applyAlignment="1">
      <alignment vertical="center"/>
    </xf>
    <xf numFmtId="0" fontId="14" fillId="11" borderId="0" xfId="10" applyFont="1"/>
    <xf numFmtId="43" fontId="0" fillId="0" borderId="0" xfId="6" applyFont="1" applyAlignment="1">
      <alignment horizontal="center"/>
    </xf>
    <xf numFmtId="43" fontId="0" fillId="0" borderId="0" xfId="0" applyNumberFormat="1" applyAlignment="1">
      <alignment horizontal="center"/>
    </xf>
    <xf numFmtId="43" fontId="2" fillId="11" borderId="0" xfId="10" applyNumberFormat="1"/>
    <xf numFmtId="0" fontId="15" fillId="15" borderId="1" xfId="0" applyFont="1" applyFill="1" applyBorder="1" applyAlignment="1">
      <alignment horizontal="center"/>
    </xf>
    <xf numFmtId="3" fontId="7" fillId="15" borderId="1" xfId="0" applyNumberFormat="1" applyFont="1" applyFill="1" applyBorder="1" applyAlignment="1">
      <alignment horizontal="center"/>
    </xf>
    <xf numFmtId="0" fontId="2" fillId="11" borderId="3" xfId="10" quotePrefix="1" applyBorder="1" applyAlignment="1">
      <alignment horizontal="left"/>
    </xf>
    <xf numFmtId="0" fontId="3" fillId="18" borderId="3" xfId="10" applyFont="1" applyFill="1" applyBorder="1" applyAlignment="1">
      <alignment horizontal="left" indent="1"/>
    </xf>
    <xf numFmtId="0" fontId="3" fillId="18" borderId="5" xfId="10" applyFont="1" applyFill="1" applyBorder="1" applyAlignment="1">
      <alignment horizontal="left" indent="1"/>
    </xf>
    <xf numFmtId="0" fontId="3" fillId="9" borderId="12" xfId="10" applyFont="1" applyFill="1" applyBorder="1"/>
    <xf numFmtId="0" fontId="2" fillId="11" borderId="7" xfId="10" quotePrefix="1" applyBorder="1" applyAlignment="1">
      <alignment horizontal="left"/>
    </xf>
    <xf numFmtId="0" fontId="2" fillId="11" borderId="5" xfId="10" quotePrefix="1" applyBorder="1" applyAlignment="1">
      <alignment horizontal="left"/>
    </xf>
    <xf numFmtId="171" fontId="0" fillId="0" borderId="2" xfId="6" applyNumberFormat="1" applyFont="1" applyFill="1" applyBorder="1"/>
    <xf numFmtId="171" fontId="0" fillId="0" borderId="10" xfId="6" applyNumberFormat="1" applyFont="1" applyFill="1" applyBorder="1"/>
    <xf numFmtId="0" fontId="2" fillId="11" borderId="12" xfId="10" applyBorder="1"/>
    <xf numFmtId="0" fontId="2" fillId="11" borderId="5" xfId="10" applyBorder="1"/>
    <xf numFmtId="0" fontId="3" fillId="18" borderId="7" xfId="10" applyFont="1" applyFill="1" applyBorder="1" applyAlignment="1">
      <alignment horizontal="left" indent="1"/>
    </xf>
    <xf numFmtId="0" fontId="0" fillId="0" borderId="12" xfId="0" applyBorder="1"/>
    <xf numFmtId="0" fontId="16" fillId="11" borderId="0" xfId="10" applyFont="1"/>
    <xf numFmtId="0" fontId="16" fillId="0" borderId="12" xfId="0" applyFont="1" applyBorder="1"/>
    <xf numFmtId="0" fontId="16" fillId="0" borderId="0" xfId="0" applyFont="1"/>
    <xf numFmtId="0" fontId="17" fillId="9" borderId="1" xfId="10" applyFont="1" applyFill="1" applyBorder="1" applyAlignment="1">
      <alignment horizontal="center"/>
    </xf>
    <xf numFmtId="171" fontId="16" fillId="11" borderId="4" xfId="10" applyNumberFormat="1" applyFont="1" applyBorder="1" applyAlignment="1">
      <alignment vertical="center"/>
    </xf>
    <xf numFmtId="171" fontId="16" fillId="11" borderId="6" xfId="6" applyNumberFormat="1" applyFont="1" applyFill="1" applyBorder="1" applyAlignment="1">
      <alignment vertical="center"/>
    </xf>
    <xf numFmtId="172" fontId="16" fillId="11" borderId="6" xfId="1" applyNumberFormat="1" applyFont="1" applyFill="1" applyBorder="1" applyAlignment="1">
      <alignment vertical="center"/>
    </xf>
    <xf numFmtId="0" fontId="16" fillId="11" borderId="0" xfId="10" quotePrefix="1" applyFont="1" applyAlignment="1">
      <alignment horizontal="left"/>
    </xf>
    <xf numFmtId="0" fontId="7" fillId="11" borderId="0" xfId="10" applyFont="1"/>
    <xf numFmtId="0" fontId="5" fillId="4" borderId="3" xfId="0" applyFont="1" applyFill="1" applyBorder="1" applyAlignment="1">
      <alignment horizontal="center" wrapText="1"/>
    </xf>
    <xf numFmtId="9" fontId="0" fillId="0" borderId="6" xfId="1" applyFont="1" applyBorder="1" applyAlignment="1">
      <alignment horizontal="center"/>
    </xf>
    <xf numFmtId="9" fontId="0" fillId="0" borderId="8" xfId="1" applyFont="1" applyBorder="1" applyAlignment="1">
      <alignment horizontal="center"/>
    </xf>
    <xf numFmtId="0" fontId="18" fillId="0" borderId="5" xfId="0" applyFont="1" applyBorder="1" applyAlignment="1">
      <alignment horizontal="center"/>
    </xf>
    <xf numFmtId="9" fontId="18" fillId="0" borderId="6" xfId="1" applyFont="1" applyFill="1" applyBorder="1" applyAlignment="1">
      <alignment horizontal="center"/>
    </xf>
    <xf numFmtId="0" fontId="0" fillId="0" borderId="0" xfId="0" quotePrefix="1"/>
    <xf numFmtId="0" fontId="1" fillId="2" borderId="0" xfId="0" applyFont="1" applyFill="1"/>
    <xf numFmtId="3" fontId="2" fillId="11" borderId="0" xfId="10" applyNumberFormat="1"/>
    <xf numFmtId="0" fontId="13" fillId="11" borderId="1" xfId="0" applyFont="1" applyFill="1" applyBorder="1" applyAlignment="1">
      <alignment horizontal="center"/>
    </xf>
    <xf numFmtId="0" fontId="0" fillId="11" borderId="1" xfId="0" applyFill="1" applyBorder="1" applyAlignment="1">
      <alignment horizontal="center" vertical="center" wrapText="1"/>
    </xf>
    <xf numFmtId="0" fontId="0" fillId="11" borderId="1" xfId="0" applyFill="1" applyBorder="1" applyAlignment="1">
      <alignment horizontal="left" vertical="top" wrapText="1"/>
    </xf>
    <xf numFmtId="0" fontId="1" fillId="13" borderId="1" xfId="0" applyFont="1" applyFill="1" applyBorder="1" applyAlignment="1">
      <alignment horizontal="center" vertical="center"/>
    </xf>
    <xf numFmtId="0" fontId="0" fillId="19" borderId="1" xfId="0" applyFill="1" applyBorder="1" applyAlignment="1">
      <alignment horizontal="left" vertical="center" wrapText="1"/>
    </xf>
    <xf numFmtId="0" fontId="13" fillId="11" borderId="1" xfId="0" applyFont="1" applyFill="1" applyBorder="1" applyAlignment="1">
      <alignment horizontal="center" vertical="center"/>
    </xf>
    <xf numFmtId="0" fontId="0" fillId="11" borderId="1" xfId="0" quotePrefix="1" applyFill="1" applyBorder="1" applyAlignment="1">
      <alignment horizontal="left" vertical="top" wrapText="1"/>
    </xf>
    <xf numFmtId="0" fontId="0" fillId="11" borderId="1" xfId="0" quotePrefix="1" applyFill="1" applyBorder="1" applyAlignment="1">
      <alignment horizontal="center" vertical="center" wrapText="1"/>
    </xf>
    <xf numFmtId="0" fontId="0" fillId="11" borderId="1" xfId="0" quotePrefix="1" applyFill="1" applyBorder="1" applyAlignment="1">
      <alignment horizontal="center" vertical="center"/>
    </xf>
    <xf numFmtId="0" fontId="0" fillId="11" borderId="1" xfId="0" applyFill="1" applyBorder="1" applyAlignment="1">
      <alignment horizontal="center" vertical="center"/>
    </xf>
    <xf numFmtId="3" fontId="0" fillId="0" borderId="0" xfId="0" applyNumberFormat="1" applyAlignment="1">
      <alignment wrapText="1"/>
    </xf>
    <xf numFmtId="0" fontId="20" fillId="0" borderId="1" xfId="0" applyFont="1" applyBorder="1" applyAlignment="1">
      <alignment horizontal="center"/>
    </xf>
    <xf numFmtId="0" fontId="21" fillId="0" borderId="1" xfId="0" applyFont="1" applyBorder="1" applyAlignment="1">
      <alignment horizontal="center"/>
    </xf>
    <xf numFmtId="164" fontId="21" fillId="0" borderId="1" xfId="0" applyNumberFormat="1" applyFont="1" applyBorder="1" applyAlignment="1">
      <alignment horizontal="center"/>
    </xf>
    <xf numFmtId="0" fontId="0" fillId="2" borderId="1" xfId="0" applyFill="1" applyBorder="1" applyAlignment="1">
      <alignment horizontal="center"/>
    </xf>
    <xf numFmtId="0" fontId="21" fillId="2" borderId="1" xfId="0" applyFont="1" applyFill="1" applyBorder="1" applyAlignment="1">
      <alignment horizontal="center"/>
    </xf>
    <xf numFmtId="164" fontId="19" fillId="0" borderId="0" xfId="0" applyNumberFormat="1" applyFont="1"/>
    <xf numFmtId="0" fontId="5" fillId="4" borderId="0" xfId="0" applyFont="1" applyFill="1" applyAlignment="1">
      <alignment horizontal="center"/>
    </xf>
    <xf numFmtId="9" fontId="0" fillId="2" borderId="0" xfId="1" applyFont="1" applyFill="1" applyBorder="1" applyAlignment="1">
      <alignment horizontal="center"/>
    </xf>
    <xf numFmtId="9" fontId="0" fillId="0" borderId="3" xfId="1" applyFont="1" applyBorder="1" applyAlignment="1">
      <alignment horizontal="center"/>
    </xf>
    <xf numFmtId="9" fontId="0" fillId="0" borderId="12" xfId="1" applyFont="1" applyBorder="1" applyAlignment="1">
      <alignment horizontal="center"/>
    </xf>
    <xf numFmtId="9" fontId="0" fillId="0" borderId="13" xfId="1" applyFont="1" applyFill="1" applyBorder="1" applyAlignment="1">
      <alignment horizontal="center"/>
    </xf>
    <xf numFmtId="9" fontId="0" fillId="0" borderId="5" xfId="1" applyFont="1" applyBorder="1" applyAlignment="1">
      <alignment horizontal="center"/>
    </xf>
    <xf numFmtId="9" fontId="0" fillId="0" borderId="9" xfId="1" applyFont="1" applyFill="1" applyBorder="1" applyAlignment="1">
      <alignment horizontal="center"/>
    </xf>
    <xf numFmtId="9" fontId="0" fillId="0" borderId="7" xfId="1" applyFont="1" applyBorder="1" applyAlignment="1">
      <alignment horizontal="center"/>
    </xf>
    <xf numFmtId="9" fontId="0" fillId="0" borderId="10" xfId="1" applyFont="1" applyFill="1" applyBorder="1" applyAlignment="1">
      <alignment horizontal="center"/>
    </xf>
    <xf numFmtId="0" fontId="0" fillId="0" borderId="0" xfId="0" applyAlignment="1">
      <alignment horizontal="left" vertical="center" indent="3"/>
    </xf>
    <xf numFmtId="14" fontId="0" fillId="0" borderId="13" xfId="0" applyNumberFormat="1" applyBorder="1"/>
    <xf numFmtId="14" fontId="0" fillId="0" borderId="10" xfId="0" applyNumberFormat="1" applyBorder="1"/>
    <xf numFmtId="0" fontId="3" fillId="4" borderId="0" xfId="0" applyFont="1" applyFill="1" applyAlignment="1">
      <alignment horizontal="center"/>
    </xf>
    <xf numFmtId="164" fontId="6" fillId="6" borderId="0" xfId="4" applyNumberFormat="1" applyFont="1" applyBorder="1" applyAlignment="1">
      <alignment horizontal="center"/>
    </xf>
    <xf numFmtId="164" fontId="2" fillId="6" borderId="0" xfId="4" applyNumberFormat="1" applyBorder="1" applyAlignment="1">
      <alignment horizontal="center"/>
    </xf>
    <xf numFmtId="0" fontId="0" fillId="0" borderId="3" xfId="0" applyBorder="1"/>
    <xf numFmtId="0" fontId="0" fillId="0" borderId="13" xfId="0" applyBorder="1"/>
    <xf numFmtId="0" fontId="0" fillId="0" borderId="5" xfId="0" applyBorder="1"/>
    <xf numFmtId="0" fontId="0" fillId="0" borderId="9" xfId="0" applyBorder="1"/>
    <xf numFmtId="0" fontId="0" fillId="0" borderId="7" xfId="0" applyBorder="1"/>
    <xf numFmtId="0" fontId="0" fillId="0" borderId="2" xfId="0" applyBorder="1"/>
    <xf numFmtId="0" fontId="0" fillId="0" borderId="10" xfId="0" applyBorder="1"/>
    <xf numFmtId="164" fontId="0" fillId="0" borderId="13" xfId="0" applyNumberFormat="1" applyBorder="1" applyAlignment="1">
      <alignment horizontal="center"/>
    </xf>
    <xf numFmtId="164" fontId="0" fillId="0" borderId="9" xfId="0" applyNumberFormat="1" applyBorder="1" applyAlignment="1">
      <alignment horizontal="center"/>
    </xf>
    <xf numFmtId="0" fontId="7" fillId="19"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173" fontId="0" fillId="0" borderId="0" xfId="0" applyNumberFormat="1"/>
    <xf numFmtId="0" fontId="14" fillId="11" borderId="0" xfId="10" quotePrefix="1" applyFont="1" applyAlignment="1">
      <alignment horizontal="left"/>
    </xf>
    <xf numFmtId="0" fontId="2" fillId="11" borderId="0" xfId="10" applyAlignment="1">
      <alignment vertical="top"/>
    </xf>
    <xf numFmtId="0" fontId="0" fillId="11" borderId="0" xfId="10" applyFont="1" applyAlignment="1">
      <alignment vertical="top" wrapText="1"/>
    </xf>
    <xf numFmtId="0" fontId="2" fillId="11" borderId="7" xfId="10" applyBorder="1"/>
    <xf numFmtId="0" fontId="0" fillId="0" borderId="3" xfId="0" applyBorder="1" applyAlignment="1">
      <alignment horizontal="center"/>
    </xf>
    <xf numFmtId="3" fontId="0" fillId="0" borderId="12" xfId="0" applyNumberFormat="1" applyBorder="1" applyAlignment="1">
      <alignment horizontal="center"/>
    </xf>
    <xf numFmtId="14" fontId="0" fillId="0" borderId="12" xfId="0" applyNumberFormat="1" applyBorder="1"/>
    <xf numFmtId="14" fontId="0" fillId="0" borderId="2" xfId="0" applyNumberFormat="1" applyBorder="1"/>
    <xf numFmtId="0" fontId="0" fillId="0" borderId="12" xfId="0" applyBorder="1" applyAlignment="1">
      <alignment horizontal="center"/>
    </xf>
    <xf numFmtId="4" fontId="0" fillId="0" borderId="0" xfId="0" applyNumberFormat="1"/>
    <xf numFmtId="0" fontId="3" fillId="20" borderId="0" xfId="0" applyFont="1" applyFill="1"/>
    <xf numFmtId="0" fontId="3" fillId="4" borderId="0" xfId="0" applyFont="1" applyFill="1"/>
    <xf numFmtId="4" fontId="0" fillId="0" borderId="3" xfId="0" applyNumberFormat="1" applyBorder="1" applyAlignment="1">
      <alignment horizontal="center"/>
    </xf>
    <xf numFmtId="4" fontId="0" fillId="0" borderId="12" xfId="0" applyNumberFormat="1" applyBorder="1" applyAlignment="1">
      <alignment horizontal="center"/>
    </xf>
    <xf numFmtId="4" fontId="0" fillId="0" borderId="13" xfId="0" applyNumberFormat="1" applyBorder="1" applyAlignment="1">
      <alignment horizontal="center"/>
    </xf>
    <xf numFmtId="4" fontId="0" fillId="0" borderId="5" xfId="0" applyNumberFormat="1" applyBorder="1" applyAlignment="1">
      <alignment horizontal="center"/>
    </xf>
    <xf numFmtId="4" fontId="0" fillId="0" borderId="0" xfId="0" applyNumberFormat="1" applyAlignment="1">
      <alignment horizontal="center"/>
    </xf>
    <xf numFmtId="4" fontId="0" fillId="0" borderId="9" xfId="0" applyNumberFormat="1" applyBorder="1" applyAlignment="1">
      <alignment horizontal="center"/>
    </xf>
    <xf numFmtId="4" fontId="0" fillId="0" borderId="7" xfId="0" applyNumberFormat="1" applyBorder="1" applyAlignment="1">
      <alignment horizontal="center"/>
    </xf>
    <xf numFmtId="4" fontId="0" fillId="0" borderId="2" xfId="0" applyNumberFormat="1" applyBorder="1" applyAlignment="1">
      <alignment horizontal="center"/>
    </xf>
    <xf numFmtId="4" fontId="0" fillId="0" borderId="10" xfId="0" applyNumberFormat="1" applyBorder="1" applyAlignment="1">
      <alignment horizontal="center"/>
    </xf>
    <xf numFmtId="10" fontId="0" fillId="0" borderId="12" xfId="0" applyNumberFormat="1" applyBorder="1" applyAlignment="1">
      <alignment horizontal="center"/>
    </xf>
    <xf numFmtId="10" fontId="0" fillId="0" borderId="13" xfId="0" applyNumberFormat="1" applyBorder="1" applyAlignment="1">
      <alignment horizontal="center"/>
    </xf>
    <xf numFmtId="10" fontId="0" fillId="0" borderId="0" xfId="0" applyNumberFormat="1" applyAlignment="1">
      <alignment horizontal="center"/>
    </xf>
    <xf numFmtId="10" fontId="0" fillId="0" borderId="9" xfId="0" applyNumberFormat="1" applyBorder="1" applyAlignment="1">
      <alignment horizontal="center"/>
    </xf>
    <xf numFmtId="10" fontId="0" fillId="0" borderId="2" xfId="0" applyNumberFormat="1" applyBorder="1" applyAlignment="1">
      <alignment horizontal="center"/>
    </xf>
    <xf numFmtId="10" fontId="0" fillId="0" borderId="10" xfId="0" applyNumberFormat="1" applyBorder="1" applyAlignment="1">
      <alignment horizontal="center"/>
    </xf>
    <xf numFmtId="4" fontId="0" fillId="0" borderId="4" xfId="0" applyNumberFormat="1" applyBorder="1"/>
    <xf numFmtId="4" fontId="0" fillId="0" borderId="6" xfId="0" applyNumberFormat="1" applyBorder="1"/>
    <xf numFmtId="4" fontId="0" fillId="0" borderId="8" xfId="0" applyNumberFormat="1" applyBorder="1"/>
    <xf numFmtId="10" fontId="10" fillId="0" borderId="0" xfId="0" applyNumberFormat="1" applyFont="1"/>
    <xf numFmtId="14" fontId="0" fillId="0" borderId="0" xfId="0" applyNumberFormat="1" applyAlignment="1">
      <alignment horizontal="center"/>
    </xf>
    <xf numFmtId="10" fontId="0" fillId="0" borderId="0" xfId="0" applyNumberFormat="1"/>
    <xf numFmtId="166" fontId="0" fillId="0" borderId="12" xfId="0" applyNumberFormat="1" applyBorder="1" applyAlignment="1">
      <alignment horizontal="center"/>
    </xf>
    <xf numFmtId="166" fontId="0" fillId="0" borderId="13" xfId="0" applyNumberFormat="1" applyBorder="1" applyAlignment="1">
      <alignment horizontal="center"/>
    </xf>
    <xf numFmtId="166" fontId="0" fillId="0" borderId="0" xfId="0" applyNumberFormat="1" applyAlignment="1">
      <alignment horizontal="center"/>
    </xf>
    <xf numFmtId="166" fontId="0" fillId="0" borderId="9" xfId="0" applyNumberFormat="1" applyBorder="1" applyAlignment="1">
      <alignment horizontal="center"/>
    </xf>
    <xf numFmtId="166" fontId="0" fillId="0" borderId="2" xfId="0" applyNumberFormat="1" applyBorder="1" applyAlignment="1">
      <alignment horizontal="center"/>
    </xf>
    <xf numFmtId="166" fontId="0" fillId="0" borderId="10" xfId="0" applyNumberFormat="1" applyBorder="1" applyAlignment="1">
      <alignment horizontal="center"/>
    </xf>
    <xf numFmtId="10" fontId="0" fillId="2" borderId="3" xfId="0" applyNumberFormat="1" applyFill="1" applyBorder="1" applyAlignment="1">
      <alignment horizontal="center"/>
    </xf>
    <xf numFmtId="10" fontId="0" fillId="2" borderId="7" xfId="0" applyNumberFormat="1" applyFill="1" applyBorder="1" applyAlignment="1">
      <alignment horizontal="center"/>
    </xf>
    <xf numFmtId="166" fontId="0" fillId="2" borderId="3" xfId="0" applyNumberFormat="1" applyFill="1" applyBorder="1" applyAlignment="1">
      <alignment horizontal="center"/>
    </xf>
    <xf numFmtId="166" fontId="0" fillId="2" borderId="5" xfId="0" applyNumberFormat="1" applyFill="1" applyBorder="1" applyAlignment="1">
      <alignment horizontal="center"/>
    </xf>
    <xf numFmtId="166" fontId="0" fillId="2" borderId="7" xfId="0" applyNumberFormat="1" applyFill="1" applyBorder="1" applyAlignment="1">
      <alignment horizontal="center"/>
    </xf>
    <xf numFmtId="166" fontId="0" fillId="0" borderId="6" xfId="0" applyNumberFormat="1" applyBorder="1" applyAlignment="1">
      <alignment horizontal="center"/>
    </xf>
    <xf numFmtId="4" fontId="0" fillId="0" borderId="8" xfId="0" applyNumberFormat="1" applyBorder="1" applyAlignment="1">
      <alignment horizontal="center"/>
    </xf>
    <xf numFmtId="4" fontId="0" fillId="0" borderId="4" xfId="0" applyNumberFormat="1" applyBorder="1" applyAlignment="1">
      <alignment horizontal="center"/>
    </xf>
    <xf numFmtId="4" fontId="0" fillId="0" borderId="6" xfId="0" applyNumberFormat="1" applyBorder="1" applyAlignment="1">
      <alignment horizontal="center"/>
    </xf>
    <xf numFmtId="10" fontId="0" fillId="2" borderId="4" xfId="0" applyNumberFormat="1" applyFill="1" applyBorder="1" applyAlignment="1">
      <alignment horizontal="center"/>
    </xf>
    <xf numFmtId="10" fontId="0" fillId="2" borderId="6" xfId="0" applyNumberFormat="1" applyFill="1" applyBorder="1" applyAlignment="1">
      <alignment horizontal="center"/>
    </xf>
    <xf numFmtId="10" fontId="0" fillId="2" borderId="8" xfId="0" applyNumberFormat="1" applyFill="1" applyBorder="1" applyAlignment="1">
      <alignment horizontal="center"/>
    </xf>
    <xf numFmtId="10" fontId="0" fillId="0" borderId="3" xfId="0" applyNumberFormat="1" applyBorder="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0" fontId="22" fillId="0" borderId="0" xfId="0" applyFont="1" applyAlignment="1">
      <alignment horizontal="left"/>
    </xf>
    <xf numFmtId="164" fontId="0" fillId="0" borderId="7" xfId="0" applyNumberFormat="1" applyBorder="1" applyAlignment="1">
      <alignment horizontal="center"/>
    </xf>
    <xf numFmtId="164" fontId="0" fillId="0" borderId="2" xfId="0" applyNumberFormat="1" applyBorder="1" applyAlignment="1">
      <alignment horizontal="center"/>
    </xf>
    <xf numFmtId="164" fontId="0" fillId="0" borderId="10" xfId="0" applyNumberFormat="1" applyBorder="1" applyAlignment="1">
      <alignment horizontal="center"/>
    </xf>
    <xf numFmtId="164" fontId="0" fillId="0" borderId="1" xfId="0" quotePrefix="1" applyNumberFormat="1" applyBorder="1" applyAlignment="1">
      <alignment horizontal="center"/>
    </xf>
    <xf numFmtId="171" fontId="2" fillId="11" borderId="8" xfId="6" applyNumberFormat="1" applyFont="1" applyFill="1" applyBorder="1" applyAlignment="1">
      <alignment vertical="center"/>
    </xf>
    <xf numFmtId="43" fontId="0" fillId="0" borderId="12" xfId="0" applyNumberFormat="1" applyBorder="1"/>
    <xf numFmtId="0" fontId="5" fillId="16" borderId="0" xfId="0" applyFont="1" applyFill="1" applyAlignment="1">
      <alignment horizontal="center"/>
    </xf>
    <xf numFmtId="3" fontId="0" fillId="2" borderId="0" xfId="0" applyNumberFormat="1" applyFill="1"/>
    <xf numFmtId="10" fontId="5" fillId="4" borderId="0" xfId="0" applyNumberFormat="1" applyFont="1" applyFill="1"/>
    <xf numFmtId="3" fontId="0" fillId="0" borderId="12" xfId="0" applyNumberFormat="1" applyBorder="1"/>
    <xf numFmtId="3" fontId="0" fillId="0" borderId="2" xfId="0" applyNumberFormat="1" applyBorder="1"/>
    <xf numFmtId="3" fontId="3" fillId="4" borderId="0" xfId="0" applyNumberFormat="1" applyFont="1" applyFill="1"/>
    <xf numFmtId="3" fontId="0" fillId="0" borderId="13" xfId="0" applyNumberFormat="1" applyBorder="1"/>
    <xf numFmtId="3" fontId="0" fillId="0" borderId="9" xfId="0" applyNumberFormat="1" applyBorder="1"/>
    <xf numFmtId="3" fontId="0" fillId="0" borderId="10" xfId="0" applyNumberFormat="1" applyBorder="1"/>
    <xf numFmtId="0" fontId="24" fillId="0" borderId="0" xfId="0" applyFont="1"/>
    <xf numFmtId="3" fontId="24" fillId="0" borderId="0" xfId="0" applyNumberFormat="1" applyFont="1"/>
    <xf numFmtId="0" fontId="25" fillId="0" borderId="0" xfId="12"/>
    <xf numFmtId="0" fontId="0" fillId="0" borderId="4" xfId="0" applyBorder="1"/>
    <xf numFmtId="3" fontId="0" fillId="0" borderId="6" xfId="0" applyNumberFormat="1" applyBorder="1"/>
    <xf numFmtId="3" fontId="0" fillId="0" borderId="8" xfId="0" applyNumberFormat="1" applyBorder="1"/>
    <xf numFmtId="9" fontId="0" fillId="0" borderId="6" xfId="0" applyNumberFormat="1" applyBorder="1"/>
    <xf numFmtId="9" fontId="0" fillId="0" borderId="8" xfId="0" applyNumberFormat="1" applyBorder="1"/>
    <xf numFmtId="3" fontId="0" fillId="0" borderId="3" xfId="0" applyNumberFormat="1" applyBorder="1"/>
    <xf numFmtId="3" fontId="0" fillId="0" borderId="5" xfId="0" applyNumberFormat="1" applyBorder="1"/>
    <xf numFmtId="3" fontId="0" fillId="0" borderId="7" xfId="0" applyNumberFormat="1" applyBorder="1"/>
    <xf numFmtId="3" fontId="1" fillId="0" borderId="4" xfId="0" applyNumberFormat="1" applyFont="1" applyBorder="1"/>
    <xf numFmtId="3" fontId="1" fillId="0" borderId="6" xfId="0" applyNumberFormat="1" applyFont="1" applyBorder="1"/>
    <xf numFmtId="3" fontId="1" fillId="0" borderId="8" xfId="0" applyNumberFormat="1" applyFont="1" applyBorder="1"/>
    <xf numFmtId="0" fontId="7" fillId="11" borderId="0" xfId="10" quotePrefix="1" applyFont="1"/>
    <xf numFmtId="0" fontId="0" fillId="13" borderId="0" xfId="0" applyFill="1"/>
    <xf numFmtId="0" fontId="0" fillId="21" borderId="0" xfId="0" applyFill="1"/>
    <xf numFmtId="0" fontId="7" fillId="0" borderId="0" xfId="0" applyFont="1"/>
    <xf numFmtId="14" fontId="7" fillId="0" borderId="0" xfId="0" applyNumberFormat="1" applyFont="1"/>
    <xf numFmtId="0" fontId="0" fillId="22" borderId="0" xfId="0" quotePrefix="1" applyFill="1"/>
    <xf numFmtId="0" fontId="1" fillId="22" borderId="1" xfId="0" applyFont="1" applyFill="1" applyBorder="1" applyAlignment="1">
      <alignment horizontal="center"/>
    </xf>
    <xf numFmtId="0" fontId="0" fillId="23" borderId="0" xfId="0" applyFill="1"/>
    <xf numFmtId="0" fontId="0" fillId="21" borderId="0" xfId="0" applyFill="1" applyAlignment="1">
      <alignment wrapText="1"/>
    </xf>
    <xf numFmtId="4" fontId="0" fillId="21" borderId="0" xfId="0" applyNumberFormat="1" applyFill="1" applyAlignment="1">
      <alignment wrapText="1"/>
    </xf>
    <xf numFmtId="1" fontId="0" fillId="0" borderId="0" xfId="0" applyNumberFormat="1"/>
    <xf numFmtId="1" fontId="0" fillId="22" borderId="0" xfId="0" applyNumberFormat="1" applyFill="1"/>
    <xf numFmtId="0" fontId="0" fillId="22" borderId="0" xfId="0" applyFill="1"/>
    <xf numFmtId="0" fontId="1" fillId="21" borderId="1" xfId="0" applyFont="1" applyFill="1" applyBorder="1" applyAlignment="1">
      <alignment horizontal="center"/>
    </xf>
    <xf numFmtId="4" fontId="0" fillId="2" borderId="0" xfId="0" applyNumberFormat="1" applyFill="1"/>
    <xf numFmtId="164" fontId="0" fillId="2" borderId="0" xfId="0" applyNumberFormat="1" applyFill="1"/>
    <xf numFmtId="43" fontId="0" fillId="2" borderId="0" xfId="6" applyFont="1" applyFill="1"/>
    <xf numFmtId="0" fontId="0" fillId="21" borderId="0" xfId="0" applyFill="1" applyAlignment="1">
      <alignment horizontal="center" wrapText="1"/>
    </xf>
    <xf numFmtId="164" fontId="0" fillId="13" borderId="0" xfId="0" applyNumberFormat="1" applyFill="1" applyAlignment="1">
      <alignment wrapText="1"/>
    </xf>
    <xf numFmtId="3" fontId="0" fillId="2" borderId="0" xfId="6" applyNumberFormat="1" applyFont="1" applyFill="1"/>
    <xf numFmtId="174" fontId="0" fillId="2" borderId="0" xfId="0" applyNumberFormat="1" applyFill="1"/>
    <xf numFmtId="10" fontId="0" fillId="2" borderId="0" xfId="0" applyNumberFormat="1" applyFill="1"/>
    <xf numFmtId="0" fontId="0" fillId="21" borderId="0" xfId="0" applyFill="1" applyAlignment="1">
      <alignment horizontal="left"/>
    </xf>
    <xf numFmtId="0" fontId="26" fillId="14" borderId="0" xfId="0" applyFont="1" applyFill="1"/>
    <xf numFmtId="0" fontId="26" fillId="0" borderId="0" xfId="0" applyFont="1"/>
    <xf numFmtId="3" fontId="7" fillId="0" borderId="0" xfId="0" applyNumberFormat="1" applyFont="1"/>
    <xf numFmtId="14" fontId="26" fillId="14" borderId="0" xfId="0" applyNumberFormat="1" applyFont="1" applyFill="1"/>
    <xf numFmtId="14" fontId="26" fillId="0" borderId="0" xfId="0" applyNumberFormat="1" applyFont="1"/>
    <xf numFmtId="3" fontId="26" fillId="14" borderId="0" xfId="0" applyNumberFormat="1" applyFont="1" applyFill="1"/>
    <xf numFmtId="3" fontId="26" fillId="0" borderId="0" xfId="0" applyNumberFormat="1" applyFont="1"/>
    <xf numFmtId="0" fontId="26" fillId="23" borderId="0" xfId="0" applyFont="1" applyFill="1"/>
    <xf numFmtId="0" fontId="7" fillId="0" borderId="3" xfId="0" applyFont="1" applyBorder="1"/>
    <xf numFmtId="0" fontId="7" fillId="0" borderId="12" xfId="0" applyFont="1" applyBorder="1"/>
    <xf numFmtId="4" fontId="7" fillId="0" borderId="12" xfId="0" applyNumberFormat="1" applyFont="1" applyBorder="1"/>
    <xf numFmtId="4" fontId="7" fillId="0" borderId="0" xfId="0" applyNumberFormat="1" applyFont="1"/>
    <xf numFmtId="10" fontId="7" fillId="0" borderId="0" xfId="0" applyNumberFormat="1" applyFont="1"/>
    <xf numFmtId="0" fontId="7" fillId="0" borderId="5" xfId="0" applyFont="1" applyBorder="1"/>
    <xf numFmtId="0" fontId="27" fillId="23" borderId="0" xfId="0" applyFont="1" applyFill="1"/>
    <xf numFmtId="14" fontId="26" fillId="23" borderId="0" xfId="0" applyNumberFormat="1" applyFont="1" applyFill="1"/>
    <xf numFmtId="0" fontId="26" fillId="21" borderId="0" xfId="0" applyFont="1" applyFill="1"/>
    <xf numFmtId="0" fontId="7" fillId="14" borderId="0" xfId="0" applyFont="1" applyFill="1"/>
    <xf numFmtId="14" fontId="7" fillId="14" borderId="0" xfId="0" applyNumberFormat="1" applyFont="1" applyFill="1"/>
    <xf numFmtId="0" fontId="7" fillId="0" borderId="0" xfId="0" quotePrefix="1" applyFont="1"/>
    <xf numFmtId="1" fontId="7" fillId="0" borderId="0" xfId="0" applyNumberFormat="1" applyFont="1"/>
    <xf numFmtId="9" fontId="7" fillId="0" borderId="1" xfId="1" applyFont="1" applyFill="1" applyBorder="1" applyAlignment="1">
      <alignment horizontal="center"/>
    </xf>
    <xf numFmtId="10" fontId="7" fillId="0" borderId="1" xfId="1" applyNumberFormat="1" applyFont="1" applyFill="1" applyBorder="1" applyAlignment="1">
      <alignment horizontal="center"/>
    </xf>
    <xf numFmtId="0" fontId="7" fillId="0" borderId="1" xfId="0" applyFont="1" applyBorder="1" applyAlignment="1">
      <alignment horizontal="center"/>
    </xf>
    <xf numFmtId="164" fontId="7" fillId="0" borderId="1" xfId="0" applyNumberFormat="1" applyFont="1" applyBorder="1" applyAlignment="1">
      <alignment horizontal="center"/>
    </xf>
    <xf numFmtId="167" fontId="7" fillId="0" borderId="1" xfId="0" applyNumberFormat="1" applyFont="1" applyBorder="1" applyAlignment="1">
      <alignment horizontal="center"/>
    </xf>
    <xf numFmtId="169" fontId="7" fillId="0" borderId="0" xfId="0" applyNumberFormat="1" applyFont="1" applyAlignment="1">
      <alignment horizontal="center"/>
    </xf>
    <xf numFmtId="164" fontId="7" fillId="0" borderId="1" xfId="0" applyNumberFormat="1" applyFont="1" applyBorder="1"/>
    <xf numFmtId="164" fontId="7" fillId="0" borderId="0" xfId="0" applyNumberFormat="1" applyFont="1" applyAlignment="1">
      <alignment horizontal="center"/>
    </xf>
    <xf numFmtId="0" fontId="7" fillId="0" borderId="1" xfId="0" applyFont="1" applyBorder="1"/>
    <xf numFmtId="43" fontId="7" fillId="0" borderId="0" xfId="6" applyFont="1" applyFill="1"/>
    <xf numFmtId="43" fontId="7" fillId="0" borderId="0" xfId="0" applyNumberFormat="1" applyFont="1"/>
    <xf numFmtId="3" fontId="26" fillId="23" borderId="0" xfId="0" applyNumberFormat="1" applyFont="1" applyFill="1"/>
    <xf numFmtId="0" fontId="7" fillId="21" borderId="0" xfId="0" applyFont="1" applyFill="1"/>
    <xf numFmtId="14" fontId="0" fillId="2" borderId="0" xfId="0" applyNumberFormat="1" applyFill="1"/>
    <xf numFmtId="0" fontId="19" fillId="2" borderId="0" xfId="0" applyFont="1" applyFill="1"/>
    <xf numFmtId="14" fontId="19" fillId="2" borderId="0" xfId="0" applyNumberFormat="1" applyFont="1" applyFill="1"/>
    <xf numFmtId="0" fontId="0" fillId="24" borderId="0" xfId="0" applyFill="1"/>
    <xf numFmtId="0" fontId="7" fillId="17" borderId="0" xfId="0" applyFont="1" applyFill="1"/>
    <xf numFmtId="0" fontId="0" fillId="25" borderId="0" xfId="0" applyFill="1"/>
    <xf numFmtId="4" fontId="0" fillId="25" borderId="0" xfId="0" applyNumberFormat="1" applyFill="1"/>
    <xf numFmtId="14" fontId="0" fillId="25" borderId="0" xfId="0" applyNumberFormat="1" applyFill="1" applyAlignment="1">
      <alignment horizontal="center"/>
    </xf>
    <xf numFmtId="0" fontId="0" fillId="25" borderId="0" xfId="0" applyFill="1" applyAlignment="1">
      <alignment horizontal="center"/>
    </xf>
    <xf numFmtId="0" fontId="3" fillId="25" borderId="0" xfId="0" applyFont="1" applyFill="1"/>
    <xf numFmtId="4" fontId="7" fillId="25" borderId="0" xfId="0" applyNumberFormat="1" applyFont="1" applyFill="1"/>
    <xf numFmtId="14" fontId="7" fillId="25" borderId="0" xfId="0" applyNumberFormat="1" applyFont="1" applyFill="1"/>
    <xf numFmtId="43" fontId="0" fillId="0" borderId="0" xfId="6" applyFont="1"/>
    <xf numFmtId="0" fontId="0" fillId="26" borderId="0" xfId="0" applyFill="1"/>
    <xf numFmtId="10" fontId="0" fillId="26" borderId="0" xfId="0" applyNumberFormat="1" applyFill="1"/>
    <xf numFmtId="0" fontId="28" fillId="23" borderId="0" xfId="0" applyFont="1" applyFill="1"/>
    <xf numFmtId="0" fontId="29" fillId="0" borderId="0" xfId="0" applyFont="1"/>
    <xf numFmtId="14" fontId="29" fillId="0" borderId="0" xfId="0" applyNumberFormat="1" applyFont="1"/>
    <xf numFmtId="0" fontId="30" fillId="0" borderId="0" xfId="0" applyFont="1"/>
    <xf numFmtId="43" fontId="29" fillId="0" borderId="0" xfId="6" applyFont="1"/>
    <xf numFmtId="43" fontId="7" fillId="25" borderId="0" xfId="6" applyFont="1" applyFill="1"/>
    <xf numFmtId="0" fontId="7" fillId="23" borderId="0" xfId="0" applyFont="1" applyFill="1"/>
    <xf numFmtId="0" fontId="7" fillId="22" borderId="0" xfId="0" applyFont="1" applyFill="1"/>
    <xf numFmtId="0" fontId="0" fillId="27" borderId="0" xfId="0" applyFill="1"/>
    <xf numFmtId="0" fontId="7" fillId="27" borderId="0" xfId="0" applyFont="1" applyFill="1"/>
    <xf numFmtId="0" fontId="0" fillId="28" borderId="0" xfId="0" applyFill="1"/>
    <xf numFmtId="0" fontId="7" fillId="28" borderId="0" xfId="0" applyFont="1" applyFill="1"/>
    <xf numFmtId="175" fontId="0" fillId="2" borderId="0" xfId="0" applyNumberFormat="1" applyFill="1"/>
    <xf numFmtId="175" fontId="0" fillId="0" borderId="0" xfId="0" applyNumberFormat="1"/>
    <xf numFmtId="0" fontId="7" fillId="2" borderId="0" xfId="0" applyFont="1" applyFill="1"/>
    <xf numFmtId="43" fontId="0" fillId="22" borderId="0" xfId="6" applyFont="1" applyFill="1"/>
    <xf numFmtId="4" fontId="10" fillId="0" borderId="0" xfId="0" applyNumberFormat="1" applyFont="1"/>
    <xf numFmtId="4" fontId="0" fillId="22" borderId="0" xfId="0" applyNumberFormat="1" applyFill="1"/>
    <xf numFmtId="4" fontId="7" fillId="22" borderId="0" xfId="0" applyNumberFormat="1" applyFont="1" applyFill="1"/>
    <xf numFmtId="0" fontId="29" fillId="29" borderId="0" xfId="0" applyFont="1" applyFill="1"/>
    <xf numFmtId="0" fontId="26" fillId="29" borderId="0" xfId="0" applyFont="1" applyFill="1"/>
    <xf numFmtId="0" fontId="0" fillId="29" borderId="0" xfId="0" applyFill="1"/>
    <xf numFmtId="0" fontId="15" fillId="0" borderId="5" xfId="0" applyFont="1" applyBorder="1"/>
    <xf numFmtId="0" fontId="15" fillId="0" borderId="0" xfId="0" applyFont="1"/>
    <xf numFmtId="14" fontId="15" fillId="0" borderId="0" xfId="0" applyNumberFormat="1" applyFont="1"/>
    <xf numFmtId="4" fontId="15" fillId="0" borderId="0" xfId="0" applyNumberFormat="1" applyFont="1"/>
    <xf numFmtId="4" fontId="15" fillId="25" borderId="0" xfId="0" applyNumberFormat="1" applyFont="1" applyFill="1"/>
    <xf numFmtId="14" fontId="15" fillId="25" borderId="0" xfId="0" applyNumberFormat="1" applyFont="1" applyFill="1"/>
    <xf numFmtId="43" fontId="15" fillId="25" borderId="0" xfId="6" applyFont="1" applyFill="1"/>
    <xf numFmtId="10" fontId="15" fillId="0" borderId="0" xfId="0" applyNumberFormat="1" applyFont="1"/>
    <xf numFmtId="10" fontId="1" fillId="0" borderId="0" xfId="0" applyNumberFormat="1" applyFont="1"/>
    <xf numFmtId="4" fontId="1" fillId="0" borderId="0" xfId="0" applyNumberFormat="1" applyFont="1"/>
    <xf numFmtId="3" fontId="0" fillId="30" borderId="1" xfId="1" applyNumberFormat="1" applyFont="1" applyFill="1" applyBorder="1" applyAlignment="1">
      <alignment horizontal="center"/>
    </xf>
    <xf numFmtId="169" fontId="0" fillId="0" borderId="1" xfId="0" applyNumberFormat="1" applyBorder="1"/>
    <xf numFmtId="169" fontId="7" fillId="0" borderId="1" xfId="0" applyNumberFormat="1" applyFont="1" applyBorder="1"/>
    <xf numFmtId="3" fontId="1" fillId="0" borderId="13" xfId="0" applyNumberFormat="1" applyFont="1" applyBorder="1" applyAlignment="1">
      <alignment horizontal="center"/>
    </xf>
    <xf numFmtId="3" fontId="1" fillId="0" borderId="9" xfId="0" applyNumberFormat="1" applyFont="1" applyBorder="1" applyAlignment="1">
      <alignment horizontal="center"/>
    </xf>
    <xf numFmtId="3" fontId="1" fillId="0" borderId="10" xfId="0" applyNumberFormat="1" applyFont="1" applyBorder="1" applyAlignment="1">
      <alignment horizontal="center"/>
    </xf>
    <xf numFmtId="3" fontId="23" fillId="0" borderId="0" xfId="0" applyNumberFormat="1" applyFont="1" applyAlignment="1">
      <alignment horizontal="center"/>
    </xf>
    <xf numFmtId="3" fontId="0" fillId="0" borderId="0" xfId="0" applyNumberFormat="1" applyAlignment="1">
      <alignment horizontal="center"/>
    </xf>
    <xf numFmtId="0" fontId="31" fillId="0" borderId="0" xfId="0" applyFont="1" applyAlignment="1">
      <alignment horizontal="left"/>
    </xf>
    <xf numFmtId="0" fontId="0" fillId="31" borderId="1" xfId="0" applyFill="1" applyBorder="1" applyAlignment="1">
      <alignment horizontal="center"/>
    </xf>
    <xf numFmtId="0" fontId="0" fillId="31" borderId="1" xfId="0" applyFill="1" applyBorder="1"/>
    <xf numFmtId="0" fontId="0" fillId="31" borderId="0" xfId="0" applyFill="1"/>
    <xf numFmtId="176" fontId="0" fillId="0" borderId="0" xfId="0" applyNumberFormat="1"/>
    <xf numFmtId="14" fontId="0" fillId="31" borderId="0" xfId="0" applyNumberFormat="1" applyFill="1"/>
    <xf numFmtId="176" fontId="0" fillId="31" borderId="0" xfId="0" applyNumberFormat="1" applyFill="1"/>
    <xf numFmtId="164" fontId="0" fillId="28" borderId="1" xfId="0" applyNumberFormat="1" applyFill="1" applyBorder="1" applyAlignment="1">
      <alignment horizontal="center"/>
    </xf>
    <xf numFmtId="164" fontId="0" fillId="28" borderId="1" xfId="0" quotePrefix="1" applyNumberFormat="1" applyFill="1" applyBorder="1" applyAlignment="1">
      <alignment horizontal="center"/>
    </xf>
    <xf numFmtId="14" fontId="7" fillId="23" borderId="0" xfId="0" applyNumberFormat="1" applyFont="1" applyFill="1"/>
    <xf numFmtId="177" fontId="0" fillId="11" borderId="6" xfId="1" applyNumberFormat="1" applyFont="1" applyFill="1" applyBorder="1" applyAlignment="1">
      <alignment vertical="center"/>
    </xf>
    <xf numFmtId="178" fontId="0" fillId="2" borderId="5" xfId="0" applyNumberFormat="1" applyFill="1" applyBorder="1" applyAlignment="1">
      <alignment horizontal="center"/>
    </xf>
    <xf numFmtId="164" fontId="0" fillId="30" borderId="1" xfId="0" applyNumberFormat="1" applyFill="1" applyBorder="1" applyAlignment="1">
      <alignment horizontal="center"/>
    </xf>
    <xf numFmtId="4" fontId="2" fillId="11" borderId="0" xfId="10" applyNumberFormat="1"/>
    <xf numFmtId="43" fontId="2" fillId="11" borderId="0" xfId="6" applyFill="1"/>
    <xf numFmtId="43" fontId="0" fillId="27" borderId="0" xfId="6" applyFont="1" applyFill="1"/>
    <xf numFmtId="9" fontId="0" fillId="0" borderId="0" xfId="0" applyNumberFormat="1"/>
    <xf numFmtId="0" fontId="0" fillId="0" borderId="0" xfId="0" applyAlignment="1">
      <alignment horizontal="center" wrapText="1"/>
    </xf>
    <xf numFmtId="0" fontId="32" fillId="4" borderId="0" xfId="0" applyFont="1" applyFill="1"/>
    <xf numFmtId="3" fontId="33" fillId="0" borderId="15" xfId="0" applyNumberFormat="1" applyFont="1" applyBorder="1"/>
    <xf numFmtId="3" fontId="1" fillId="0" borderId="15" xfId="0" applyNumberFormat="1" applyFont="1" applyBorder="1"/>
    <xf numFmtId="3" fontId="1" fillId="0" borderId="16" xfId="0" applyNumberFormat="1" applyFont="1" applyBorder="1"/>
    <xf numFmtId="0" fontId="33" fillId="0" borderId="8" xfId="0" applyFont="1" applyBorder="1"/>
    <xf numFmtId="0" fontId="0" fillId="0" borderId="8" xfId="0" applyBorder="1"/>
    <xf numFmtId="9" fontId="1" fillId="28" borderId="1" xfId="1" applyFont="1" applyFill="1" applyBorder="1"/>
    <xf numFmtId="3" fontId="0" fillId="32" borderId="0" xfId="0" applyNumberFormat="1" applyFill="1"/>
    <xf numFmtId="164" fontId="0" fillId="32" borderId="0" xfId="0" applyNumberFormat="1" applyFill="1"/>
    <xf numFmtId="171" fontId="10" fillId="0" borderId="0" xfId="6" applyNumberFormat="1" applyFont="1"/>
    <xf numFmtId="164" fontId="0" fillId="31" borderId="0" xfId="0" applyNumberFormat="1" applyFill="1"/>
    <xf numFmtId="0" fontId="19" fillId="32" borderId="0" xfId="0" applyFont="1" applyFill="1"/>
    <xf numFmtId="164" fontId="0" fillId="30" borderId="1" xfId="0" quotePrefix="1" applyNumberFormat="1" applyFill="1" applyBorder="1" applyAlignment="1">
      <alignment horizontal="center"/>
    </xf>
    <xf numFmtId="177" fontId="0" fillId="11" borderId="4" xfId="1" applyNumberFormat="1" applyFont="1" applyFill="1" applyBorder="1" applyAlignment="1">
      <alignment vertical="center"/>
    </xf>
    <xf numFmtId="179" fontId="2" fillId="11" borderId="0" xfId="10" applyNumberFormat="1"/>
    <xf numFmtId="180" fontId="0" fillId="0" borderId="0" xfId="0" applyNumberFormat="1"/>
    <xf numFmtId="181" fontId="2" fillId="11" borderId="0" xfId="10" applyNumberFormat="1"/>
    <xf numFmtId="177" fontId="0" fillId="11" borderId="8" xfId="1" applyNumberFormat="1" applyFont="1" applyFill="1" applyBorder="1" applyAlignment="1">
      <alignment vertical="center"/>
    </xf>
    <xf numFmtId="164" fontId="0" fillId="33" borderId="1" xfId="0" applyNumberFormat="1" applyFill="1" applyBorder="1" applyAlignment="1">
      <alignment horizontal="center"/>
    </xf>
    <xf numFmtId="0" fontId="3" fillId="18" borderId="4" xfId="10" applyFont="1" applyFill="1" applyBorder="1" applyAlignment="1">
      <alignment horizontal="left" vertical="center"/>
    </xf>
    <xf numFmtId="0" fontId="3" fillId="18" borderId="6" xfId="10" applyFont="1" applyFill="1" applyBorder="1" applyAlignment="1">
      <alignment horizontal="left" vertical="center"/>
    </xf>
    <xf numFmtId="177" fontId="16" fillId="11" borderId="4" xfId="1" applyNumberFormat="1" applyFont="1" applyFill="1" applyBorder="1" applyAlignment="1">
      <alignment vertical="center"/>
    </xf>
    <xf numFmtId="164" fontId="19" fillId="0" borderId="0" xfId="0" applyNumberFormat="1" applyFont="1" applyAlignment="1">
      <alignment horizontal="center"/>
    </xf>
    <xf numFmtId="0" fontId="0" fillId="11" borderId="0" xfId="0" applyFill="1"/>
    <xf numFmtId="182" fontId="0" fillId="0" borderId="0" xfId="6" applyNumberFormat="1" applyFont="1"/>
    <xf numFmtId="164" fontId="0" fillId="34" borderId="1" xfId="0" applyNumberFormat="1" applyFill="1" applyBorder="1" applyAlignment="1">
      <alignment horizontal="center"/>
    </xf>
    <xf numFmtId="164" fontId="0" fillId="34" borderId="1" xfId="0" quotePrefix="1" applyNumberFormat="1" applyFill="1" applyBorder="1" applyAlignment="1">
      <alignment horizontal="center"/>
    </xf>
    <xf numFmtId="164" fontId="0" fillId="34" borderId="0" xfId="0" applyNumberFormat="1" applyFill="1"/>
    <xf numFmtId="164" fontId="0" fillId="28" borderId="0" xfId="0" applyNumberFormat="1" applyFill="1"/>
    <xf numFmtId="183" fontId="2" fillId="11" borderId="0" xfId="10" applyNumberFormat="1"/>
    <xf numFmtId="164" fontId="19" fillId="0" borderId="12" xfId="0" applyNumberFormat="1" applyFont="1" applyBorder="1" applyAlignment="1">
      <alignment horizontal="center"/>
    </xf>
    <xf numFmtId="171" fontId="2" fillId="11" borderId="0" xfId="10" applyNumberFormat="1"/>
    <xf numFmtId="0" fontId="2" fillId="11" borderId="5" xfId="10" applyBorder="1" applyAlignment="1">
      <alignment wrapText="1"/>
    </xf>
    <xf numFmtId="171" fontId="2" fillId="11" borderId="0" xfId="6" applyNumberFormat="1" applyFont="1" applyFill="1" applyBorder="1"/>
    <xf numFmtId="171" fontId="2" fillId="11" borderId="9" xfId="6" applyNumberFormat="1" applyFont="1" applyFill="1" applyBorder="1"/>
    <xf numFmtId="171" fontId="2" fillId="11" borderId="12" xfId="6" applyNumberFormat="1" applyFont="1" applyFill="1" applyBorder="1"/>
    <xf numFmtId="171" fontId="2" fillId="11" borderId="13" xfId="6" applyNumberFormat="1" applyFont="1" applyFill="1" applyBorder="1"/>
    <xf numFmtId="0" fontId="1" fillId="35" borderId="0" xfId="0" applyFont="1" applyFill="1" applyAlignment="1">
      <alignment horizontal="center"/>
    </xf>
    <xf numFmtId="164" fontId="0" fillId="36" borderId="1" xfId="0" applyNumberFormat="1" applyFill="1" applyBorder="1" applyAlignment="1">
      <alignment horizontal="center"/>
    </xf>
    <xf numFmtId="0" fontId="0" fillId="36" borderId="0" xfId="0" applyFill="1"/>
    <xf numFmtId="164" fontId="0" fillId="22" borderId="0" xfId="0" applyNumberFormat="1" applyFill="1"/>
    <xf numFmtId="183" fontId="0" fillId="0" borderId="0" xfId="0" applyNumberFormat="1"/>
    <xf numFmtId="171" fontId="2" fillId="11" borderId="0" xfId="6" applyNumberFormat="1" applyFill="1"/>
    <xf numFmtId="0" fontId="0" fillId="11" borderId="4" xfId="0" applyFill="1" applyBorder="1" applyAlignment="1">
      <alignment horizontal="center" vertical="center"/>
    </xf>
    <xf numFmtId="0" fontId="0" fillId="11" borderId="6" xfId="0" applyFill="1" applyBorder="1" applyAlignment="1">
      <alignment horizontal="center" vertical="center"/>
    </xf>
    <xf numFmtId="0" fontId="0" fillId="11" borderId="8" xfId="0" applyFill="1" applyBorder="1" applyAlignment="1">
      <alignment horizontal="center" vertical="center"/>
    </xf>
    <xf numFmtId="0" fontId="0" fillId="11" borderId="1" xfId="0" applyFill="1" applyBorder="1" applyAlignment="1">
      <alignment horizontal="center" vertical="center" wrapText="1"/>
    </xf>
    <xf numFmtId="0" fontId="0" fillId="11" borderId="1" xfId="0" quotePrefix="1" applyFill="1" applyBorder="1" applyAlignment="1">
      <alignment horizontal="center"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 fillId="0" borderId="1" xfId="0" applyFont="1" applyBorder="1" applyAlignment="1">
      <alignment horizontal="center"/>
    </xf>
    <xf numFmtId="0" fontId="0" fillId="2" borderId="0" xfId="0" applyFill="1" applyAlignment="1">
      <alignment horizontal="left" wrapText="1"/>
    </xf>
    <xf numFmtId="0" fontId="0" fillId="0" borderId="9" xfId="0" applyBorder="1" applyAlignment="1">
      <alignment horizontal="center"/>
    </xf>
    <xf numFmtId="0" fontId="0" fillId="0" borderId="5" xfId="0" applyBorder="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3" fillId="7" borderId="0" xfId="5" applyFont="1" applyAlignment="1">
      <alignment horizontal="center"/>
    </xf>
    <xf numFmtId="0" fontId="3" fillId="16" borderId="14" xfId="10" applyFont="1" applyFill="1" applyBorder="1" applyAlignment="1">
      <alignment horizontal="center"/>
    </xf>
    <xf numFmtId="0" fontId="3" fillId="16" borderId="15" xfId="10" applyFont="1" applyFill="1" applyBorder="1" applyAlignment="1">
      <alignment horizontal="center"/>
    </xf>
    <xf numFmtId="0" fontId="3" fillId="16" borderId="16" xfId="10" applyFont="1" applyFill="1" applyBorder="1" applyAlignment="1">
      <alignment horizontal="center"/>
    </xf>
    <xf numFmtId="0" fontId="3" fillId="17" borderId="14" xfId="10" applyFont="1" applyFill="1" applyBorder="1" applyAlignment="1">
      <alignment horizontal="center"/>
    </xf>
    <xf numFmtId="0" fontId="3" fillId="17" borderId="15" xfId="10" applyFont="1" applyFill="1" applyBorder="1" applyAlignment="1">
      <alignment horizontal="center"/>
    </xf>
    <xf numFmtId="0" fontId="3" fillId="17" borderId="16" xfId="10" applyFont="1" applyFill="1" applyBorder="1" applyAlignment="1">
      <alignment horizontal="center"/>
    </xf>
    <xf numFmtId="0" fontId="3" fillId="9" borderId="14" xfId="10" applyFont="1" applyFill="1" applyBorder="1"/>
    <xf numFmtId="0" fontId="3" fillId="9" borderId="15" xfId="10" applyFont="1" applyFill="1" applyBorder="1"/>
    <xf numFmtId="0" fontId="3" fillId="9" borderId="16" xfId="10" applyFont="1" applyFill="1" applyBorder="1"/>
    <xf numFmtId="0" fontId="0" fillId="11" borderId="1" xfId="10" quotePrefix="1" applyFont="1" applyBorder="1" applyAlignment="1">
      <alignment horizontal="left" vertical="top" wrapText="1"/>
    </xf>
    <xf numFmtId="0" fontId="2" fillId="11" borderId="1" xfId="10" applyBorder="1" applyAlignment="1">
      <alignment vertical="top" wrapText="1"/>
    </xf>
    <xf numFmtId="0" fontId="1" fillId="11" borderId="3" xfId="10" applyFont="1" applyBorder="1" applyAlignment="1">
      <alignment horizontal="left" vertical="top" wrapText="1"/>
    </xf>
    <xf numFmtId="0" fontId="2" fillId="11" borderId="12" xfId="10" applyBorder="1" applyAlignment="1">
      <alignment horizontal="left" vertical="top"/>
    </xf>
    <xf numFmtId="0" fontId="2" fillId="11" borderId="13" xfId="10" applyBorder="1" applyAlignment="1">
      <alignment horizontal="left" vertical="top"/>
    </xf>
    <xf numFmtId="0" fontId="2" fillId="11" borderId="5" xfId="10" applyBorder="1" applyAlignment="1">
      <alignment horizontal="left" vertical="top"/>
    </xf>
    <xf numFmtId="0" fontId="2" fillId="11" borderId="0" xfId="10" applyAlignment="1">
      <alignment horizontal="left" vertical="top"/>
    </xf>
    <xf numFmtId="0" fontId="2" fillId="11" borderId="9" xfId="10" applyBorder="1" applyAlignment="1">
      <alignment horizontal="left" vertical="top"/>
    </xf>
    <xf numFmtId="0" fontId="2" fillId="11" borderId="7" xfId="10" applyBorder="1" applyAlignment="1">
      <alignment horizontal="left" vertical="top"/>
    </xf>
    <xf numFmtId="0" fontId="2" fillId="11" borderId="2" xfId="10" applyBorder="1" applyAlignment="1">
      <alignment horizontal="left" vertical="top"/>
    </xf>
    <xf numFmtId="0" fontId="2" fillId="11" borderId="10" xfId="10" applyBorder="1" applyAlignment="1">
      <alignment horizontal="left" vertical="top"/>
    </xf>
    <xf numFmtId="0" fontId="0" fillId="11" borderId="14" xfId="10" applyFont="1" applyBorder="1" applyAlignment="1">
      <alignment horizontal="left" vertical="top" wrapText="1"/>
    </xf>
    <xf numFmtId="0" fontId="2" fillId="11" borderId="15" xfId="10" applyBorder="1" applyAlignment="1">
      <alignment horizontal="left" vertical="top" wrapText="1"/>
    </xf>
    <xf numFmtId="0" fontId="2" fillId="11" borderId="16" xfId="10" applyBorder="1" applyAlignment="1">
      <alignment horizontal="left" vertical="top" wrapText="1"/>
    </xf>
    <xf numFmtId="0" fontId="17" fillId="9" borderId="14" xfId="10" applyFont="1" applyFill="1" applyBorder="1"/>
    <xf numFmtId="0" fontId="17" fillId="9" borderId="15" xfId="10" applyFont="1" applyFill="1" applyBorder="1"/>
    <xf numFmtId="0" fontId="17" fillId="9" borderId="16" xfId="10" applyFont="1" applyFill="1" applyBorder="1"/>
    <xf numFmtId="0" fontId="0" fillId="11" borderId="14" xfId="10" quotePrefix="1" applyFont="1" applyBorder="1" applyAlignment="1">
      <alignment horizontal="left" vertical="top" wrapText="1"/>
    </xf>
    <xf numFmtId="0" fontId="2" fillId="11" borderId="15" xfId="10" quotePrefix="1" applyBorder="1" applyAlignment="1">
      <alignment horizontal="left" vertical="top" wrapText="1"/>
    </xf>
    <xf numFmtId="0" fontId="2" fillId="11" borderId="16" xfId="10" quotePrefix="1" applyBorder="1" applyAlignment="1">
      <alignment horizontal="left" vertical="top" wrapText="1"/>
    </xf>
    <xf numFmtId="0" fontId="1" fillId="11" borderId="12" xfId="10" applyFont="1" applyBorder="1" applyAlignment="1">
      <alignment horizontal="left" vertical="top" wrapText="1"/>
    </xf>
    <xf numFmtId="0" fontId="1" fillId="11" borderId="13" xfId="10" applyFont="1" applyBorder="1" applyAlignment="1">
      <alignment horizontal="left" vertical="top" wrapText="1"/>
    </xf>
    <xf numFmtId="0" fontId="1" fillId="11" borderId="5" xfId="10" applyFont="1" applyBorder="1" applyAlignment="1">
      <alignment horizontal="left" vertical="top" wrapText="1"/>
    </xf>
    <xf numFmtId="0" fontId="1" fillId="11" borderId="0" xfId="10" applyFont="1" applyAlignment="1">
      <alignment horizontal="left" vertical="top" wrapText="1"/>
    </xf>
    <xf numFmtId="0" fontId="1" fillId="11" borderId="9" xfId="10" applyFont="1" applyBorder="1" applyAlignment="1">
      <alignment horizontal="left" vertical="top" wrapText="1"/>
    </xf>
    <xf numFmtId="0" fontId="1" fillId="11" borderId="7" xfId="10" applyFont="1" applyBorder="1" applyAlignment="1">
      <alignment horizontal="left" vertical="top" wrapText="1"/>
    </xf>
    <xf numFmtId="0" fontId="1" fillId="11" borderId="2" xfId="10" applyFont="1" applyBorder="1" applyAlignment="1">
      <alignment horizontal="left" vertical="top" wrapText="1"/>
    </xf>
    <xf numFmtId="0" fontId="1" fillId="11" borderId="10" xfId="10" applyFont="1" applyBorder="1" applyAlignment="1">
      <alignment horizontal="left" vertical="top" wrapText="1"/>
    </xf>
    <xf numFmtId="0" fontId="0" fillId="11" borderId="15" xfId="10" applyFont="1" applyBorder="1" applyAlignment="1">
      <alignment horizontal="left" vertical="top" wrapText="1"/>
    </xf>
    <xf numFmtId="0" fontId="0" fillId="11" borderId="16" xfId="10" applyFont="1" applyBorder="1" applyAlignment="1">
      <alignment horizontal="left" vertical="top" wrapText="1"/>
    </xf>
    <xf numFmtId="0" fontId="7" fillId="11" borderId="1" xfId="10" quotePrefix="1" applyFont="1" applyBorder="1" applyAlignment="1">
      <alignment horizontal="left" vertical="top" wrapText="1"/>
    </xf>
    <xf numFmtId="0" fontId="7" fillId="11" borderId="1" xfId="10" applyFont="1" applyBorder="1" applyAlignment="1">
      <alignment vertical="top" wrapText="1"/>
    </xf>
    <xf numFmtId="0" fontId="7" fillId="11" borderId="14" xfId="10" quotePrefix="1" applyFont="1" applyBorder="1" applyAlignment="1">
      <alignment horizontal="left" vertical="top" wrapText="1"/>
    </xf>
    <xf numFmtId="0" fontId="7" fillId="11" borderId="15" xfId="10" quotePrefix="1" applyFont="1" applyBorder="1" applyAlignment="1">
      <alignment horizontal="left" vertical="top" wrapText="1"/>
    </xf>
    <xf numFmtId="0" fontId="7" fillId="11" borderId="16" xfId="10" quotePrefix="1" applyFont="1" applyBorder="1" applyAlignment="1">
      <alignment horizontal="left" vertical="top" wrapText="1"/>
    </xf>
    <xf numFmtId="0" fontId="2" fillId="11" borderId="14" xfId="10" quotePrefix="1" applyBorder="1" applyAlignment="1">
      <alignment horizontal="left" vertical="center" wrapText="1"/>
    </xf>
    <xf numFmtId="0" fontId="2" fillId="11" borderId="15" xfId="10" quotePrefix="1" applyBorder="1" applyAlignment="1">
      <alignment horizontal="left" vertical="center" wrapText="1"/>
    </xf>
    <xf numFmtId="0" fontId="2" fillId="11" borderId="16" xfId="10" quotePrefix="1" applyBorder="1" applyAlignment="1">
      <alignment horizontal="left" vertical="center" wrapText="1"/>
    </xf>
    <xf numFmtId="0" fontId="0" fillId="11" borderId="3" xfId="10" applyFont="1" applyBorder="1" applyAlignment="1">
      <alignment horizontal="left" vertical="top" wrapText="1"/>
    </xf>
    <xf numFmtId="0" fontId="0" fillId="11" borderId="12" xfId="10" applyFont="1" applyBorder="1" applyAlignment="1">
      <alignment horizontal="left" vertical="top" wrapText="1"/>
    </xf>
    <xf numFmtId="0" fontId="0" fillId="11" borderId="13" xfId="10" applyFont="1" applyBorder="1" applyAlignment="1">
      <alignment horizontal="left" vertical="top" wrapText="1"/>
    </xf>
    <xf numFmtId="0" fontId="0" fillId="11" borderId="5" xfId="10" applyFont="1" applyBorder="1" applyAlignment="1">
      <alignment horizontal="left" vertical="top" wrapText="1"/>
    </xf>
    <xf numFmtId="0" fontId="0" fillId="11" borderId="0" xfId="10" applyFont="1" applyAlignment="1">
      <alignment horizontal="left" vertical="top" wrapText="1"/>
    </xf>
    <xf numFmtId="0" fontId="0" fillId="11" borderId="9" xfId="10" applyFont="1" applyBorder="1" applyAlignment="1">
      <alignment horizontal="left" vertical="top" wrapText="1"/>
    </xf>
    <xf numFmtId="0" fontId="0" fillId="11" borderId="7" xfId="10" applyFont="1" applyBorder="1" applyAlignment="1">
      <alignment horizontal="left" vertical="top" wrapText="1"/>
    </xf>
    <xf numFmtId="0" fontId="0" fillId="11" borderId="2" xfId="10" applyFont="1" applyBorder="1" applyAlignment="1">
      <alignment horizontal="left" vertical="top" wrapText="1"/>
    </xf>
    <xf numFmtId="0" fontId="0" fillId="11" borderId="10" xfId="10" applyFont="1" applyBorder="1" applyAlignment="1">
      <alignment horizontal="left" vertical="top" wrapText="1"/>
    </xf>
    <xf numFmtId="0" fontId="2" fillId="11" borderId="1" xfId="10" quotePrefix="1" applyBorder="1" applyAlignment="1">
      <alignment horizontal="left" vertical="center" wrapText="1"/>
    </xf>
    <xf numFmtId="0" fontId="2" fillId="11" borderId="1" xfId="10" applyBorder="1" applyAlignment="1">
      <alignment vertical="center" wrapText="1"/>
    </xf>
    <xf numFmtId="0" fontId="2" fillId="11" borderId="14" xfId="10" quotePrefix="1" applyBorder="1" applyAlignment="1">
      <alignment horizontal="left" wrapText="1"/>
    </xf>
    <xf numFmtId="0" fontId="2" fillId="11" borderId="15" xfId="10" applyBorder="1" applyAlignment="1">
      <alignment wrapText="1"/>
    </xf>
    <xf numFmtId="0" fontId="2" fillId="11" borderId="16" xfId="10" applyBorder="1" applyAlignment="1">
      <alignment wrapText="1"/>
    </xf>
    <xf numFmtId="164" fontId="0" fillId="2" borderId="1" xfId="0" applyNumberFormat="1" applyFill="1" applyBorder="1" applyAlignment="1">
      <alignment horizontal="center"/>
    </xf>
  </cellXfs>
  <cellStyles count="13">
    <cellStyle name="40% - Accent2" xfId="3" builtinId="35"/>
    <cellStyle name="60% - Accent1" xfId="2" builtinId="32"/>
    <cellStyle name="60% - Accent2" xfId="4" builtinId="36"/>
    <cellStyle name="Accent5" xfId="5" builtinId="45"/>
    <cellStyle name="Comma" xfId="6" builtinId="3"/>
    <cellStyle name="Header" xfId="8" xr:uid="{CFED7A49-9E1B-4684-B5F5-09ADBC94783F}"/>
    <cellStyle name="Hyperlink" xfId="12" builtinId="8"/>
    <cellStyle name="Input" xfId="7" builtinId="20"/>
    <cellStyle name="Mandatory Input" xfId="9" xr:uid="{5C28D83C-D998-48F1-A277-5C97806FD28D}"/>
    <cellStyle name="Normal" xfId="0" builtinId="0"/>
    <cellStyle name="Normal 2" xfId="10" xr:uid="{F8CB3FAE-3202-4527-83BA-6A8DD89CEC4D}"/>
    <cellStyle name="Optional Input" xfId="11" xr:uid="{AB229C95-4ADB-4C38-8CD2-3333A48AE963}"/>
    <cellStyle name="Percent" xfId="1" builtinId="5"/>
  </cellStyles>
  <dxfs count="9">
    <dxf>
      <fill>
        <patternFill>
          <bgColor rgb="FF92D050"/>
        </patternFill>
      </fill>
    </dxf>
    <dxf>
      <fill>
        <patternFill>
          <bgColor rgb="FFFF0000"/>
        </patternFill>
      </fill>
    </dxf>
    <dxf>
      <fill>
        <patternFill>
          <bgColor rgb="FF92D050"/>
        </patternFill>
      </fill>
    </dxf>
    <dxf>
      <font>
        <b val="0"/>
        <i val="0"/>
        <color theme="5"/>
      </font>
    </dxf>
    <dxf>
      <fill>
        <patternFill>
          <bgColor theme="7" tint="0.79998168889431442"/>
        </patternFill>
      </fill>
    </dxf>
    <dxf>
      <font>
        <b val="0"/>
        <i val="0"/>
        <color theme="5"/>
      </font>
    </dxf>
    <dxf>
      <numFmt numFmtId="13" formatCode="0%"/>
    </dxf>
    <dxf>
      <numFmt numFmtId="19" formatCode="dd/mm/yyyy"/>
    </dxf>
    <dxf>
      <numFmt numFmtId="19" formatCode="dd/mm/yyyy"/>
    </dxf>
  </dxfs>
  <tableStyles count="0" defaultTableStyle="TableStyleMedium2" defaultPivotStyle="PivotStyleLight16"/>
  <colors>
    <mruColors>
      <color rgb="FF33CC33"/>
      <color rgb="FF99FF33"/>
      <color rgb="FFFF00FF"/>
      <color rgb="FF66FF33"/>
      <color rgb="FFFF6600"/>
      <color rgb="FFFF0066"/>
      <color rgb="FFFF6699"/>
      <color rgb="FFFF33CC"/>
      <color rgb="FF0066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heetMetadata" Target="metadata.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Proton Flare RDS 2026Q1
Comparison to Previous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'Change Narrative (Proton Flare)'!$D$8</c:f>
              <c:strCache>
                <c:ptCount val="1"/>
                <c:pt idx="0">
                  <c:v>Current Gross</c:v>
                </c:pt>
              </c:strCache>
            </c:strRef>
          </c:tx>
          <c:spPr>
            <a:solidFill>
              <a:schemeClr val="accent3"/>
            </a:solidFill>
            <a:ln>
              <a:noFill/>
            </a:ln>
            <a:effectLst/>
          </c:spPr>
          <c:invertIfNegative val="0"/>
          <c:cat>
            <c:strRef>
              <c:f>'Change Narrative (Proton Flare)'!$B$10:$B$14</c:f>
              <c:strCache>
                <c:ptCount val="4"/>
                <c:pt idx="0">
                  <c:v>FIHL</c:v>
                </c:pt>
                <c:pt idx="1">
                  <c:v>FUL</c:v>
                </c:pt>
                <c:pt idx="2">
                  <c:v>FIBL</c:v>
                </c:pt>
                <c:pt idx="3">
                  <c:v>FIID</c:v>
                </c:pt>
              </c:strCache>
            </c:strRef>
          </c:cat>
          <c:val>
            <c:numRef>
              <c:f>'Change Narrative (Proton Flare)'!$D$10:$D$14</c:f>
              <c:numCache>
                <c:formatCode>_-* #,##0_-;\-* #,##0_-;_-* "-"??_-;_-@_-</c:formatCode>
                <c:ptCount val="5"/>
                <c:pt idx="0">
                  <c:v>52486485.113690019</c:v>
                </c:pt>
                <c:pt idx="1">
                  <c:v>29792884.239627898</c:v>
                </c:pt>
                <c:pt idx="2">
                  <c:v>28578247.564066991</c:v>
                </c:pt>
                <c:pt idx="3">
                  <c:v>17914084.880769655</c:v>
                </c:pt>
              </c:numCache>
            </c:numRef>
          </c:val>
          <c:extLst>
            <c:ext xmlns:c16="http://schemas.microsoft.com/office/drawing/2014/chart" uri="{C3380CC4-5D6E-409C-BE32-E72D297353CC}">
              <c16:uniqueId val="{00000000-B990-4BBC-BFC5-0CB2D072F82B}"/>
            </c:ext>
          </c:extLst>
        </c:ser>
        <c:ser>
          <c:idx val="1"/>
          <c:order val="1"/>
          <c:tx>
            <c:strRef>
              <c:f>'Change Narrative (Proton Flare)'!$I$8</c:f>
              <c:strCache>
                <c:ptCount val="1"/>
                <c:pt idx="0">
                  <c:v>Previous Gross</c:v>
                </c:pt>
              </c:strCache>
            </c:strRef>
          </c:tx>
          <c:spPr>
            <a:solidFill>
              <a:schemeClr val="accent3">
                <a:lumMod val="75000"/>
              </a:schemeClr>
            </a:solidFill>
            <a:ln>
              <a:noFill/>
            </a:ln>
            <a:effectLst/>
          </c:spPr>
          <c:invertIfNegative val="0"/>
          <c:val>
            <c:numRef>
              <c:f>'Change Narrative (Proton Flare)'!$I$10:$I$14</c:f>
              <c:numCache>
                <c:formatCode>_-* #,##0_-;\-* #,##0_-;_-* "-"??_-;_-@_-</c:formatCode>
                <c:ptCount val="5"/>
                <c:pt idx="0">
                  <c:v>51030511.880560629</c:v>
                </c:pt>
                <c:pt idx="1">
                  <c:v>31287289.343245484</c:v>
                </c:pt>
                <c:pt idx="2">
                  <c:v>26026713.720839176</c:v>
                </c:pt>
                <c:pt idx="3">
                  <c:v>18311821.668044187</c:v>
                </c:pt>
              </c:numCache>
            </c:numRef>
          </c:val>
          <c:extLst>
            <c:ext xmlns:c16="http://schemas.microsoft.com/office/drawing/2014/chart" uri="{C3380CC4-5D6E-409C-BE32-E72D297353CC}">
              <c16:uniqueId val="{00000001-B990-4BBC-BFC5-0CB2D072F82B}"/>
            </c:ext>
          </c:extLst>
        </c:ser>
        <c:ser>
          <c:idx val="0"/>
          <c:order val="2"/>
          <c:tx>
            <c:strRef>
              <c:f>'Change Narrative (Proton Flare)'!$E$8</c:f>
              <c:strCache>
                <c:ptCount val="1"/>
                <c:pt idx="0">
                  <c:v>Current Net</c:v>
                </c:pt>
              </c:strCache>
            </c:strRef>
          </c:tx>
          <c:spPr>
            <a:solidFill>
              <a:schemeClr val="accent1"/>
            </a:solidFill>
            <a:ln>
              <a:noFill/>
            </a:ln>
            <a:effectLst/>
          </c:spPr>
          <c:invertIfNegative val="0"/>
          <c:val>
            <c:numRef>
              <c:f>'Change Narrative (Proton Flare)'!$E$10:$E$14</c:f>
              <c:numCache>
                <c:formatCode>_-* #,##0_-;\-* #,##0_-;_-* "-"??_-;_-@_-</c:formatCode>
                <c:ptCount val="5"/>
                <c:pt idx="0">
                  <c:v>42945091.289610468</c:v>
                </c:pt>
                <c:pt idx="1">
                  <c:v>12217153.539851166</c:v>
                </c:pt>
                <c:pt idx="2">
                  <c:v>28578247.564066991</c:v>
                </c:pt>
                <c:pt idx="3">
                  <c:v>2149690.1856923592</c:v>
                </c:pt>
              </c:numCache>
            </c:numRef>
          </c:val>
          <c:extLst>
            <c:ext xmlns:c16="http://schemas.microsoft.com/office/drawing/2014/chart" uri="{C3380CC4-5D6E-409C-BE32-E72D297353CC}">
              <c16:uniqueId val="{00000002-B990-4BBC-BFC5-0CB2D072F82B}"/>
            </c:ext>
          </c:extLst>
        </c:ser>
        <c:ser>
          <c:idx val="3"/>
          <c:order val="3"/>
          <c:tx>
            <c:strRef>
              <c:f>'Change Narrative (Proton Flare)'!$J$8</c:f>
              <c:strCache>
                <c:ptCount val="1"/>
                <c:pt idx="0">
                  <c:v>Previous Net</c:v>
                </c:pt>
              </c:strCache>
            </c:strRef>
          </c:tx>
          <c:spPr>
            <a:solidFill>
              <a:schemeClr val="accent2"/>
            </a:solidFill>
            <a:ln>
              <a:noFill/>
            </a:ln>
            <a:effectLst/>
          </c:spPr>
          <c:invertIfNegative val="0"/>
          <c:val>
            <c:numRef>
              <c:f>'Change Narrative (Proton Flare)'!$J$10:$J$14</c:f>
              <c:numCache>
                <c:formatCode>_-* #,##0_-;\-* #,##0_-;_-* "-"??_-;_-@_-</c:formatCode>
                <c:ptCount val="5"/>
                <c:pt idx="0">
                  <c:v>41110689.678302653</c:v>
                </c:pt>
                <c:pt idx="1">
                  <c:v>12886557.357298201</c:v>
                </c:pt>
                <c:pt idx="2">
                  <c:v>26026713.720839176</c:v>
                </c:pt>
                <c:pt idx="3">
                  <c:v>2197418.6001653029</c:v>
                </c:pt>
              </c:numCache>
            </c:numRef>
          </c:val>
          <c:extLst>
            <c:ext xmlns:c16="http://schemas.microsoft.com/office/drawing/2014/chart" uri="{C3380CC4-5D6E-409C-BE32-E72D297353CC}">
              <c16:uniqueId val="{00000003-B990-4BBC-BFC5-0CB2D072F82B}"/>
            </c:ext>
          </c:extLst>
        </c:ser>
        <c:dLbls>
          <c:showLegendKey val="0"/>
          <c:showVal val="0"/>
          <c:showCatName val="0"/>
          <c:showSerName val="0"/>
          <c:showPercent val="0"/>
          <c:showBubbleSize val="0"/>
        </c:dLbls>
        <c:gapWidth val="219"/>
        <c:overlap val="-27"/>
        <c:axId val="1593890480"/>
        <c:axId val="1593897552"/>
      </c:barChart>
      <c:catAx>
        <c:axId val="15938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7552"/>
        <c:crosses val="autoZero"/>
        <c:auto val="1"/>
        <c:lblAlgn val="ctr"/>
        <c:lblOffset val="100"/>
        <c:noMultiLvlLbl val="0"/>
      </c:catAx>
      <c:valAx>
        <c:axId val="159389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'Change Narrative (Space Weathe)'!$B$5</c:f>
          <c:strCache>
            <c:ptCount val="1"/>
            <c:pt idx="0">
              <c:v>Space Weather RDS 2026Q1 Comparison with previous quarter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'Change Narrative (Space Weathe)'!$D$8</c:f>
              <c:strCache>
                <c:ptCount val="1"/>
                <c:pt idx="0">
                  <c:v>Current Gross</c:v>
                </c:pt>
              </c:strCache>
            </c:strRef>
          </c:tx>
          <c:spPr>
            <a:solidFill>
              <a:schemeClr val="accent3"/>
            </a:solidFill>
            <a:ln>
              <a:noFill/>
            </a:ln>
            <a:effectLst/>
          </c:spPr>
          <c:invertIfNegative val="0"/>
          <c:cat>
            <c:strRef>
              <c:f>'Change Narrative (Space Weathe)'!$B$10:$B$14</c:f>
              <c:strCache>
                <c:ptCount val="4"/>
                <c:pt idx="0">
                  <c:v>FIHL</c:v>
                </c:pt>
                <c:pt idx="1">
                  <c:v>FUL</c:v>
                </c:pt>
                <c:pt idx="2">
                  <c:v>FIBL</c:v>
                </c:pt>
                <c:pt idx="3">
                  <c:v>FIID</c:v>
                </c:pt>
              </c:strCache>
            </c:strRef>
          </c:cat>
          <c:val>
            <c:numRef>
              <c:f>'Change Narrative (Space Weathe)'!$D$10:$D$14</c:f>
              <c:numCache>
                <c:formatCode>_-* #,##0_-;\-* #,##0_-;_-* "-"??_-;_-@_-</c:formatCode>
                <c:ptCount val="5"/>
                <c:pt idx="0">
                  <c:v>294582388.56936425</c:v>
                </c:pt>
                <c:pt idx="1">
                  <c:v>122607729.29155537</c:v>
                </c:pt>
                <c:pt idx="2">
                  <c:v>184470576.48206866</c:v>
                </c:pt>
                <c:pt idx="3">
                  <c:v>145235872.56181151</c:v>
                </c:pt>
              </c:numCache>
            </c:numRef>
          </c:val>
          <c:extLst>
            <c:ext xmlns:c16="http://schemas.microsoft.com/office/drawing/2014/chart" uri="{C3380CC4-5D6E-409C-BE32-E72D297353CC}">
              <c16:uniqueId val="{00000000-B3CD-4A8C-B509-F5BC57CFEA8A}"/>
            </c:ext>
          </c:extLst>
        </c:ser>
        <c:ser>
          <c:idx val="1"/>
          <c:order val="1"/>
          <c:tx>
            <c:strRef>
              <c:f>'Change Narrative (Space Weathe)'!$I$8</c:f>
              <c:strCache>
                <c:ptCount val="1"/>
                <c:pt idx="0">
                  <c:v>Previous Gross</c:v>
                </c:pt>
              </c:strCache>
            </c:strRef>
          </c:tx>
          <c:spPr>
            <a:solidFill>
              <a:schemeClr val="accent3">
                <a:lumMod val="75000"/>
              </a:schemeClr>
            </a:solidFill>
            <a:ln>
              <a:noFill/>
            </a:ln>
            <a:effectLst/>
          </c:spPr>
          <c:invertIfNegative val="0"/>
          <c:val>
            <c:numRef>
              <c:f>'Change Narrative (Space Weathe)'!$I$10:$I$14</c:f>
              <c:numCache>
                <c:formatCode>_-* #,##0_-;\-* #,##0_-;_-* "-"??_-;_-@_-</c:formatCode>
                <c:ptCount val="5"/>
                <c:pt idx="0">
                  <c:v>281393233.94398534</c:v>
                </c:pt>
                <c:pt idx="1">
                  <c:v>121988613.29155546</c:v>
                </c:pt>
                <c:pt idx="2">
                  <c:v>169314632.79792517</c:v>
                </c:pt>
                <c:pt idx="3">
                  <c:v>150904392.43874541</c:v>
                </c:pt>
              </c:numCache>
            </c:numRef>
          </c:val>
          <c:extLst>
            <c:ext xmlns:c16="http://schemas.microsoft.com/office/drawing/2014/chart" uri="{C3380CC4-5D6E-409C-BE32-E72D297353CC}">
              <c16:uniqueId val="{00000001-B3CD-4A8C-B509-F5BC57CFEA8A}"/>
            </c:ext>
          </c:extLst>
        </c:ser>
        <c:ser>
          <c:idx val="0"/>
          <c:order val="2"/>
          <c:tx>
            <c:strRef>
              <c:f>'Change Narrative (Space Weathe)'!$E$8</c:f>
              <c:strCache>
                <c:ptCount val="1"/>
                <c:pt idx="0">
                  <c:v>Current Net</c:v>
                </c:pt>
              </c:strCache>
            </c:strRef>
          </c:tx>
          <c:spPr>
            <a:solidFill>
              <a:schemeClr val="accent1"/>
            </a:solidFill>
            <a:ln>
              <a:noFill/>
            </a:ln>
            <a:effectLst/>
          </c:spPr>
          <c:invertIfNegative val="0"/>
          <c:val>
            <c:numRef>
              <c:f>'Change Narrative (Space Weathe)'!$E$10:$E$14</c:f>
              <c:numCache>
                <c:formatCode>_-* #,##0_-;\-* #,##0_-;_-* "-"??_-;_-@_-</c:formatCode>
                <c:ptCount val="5"/>
                <c:pt idx="0">
                  <c:v>241013668.1986908</c:v>
                </c:pt>
                <c:pt idx="1">
                  <c:v>49043091.716622166</c:v>
                </c:pt>
                <c:pt idx="2">
                  <c:v>184470576.48206866</c:v>
                </c:pt>
                <c:pt idx="3">
                  <c:v>7500000</c:v>
                </c:pt>
              </c:numCache>
            </c:numRef>
          </c:val>
          <c:extLst>
            <c:ext xmlns:c16="http://schemas.microsoft.com/office/drawing/2014/chart" uri="{C3380CC4-5D6E-409C-BE32-E72D297353CC}">
              <c16:uniqueId val="{00000002-B3CD-4A8C-B509-F5BC57CFEA8A}"/>
            </c:ext>
          </c:extLst>
        </c:ser>
        <c:ser>
          <c:idx val="3"/>
          <c:order val="3"/>
          <c:tx>
            <c:strRef>
              <c:f>'Change Narrative (Space Weathe)'!$J$8</c:f>
              <c:strCache>
                <c:ptCount val="1"/>
                <c:pt idx="0">
                  <c:v>Previous Net</c:v>
                </c:pt>
              </c:strCache>
            </c:strRef>
          </c:tx>
          <c:spPr>
            <a:solidFill>
              <a:schemeClr val="accent2"/>
            </a:solidFill>
            <a:ln>
              <a:noFill/>
            </a:ln>
            <a:effectLst/>
          </c:spPr>
          <c:invertIfNegative val="0"/>
          <c:val>
            <c:numRef>
              <c:f>'Change Narrative (Space Weathe)'!$J$10:$J$14</c:f>
              <c:numCache>
                <c:formatCode>_-* #,##0_-;\-* #,##0_-;_-* "-"??_-;_-@_-</c:formatCode>
                <c:ptCount val="5"/>
                <c:pt idx="0">
                  <c:v>226814632.79792517</c:v>
                </c:pt>
                <c:pt idx="1">
                  <c:v>50000000</c:v>
                </c:pt>
                <c:pt idx="2">
                  <c:v>169314632.79792517</c:v>
                </c:pt>
                <c:pt idx="3">
                  <c:v>7500000</c:v>
                </c:pt>
              </c:numCache>
            </c:numRef>
          </c:val>
          <c:extLst>
            <c:ext xmlns:c16="http://schemas.microsoft.com/office/drawing/2014/chart" uri="{C3380CC4-5D6E-409C-BE32-E72D297353CC}">
              <c16:uniqueId val="{00000003-B3CD-4A8C-B509-F5BC57CFEA8A}"/>
            </c:ext>
          </c:extLst>
        </c:ser>
        <c:dLbls>
          <c:showLegendKey val="0"/>
          <c:showVal val="0"/>
          <c:showCatName val="0"/>
          <c:showSerName val="0"/>
          <c:showPercent val="0"/>
          <c:showBubbleSize val="0"/>
        </c:dLbls>
        <c:gapWidth val="219"/>
        <c:overlap val="-27"/>
        <c:axId val="1593890480"/>
        <c:axId val="1593897552"/>
      </c:barChart>
      <c:catAx>
        <c:axId val="15938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7552"/>
        <c:crosses val="autoZero"/>
        <c:auto val="1"/>
        <c:lblAlgn val="ctr"/>
        <c:lblOffset val="100"/>
        <c:noMultiLvlLbl val="0"/>
      </c:catAx>
      <c:valAx>
        <c:axId val="159389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'Change Narrative (Gen Defect)'!$B$5</c:f>
          <c:strCache>
            <c:ptCount val="1"/>
            <c:pt idx="0">
              <c:v>Generic Defect RDS 2026Q1 Comparison with previous quarter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'Change Narrative (Gen Defect)'!$D$8</c:f>
              <c:strCache>
                <c:ptCount val="1"/>
                <c:pt idx="0">
                  <c:v>Current Gross</c:v>
                </c:pt>
              </c:strCache>
            </c:strRef>
          </c:tx>
          <c:spPr>
            <a:solidFill>
              <a:schemeClr val="accent3"/>
            </a:solidFill>
            <a:ln>
              <a:noFill/>
            </a:ln>
            <a:effectLst/>
          </c:spPr>
          <c:invertIfNegative val="0"/>
          <c:cat>
            <c:strRef>
              <c:f>'Change Narrative (Gen Defect)'!$B$10:$B$14</c:f>
              <c:strCache>
                <c:ptCount val="4"/>
                <c:pt idx="0">
                  <c:v>FIHL</c:v>
                </c:pt>
                <c:pt idx="1">
                  <c:v>FUL</c:v>
                </c:pt>
                <c:pt idx="2">
                  <c:v>FIBL</c:v>
                </c:pt>
                <c:pt idx="3">
                  <c:v>FIID</c:v>
                </c:pt>
              </c:strCache>
            </c:strRef>
          </c:cat>
          <c:val>
            <c:numRef>
              <c:f>'Change Narrative (Gen Defect)'!$D$10:$D$14</c:f>
              <c:numCache>
                <c:formatCode>_-* #,##0_-;\-* #,##0_-;_-* "-"??_-;_-@_-</c:formatCode>
                <c:ptCount val="5"/>
                <c:pt idx="0">
                  <c:v>147038280.00260246</c:v>
                </c:pt>
                <c:pt idx="1">
                  <c:v>93137025.012543261</c:v>
                </c:pt>
                <c:pt idx="2">
                  <c:v>77408120.971683815</c:v>
                </c:pt>
                <c:pt idx="3">
                  <c:v>40212326.023101956</c:v>
                </c:pt>
              </c:numCache>
            </c:numRef>
          </c:val>
          <c:extLst>
            <c:ext xmlns:c16="http://schemas.microsoft.com/office/drawing/2014/chart" uri="{C3380CC4-5D6E-409C-BE32-E72D297353CC}">
              <c16:uniqueId val="{00000000-5BFE-4A98-93DD-6BACD6FC0E3D}"/>
            </c:ext>
          </c:extLst>
        </c:ser>
        <c:ser>
          <c:idx val="1"/>
          <c:order val="1"/>
          <c:tx>
            <c:strRef>
              <c:f>'Change Narrative (Gen Defect)'!$I$8</c:f>
              <c:strCache>
                <c:ptCount val="1"/>
                <c:pt idx="0">
                  <c:v>Previous Gross</c:v>
                </c:pt>
              </c:strCache>
            </c:strRef>
          </c:tx>
          <c:spPr>
            <a:solidFill>
              <a:schemeClr val="accent3">
                <a:lumMod val="75000"/>
              </a:schemeClr>
            </a:solidFill>
            <a:ln>
              <a:noFill/>
            </a:ln>
            <a:effectLst/>
          </c:spPr>
          <c:invertIfNegative val="0"/>
          <c:val>
            <c:numRef>
              <c:f>'Change Narrative (Gen Defect)'!$I$10:$I$14</c:f>
              <c:numCache>
                <c:formatCode>_-* #,##0_-;\-* #,##0_-;_-* "-"??_-;_-@_-</c:formatCode>
                <c:ptCount val="5"/>
                <c:pt idx="0">
                  <c:v>142401515.99494335</c:v>
                </c:pt>
                <c:pt idx="1">
                  <c:v>94734904.734359875</c:v>
                </c:pt>
                <c:pt idx="2">
                  <c:v>70259881.432070032</c:v>
                </c:pt>
                <c:pt idx="3">
                  <c:v>43741901.457054235</c:v>
                </c:pt>
              </c:numCache>
            </c:numRef>
          </c:val>
          <c:extLst>
            <c:ext xmlns:c16="http://schemas.microsoft.com/office/drawing/2014/chart" uri="{C3380CC4-5D6E-409C-BE32-E72D297353CC}">
              <c16:uniqueId val="{00000001-5BFE-4A98-93DD-6BACD6FC0E3D}"/>
            </c:ext>
          </c:extLst>
        </c:ser>
        <c:ser>
          <c:idx val="0"/>
          <c:order val="2"/>
          <c:tx>
            <c:strRef>
              <c:f>'Change Narrative (Gen Defect)'!$E$8</c:f>
              <c:strCache>
                <c:ptCount val="1"/>
                <c:pt idx="0">
                  <c:v>Current Net</c:v>
                </c:pt>
              </c:strCache>
            </c:strRef>
          </c:tx>
          <c:spPr>
            <a:solidFill>
              <a:schemeClr val="accent1"/>
            </a:solidFill>
            <a:ln>
              <a:noFill/>
            </a:ln>
            <a:effectLst/>
          </c:spPr>
          <c:invertIfNegative val="0"/>
          <c:val>
            <c:numRef>
              <c:f>'Change Narrative (Gen Defect)'!$E$10:$E$14</c:f>
              <c:numCache>
                <c:formatCode>_-* #,##0_-;\-* #,##0_-;_-* "-"??_-;_-@_-</c:formatCode>
                <c:ptCount val="5"/>
                <c:pt idx="0">
                  <c:v>120368409.7954734</c:v>
                </c:pt>
                <c:pt idx="1">
                  <c:v>38134809.70101729</c:v>
                </c:pt>
                <c:pt idx="2">
                  <c:v>77408120.971683815</c:v>
                </c:pt>
                <c:pt idx="3">
                  <c:v>4825479.1227722345</c:v>
                </c:pt>
              </c:numCache>
            </c:numRef>
          </c:val>
          <c:extLst>
            <c:ext xmlns:c16="http://schemas.microsoft.com/office/drawing/2014/chart" uri="{C3380CC4-5D6E-409C-BE32-E72D297353CC}">
              <c16:uniqueId val="{00000002-5BFE-4A98-93DD-6BACD6FC0E3D}"/>
            </c:ext>
          </c:extLst>
        </c:ser>
        <c:ser>
          <c:idx val="3"/>
          <c:order val="3"/>
          <c:tx>
            <c:strRef>
              <c:f>'Change Narrative (Gen Defect)'!$J$8</c:f>
              <c:strCache>
                <c:ptCount val="1"/>
                <c:pt idx="0">
                  <c:v>Previous Net</c:v>
                </c:pt>
              </c:strCache>
            </c:strRef>
          </c:tx>
          <c:spPr>
            <a:solidFill>
              <a:schemeClr val="accent2"/>
            </a:solidFill>
            <a:ln>
              <a:noFill/>
            </a:ln>
            <a:effectLst/>
          </c:spPr>
          <c:invertIfNegative val="0"/>
          <c:val>
            <c:numRef>
              <c:f>'Change Narrative (Gen Defect)'!$J$10:$J$14</c:f>
              <c:numCache>
                <c:formatCode>_-* #,##0_-;\-* #,##0_-;_-* "-"??_-;_-@_-</c:formatCode>
                <c:ptCount val="5"/>
                <c:pt idx="0">
                  <c:v>114706154.75666051</c:v>
                </c:pt>
                <c:pt idx="1">
                  <c:v>39197245.149743937</c:v>
                </c:pt>
                <c:pt idx="2">
                  <c:v>70259881.432070032</c:v>
                </c:pt>
                <c:pt idx="3">
                  <c:v>5249028.1748465076</c:v>
                </c:pt>
              </c:numCache>
            </c:numRef>
          </c:val>
          <c:extLst>
            <c:ext xmlns:c16="http://schemas.microsoft.com/office/drawing/2014/chart" uri="{C3380CC4-5D6E-409C-BE32-E72D297353CC}">
              <c16:uniqueId val="{00000003-5BFE-4A98-93DD-6BACD6FC0E3D}"/>
            </c:ext>
          </c:extLst>
        </c:ser>
        <c:dLbls>
          <c:showLegendKey val="0"/>
          <c:showVal val="0"/>
          <c:showCatName val="0"/>
          <c:showSerName val="0"/>
          <c:showPercent val="0"/>
          <c:showBubbleSize val="0"/>
        </c:dLbls>
        <c:gapWidth val="219"/>
        <c:overlap val="-27"/>
        <c:axId val="1593890480"/>
        <c:axId val="1593897552"/>
      </c:barChart>
      <c:catAx>
        <c:axId val="15938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7552"/>
        <c:crosses val="autoZero"/>
        <c:auto val="1"/>
        <c:lblAlgn val="ctr"/>
        <c:lblOffset val="100"/>
        <c:noMultiLvlLbl val="0"/>
      </c:catAx>
      <c:valAx>
        <c:axId val="159389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'Change Narrative (Max Risk)'!$B$5</c:f>
          <c:strCache>
            <c:ptCount val="1"/>
            <c:pt idx="0">
              <c:v>Max net exposure by entity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'Change Narrative (Max Risk)'!$D$8</c:f>
              <c:strCache>
                <c:ptCount val="1"/>
                <c:pt idx="0">
                  <c:v>Current Gross</c:v>
                </c:pt>
              </c:strCache>
            </c:strRef>
          </c:tx>
          <c:spPr>
            <a:solidFill>
              <a:schemeClr val="accent3"/>
            </a:solidFill>
            <a:ln>
              <a:noFill/>
            </a:ln>
            <a:effectLst/>
          </c:spPr>
          <c:invertIfNegative val="0"/>
          <c:cat>
            <c:strRef>
              <c:f>'Change Narrative (Max Risk)'!$B$10:$B$14</c:f>
              <c:strCache>
                <c:ptCount val="4"/>
                <c:pt idx="0">
                  <c:v>FIHL</c:v>
                </c:pt>
                <c:pt idx="1">
                  <c:v>FUL</c:v>
                </c:pt>
                <c:pt idx="2">
                  <c:v>FIBL</c:v>
                </c:pt>
                <c:pt idx="3">
                  <c:v>FIID</c:v>
                </c:pt>
              </c:strCache>
            </c:strRef>
          </c:cat>
          <c:val>
            <c:numRef>
              <c:f>'Change Narrative (Max Risk)'!$D$10:$D$14</c:f>
              <c:numCache>
                <c:formatCode>_-* #,##0_-;\-* #,##0_-;_-* "-"??_-;_-@_-</c:formatCode>
                <c:ptCount val="5"/>
                <c:pt idx="0">
                  <c:v>39999960</c:v>
                </c:pt>
                <c:pt idx="1">
                  <c:v>39999960</c:v>
                </c:pt>
                <c:pt idx="2">
                  <c:v>22946346.113120016</c:v>
                </c:pt>
                <c:pt idx="3">
                  <c:v>28857627.37544075</c:v>
                </c:pt>
              </c:numCache>
            </c:numRef>
          </c:val>
          <c:extLst>
            <c:ext xmlns:c16="http://schemas.microsoft.com/office/drawing/2014/chart" uri="{C3380CC4-5D6E-409C-BE32-E72D297353CC}">
              <c16:uniqueId val="{00000000-801F-4D64-BF5D-A38E8047F5A8}"/>
            </c:ext>
          </c:extLst>
        </c:ser>
        <c:ser>
          <c:idx val="1"/>
          <c:order val="1"/>
          <c:tx>
            <c:strRef>
              <c:f>'Change Narrative (Max Risk)'!$I$8</c:f>
              <c:strCache>
                <c:ptCount val="1"/>
                <c:pt idx="0">
                  <c:v>Previous Gross</c:v>
                </c:pt>
              </c:strCache>
            </c:strRef>
          </c:tx>
          <c:spPr>
            <a:solidFill>
              <a:schemeClr val="accent3">
                <a:lumMod val="75000"/>
              </a:schemeClr>
            </a:solidFill>
            <a:ln>
              <a:noFill/>
            </a:ln>
            <a:effectLst/>
          </c:spPr>
          <c:invertIfNegative val="0"/>
          <c:val>
            <c:numRef>
              <c:f>'Change Narrative (Max Risk)'!$I$10:$I$14</c:f>
              <c:numCache>
                <c:formatCode>_-* #,##0_-;\-* #,##0_-;_-* "-"??_-;_-@_-</c:formatCode>
                <c:ptCount val="5"/>
                <c:pt idx="0">
                  <c:v>39999960</c:v>
                </c:pt>
                <c:pt idx="1">
                  <c:v>39999960</c:v>
                </c:pt>
                <c:pt idx="2">
                  <c:v>20790999.050588533</c:v>
                </c:pt>
                <c:pt idx="3">
                  <c:v>28857627.37544075</c:v>
                </c:pt>
              </c:numCache>
            </c:numRef>
          </c:val>
          <c:extLst>
            <c:ext xmlns:c16="http://schemas.microsoft.com/office/drawing/2014/chart" uri="{C3380CC4-5D6E-409C-BE32-E72D297353CC}">
              <c16:uniqueId val="{00000001-801F-4D64-BF5D-A38E8047F5A8}"/>
            </c:ext>
          </c:extLst>
        </c:ser>
        <c:ser>
          <c:idx val="0"/>
          <c:order val="2"/>
          <c:tx>
            <c:strRef>
              <c:f>'Change Narrative (Max Risk)'!$E$8</c:f>
              <c:strCache>
                <c:ptCount val="1"/>
                <c:pt idx="0">
                  <c:v>Current Net</c:v>
                </c:pt>
              </c:strCache>
            </c:strRef>
          </c:tx>
          <c:spPr>
            <a:solidFill>
              <a:schemeClr val="accent1"/>
            </a:solidFill>
            <a:ln>
              <a:noFill/>
            </a:ln>
            <a:effectLst/>
          </c:spPr>
          <c:invertIfNegative val="0"/>
          <c:val>
            <c:numRef>
              <c:f>'Change Narrative (Max Risk)'!$E$10:$E$14</c:f>
              <c:numCache>
                <c:formatCode>_-* #,##0_-;\-* #,##0_-;_-* "-"??_-;_-@_-</c:formatCode>
                <c:ptCount val="5"/>
                <c:pt idx="0">
                  <c:v>31999968</c:v>
                </c:pt>
                <c:pt idx="1">
                  <c:v>19199980.799999997</c:v>
                </c:pt>
                <c:pt idx="2">
                  <c:v>22946346.113120016</c:v>
                </c:pt>
                <c:pt idx="3">
                  <c:v>3462915.2850528909</c:v>
                </c:pt>
              </c:numCache>
            </c:numRef>
          </c:val>
          <c:extLst>
            <c:ext xmlns:c16="http://schemas.microsoft.com/office/drawing/2014/chart" uri="{C3380CC4-5D6E-409C-BE32-E72D297353CC}">
              <c16:uniqueId val="{00000002-801F-4D64-BF5D-A38E8047F5A8}"/>
            </c:ext>
          </c:extLst>
        </c:ser>
        <c:ser>
          <c:idx val="3"/>
          <c:order val="3"/>
          <c:tx>
            <c:strRef>
              <c:f>'Change Narrative (Max Risk)'!$J$8</c:f>
              <c:strCache>
                <c:ptCount val="1"/>
                <c:pt idx="0">
                  <c:v>Previous Net</c:v>
                </c:pt>
              </c:strCache>
            </c:strRef>
          </c:tx>
          <c:spPr>
            <a:solidFill>
              <a:schemeClr val="accent2"/>
            </a:solidFill>
            <a:ln>
              <a:noFill/>
            </a:ln>
            <a:effectLst/>
          </c:spPr>
          <c:invertIfNegative val="0"/>
          <c:val>
            <c:numRef>
              <c:f>'Change Narrative (Max Risk)'!$J$10:$J$14</c:f>
              <c:numCache>
                <c:formatCode>_-* #,##0_-;\-* #,##0_-;_-* "-"??_-;_-@_-</c:formatCode>
                <c:ptCount val="5"/>
                <c:pt idx="0">
                  <c:v>31999968</c:v>
                </c:pt>
                <c:pt idx="1">
                  <c:v>19199980.799999997</c:v>
                </c:pt>
                <c:pt idx="2">
                  <c:v>20790999.050588533</c:v>
                </c:pt>
                <c:pt idx="3">
                  <c:v>3462915.2850528909</c:v>
                </c:pt>
              </c:numCache>
            </c:numRef>
          </c:val>
          <c:extLst>
            <c:ext xmlns:c16="http://schemas.microsoft.com/office/drawing/2014/chart" uri="{C3380CC4-5D6E-409C-BE32-E72D297353CC}">
              <c16:uniqueId val="{00000003-801F-4D64-BF5D-A38E8047F5A8}"/>
            </c:ext>
          </c:extLst>
        </c:ser>
        <c:dLbls>
          <c:showLegendKey val="0"/>
          <c:showVal val="0"/>
          <c:showCatName val="0"/>
          <c:showSerName val="0"/>
          <c:showPercent val="0"/>
          <c:showBubbleSize val="0"/>
        </c:dLbls>
        <c:gapWidth val="219"/>
        <c:overlap val="-27"/>
        <c:axId val="1593890480"/>
        <c:axId val="1593897552"/>
      </c:barChart>
      <c:catAx>
        <c:axId val="15938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7552"/>
        <c:crosses val="autoZero"/>
        <c:auto val="1"/>
        <c:lblAlgn val="ctr"/>
        <c:lblOffset val="100"/>
        <c:noMultiLvlLbl val="0"/>
      </c:catAx>
      <c:valAx>
        <c:axId val="159389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'Change Narrative (Space Debris)'!$B$4</c:f>
          <c:strCache>
            <c:ptCount val="1"/>
            <c:pt idx="0">
              <c:v>Space Debris RDS 2026Q1
Comparison to Previous Quarter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'Change Narrative (Space Debris)'!$D$8</c:f>
              <c:strCache>
                <c:ptCount val="1"/>
                <c:pt idx="0">
                  <c:v>Current Gross</c:v>
                </c:pt>
              </c:strCache>
            </c:strRef>
          </c:tx>
          <c:spPr>
            <a:solidFill>
              <a:schemeClr val="accent3"/>
            </a:solidFill>
            <a:ln>
              <a:noFill/>
            </a:ln>
            <a:effectLst/>
          </c:spPr>
          <c:invertIfNegative val="0"/>
          <c:cat>
            <c:strRef>
              <c:f>'Change Narrative (Space Debris)'!$B$10:$B$14</c:f>
              <c:strCache>
                <c:ptCount val="4"/>
                <c:pt idx="0">
                  <c:v>FIHL</c:v>
                </c:pt>
                <c:pt idx="1">
                  <c:v>FUL</c:v>
                </c:pt>
                <c:pt idx="2">
                  <c:v>FIBL</c:v>
                </c:pt>
                <c:pt idx="3">
                  <c:v>FIID</c:v>
                </c:pt>
              </c:strCache>
            </c:strRef>
          </c:cat>
          <c:val>
            <c:numRef>
              <c:f>'Change Narrative (Space Debris)'!$D$10:$D$14</c:f>
              <c:numCache>
                <c:formatCode>_-* #,##0_-;\-* #,##0_-;_-* "-"??_-;_-@_-</c:formatCode>
                <c:ptCount val="4"/>
                <c:pt idx="0">
                  <c:v>121033456.09688954</c:v>
                </c:pt>
                <c:pt idx="1">
                  <c:v>75341155.490671456</c:v>
                </c:pt>
                <c:pt idx="2">
                  <c:v>66110995.728377253</c:v>
                </c:pt>
                <c:pt idx="3">
                  <c:v>29430522.594092067</c:v>
                </c:pt>
              </c:numCache>
            </c:numRef>
          </c:val>
          <c:extLst>
            <c:ext xmlns:c16="http://schemas.microsoft.com/office/drawing/2014/chart" uri="{C3380CC4-5D6E-409C-BE32-E72D297353CC}">
              <c16:uniqueId val="{00000000-8E6C-44CA-9663-77007C0DC1FF}"/>
            </c:ext>
          </c:extLst>
        </c:ser>
        <c:ser>
          <c:idx val="1"/>
          <c:order val="1"/>
          <c:tx>
            <c:strRef>
              <c:f>'Change Narrative (Space Debris)'!$I$8</c:f>
              <c:strCache>
                <c:ptCount val="1"/>
                <c:pt idx="0">
                  <c:v>Previous Gross</c:v>
                </c:pt>
              </c:strCache>
            </c:strRef>
          </c:tx>
          <c:spPr>
            <a:solidFill>
              <a:schemeClr val="accent3">
                <a:lumMod val="75000"/>
              </a:schemeClr>
            </a:solidFill>
            <a:ln>
              <a:noFill/>
            </a:ln>
            <a:effectLst/>
          </c:spPr>
          <c:invertIfNegative val="0"/>
          <c:val>
            <c:numRef>
              <c:f>'Change Narrative (Space Debris)'!$I$10:$I$14</c:f>
              <c:numCache>
                <c:formatCode>_-* #,##0_-;\-* #,##0_-;_-* "-"??_-;_-@_-</c:formatCode>
                <c:ptCount val="4"/>
                <c:pt idx="0">
                  <c:v>103557499.44030607</c:v>
                </c:pt>
                <c:pt idx="1">
                  <c:v>61162923.57301262</c:v>
                </c:pt>
                <c:pt idx="2">
                  <c:v>53253808.396562219</c:v>
                </c:pt>
                <c:pt idx="3">
                  <c:v>39857172.749800995</c:v>
                </c:pt>
              </c:numCache>
            </c:numRef>
          </c:val>
          <c:extLst>
            <c:ext xmlns:c16="http://schemas.microsoft.com/office/drawing/2014/chart" uri="{C3380CC4-5D6E-409C-BE32-E72D297353CC}">
              <c16:uniqueId val="{00000001-8E6C-44CA-9663-77007C0DC1FF}"/>
            </c:ext>
          </c:extLst>
        </c:ser>
        <c:ser>
          <c:idx val="0"/>
          <c:order val="2"/>
          <c:tx>
            <c:strRef>
              <c:f>'Change Narrative (Space Debris)'!$E$8</c:f>
              <c:strCache>
                <c:ptCount val="1"/>
                <c:pt idx="0">
                  <c:v>Current Net</c:v>
                </c:pt>
              </c:strCache>
            </c:strRef>
          </c:tx>
          <c:spPr>
            <a:solidFill>
              <a:schemeClr val="accent1"/>
            </a:solidFill>
            <a:ln>
              <a:noFill/>
            </a:ln>
            <a:effectLst/>
          </c:spPr>
          <c:invertIfNegative val="0"/>
          <c:val>
            <c:numRef>
              <c:f>'Change Narrative (Space Debris)'!$E$10:$E$14</c:f>
              <c:numCache>
                <c:formatCode>_-* #,##0_-;\-* #,##0_-;_-* "-"??_-;_-@_-</c:formatCode>
                <c:ptCount val="4"/>
                <c:pt idx="0">
                  <c:v>99279126.559936896</c:v>
                </c:pt>
                <c:pt idx="1">
                  <c:v>30436462.040268585</c:v>
                </c:pt>
                <c:pt idx="2">
                  <c:v>65311001.808377251</c:v>
                </c:pt>
                <c:pt idx="3">
                  <c:v>3531662.7112910482</c:v>
                </c:pt>
              </c:numCache>
            </c:numRef>
          </c:val>
          <c:extLst>
            <c:ext xmlns:c16="http://schemas.microsoft.com/office/drawing/2014/chart" uri="{C3380CC4-5D6E-409C-BE32-E72D297353CC}">
              <c16:uniqueId val="{00000002-8E6C-44CA-9663-77007C0DC1FF}"/>
            </c:ext>
          </c:extLst>
        </c:ser>
        <c:ser>
          <c:idx val="3"/>
          <c:order val="3"/>
          <c:tx>
            <c:strRef>
              <c:f>'Change Narrative (Space Debris)'!$J$8</c:f>
              <c:strCache>
                <c:ptCount val="1"/>
                <c:pt idx="0">
                  <c:v>Previous Net</c:v>
                </c:pt>
              </c:strCache>
            </c:strRef>
          </c:tx>
          <c:spPr>
            <a:solidFill>
              <a:schemeClr val="accent2"/>
            </a:solidFill>
            <a:ln>
              <a:noFill/>
            </a:ln>
            <a:effectLst/>
          </c:spPr>
          <c:invertIfNegative val="0"/>
          <c:val>
            <c:numRef>
              <c:f>'Change Narrative (Space Debris)'!$J$10:$J$14</c:f>
              <c:numCache>
                <c:formatCode>_-* #,##0_-;\-* #,##0_-;_-* "-"??_-;_-@_-</c:formatCode>
                <c:ptCount val="4"/>
                <c:pt idx="0">
                  <c:v>83353480.175743386</c:v>
                </c:pt>
                <c:pt idx="1">
                  <c:v>25316811.04920505</c:v>
                </c:pt>
                <c:pt idx="2">
                  <c:v>53253808.396562219</c:v>
                </c:pt>
                <c:pt idx="3">
                  <c:v>4782860.7299761195</c:v>
                </c:pt>
              </c:numCache>
            </c:numRef>
          </c:val>
          <c:extLst>
            <c:ext xmlns:c16="http://schemas.microsoft.com/office/drawing/2014/chart" uri="{C3380CC4-5D6E-409C-BE32-E72D297353CC}">
              <c16:uniqueId val="{00000003-8E6C-44CA-9663-77007C0DC1FF}"/>
            </c:ext>
          </c:extLst>
        </c:ser>
        <c:dLbls>
          <c:showLegendKey val="0"/>
          <c:showVal val="0"/>
          <c:showCatName val="0"/>
          <c:showSerName val="0"/>
          <c:showPercent val="0"/>
          <c:showBubbleSize val="0"/>
        </c:dLbls>
        <c:gapWidth val="219"/>
        <c:overlap val="-27"/>
        <c:axId val="1593890480"/>
        <c:axId val="1593897552"/>
      </c:barChart>
      <c:catAx>
        <c:axId val="15938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7552"/>
        <c:crosses val="autoZero"/>
        <c:auto val="1"/>
        <c:lblAlgn val="ctr"/>
        <c:lblOffset val="100"/>
        <c:noMultiLvlLbl val="0"/>
      </c:catAx>
      <c:valAx>
        <c:axId val="159389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9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Movement in USD In-Force Exposure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Movement in USD In-Force Exposure</a:t>
          </a:r>
        </a:p>
      </cx:txPr>
    </cx:title>
    <cx:plotArea>
      <cx:plotAreaRegion>
        <cx:series layoutId="waterfall" uniqueId="{D4D94038-AA45-4BB1-8A2A-089785B99476}" formatIdx="0">
          <cx:tx>
            <cx:txData>
              <cx:f>_xlchart.v1.1</cx:f>
              <cx:v>In Force Exposure</cx:v>
            </cx:txData>
          </cx:tx>
          <cx:dataLabels pos="outEnd">
            <cx:numFmt formatCode="0.0,,&quot;m&quot;" sourceLinked="0"/>
            <cx:visibility seriesName="0" categoryName="0" value="1"/>
            <cx:separator>, </cx:separator>
          </cx:dataLabels>
          <cx:dataId val="0"/>
          <cx:layoutPr>
            <cx:subtotals/>
          </cx:layoutPr>
        </cx:series>
      </cx:plotAreaRegion>
      <cx:axis id="0">
        <cx:catScaling gapWidth="0.5"/>
        <cx:tickLabels/>
      </cx:axis>
      <cx:axis id="1">
        <cx:valScaling/>
        <cx:majorGridlines/>
        <cx:tickLabels/>
        <cx:numFmt formatCode="0.0,,&quot;m&quot;" sourceLinked="0"/>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23</xdr:col>
      <xdr:colOff>0</xdr:colOff>
      <xdr:row>21</xdr:row>
      <xdr:rowOff>0</xdr:rowOff>
    </xdr:from>
    <xdr:to>
      <xdr:col>31</xdr:col>
      <xdr:colOff>450726</xdr:colOff>
      <xdr:row>44</xdr:row>
      <xdr:rowOff>8539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D46EFC8-F565-4E82-A024-D949A896A0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41900" y="3867150"/>
              <a:ext cx="13125326" cy="42439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32</xdr:col>
      <xdr:colOff>575309</xdr:colOff>
      <xdr:row>28</xdr:row>
      <xdr:rowOff>125730</xdr:rowOff>
    </xdr:from>
    <xdr:to>
      <xdr:col>37</xdr:col>
      <xdr:colOff>588873</xdr:colOff>
      <xdr:row>46</xdr:row>
      <xdr:rowOff>57794</xdr:rowOff>
    </xdr:to>
    <xdr:pic>
      <xdr:nvPicPr>
        <xdr:cNvPr id="3" name="Picture 2">
          <a:extLst>
            <a:ext uri="{FF2B5EF4-FFF2-40B4-BE49-F238E27FC236}">
              <a16:creationId xmlns:a16="http://schemas.microsoft.com/office/drawing/2014/main" id="{81ED4130-3384-5ACD-C74C-41087C7DC79D}"/>
            </a:ext>
          </a:extLst>
        </xdr:cNvPr>
        <xdr:cNvPicPr>
          <a:picLocks noChangeAspect="1"/>
        </xdr:cNvPicPr>
      </xdr:nvPicPr>
      <xdr:blipFill>
        <a:blip xmlns:r="http://schemas.openxmlformats.org/officeDocument/2006/relationships" r:embed="rId2"/>
        <a:stretch>
          <a:fillRect/>
        </a:stretch>
      </xdr:blipFill>
      <xdr:spPr>
        <a:xfrm>
          <a:off x="39675434" y="5193030"/>
          <a:ext cx="6463666" cy="31819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123825</xdr:colOff>
      <xdr:row>10</xdr:row>
      <xdr:rowOff>152400</xdr:rowOff>
    </xdr:from>
    <xdr:to>
      <xdr:col>24</xdr:col>
      <xdr:colOff>142875</xdr:colOff>
      <xdr:row>27</xdr:row>
      <xdr:rowOff>0</xdr:rowOff>
    </xdr:to>
    <xdr:sp macro="" textlink="">
      <xdr:nvSpPr>
        <xdr:cNvPr id="2" name="TextBox 1">
          <a:extLst>
            <a:ext uri="{FF2B5EF4-FFF2-40B4-BE49-F238E27FC236}">
              <a16:creationId xmlns:a16="http://schemas.microsoft.com/office/drawing/2014/main" id="{52BFAE34-F6B1-4117-8810-15FAB8DAAD13}"/>
            </a:ext>
          </a:extLst>
        </xdr:cNvPr>
        <xdr:cNvSpPr txBox="1"/>
      </xdr:nvSpPr>
      <xdr:spPr>
        <a:xfrm>
          <a:off x="16230600" y="2057400"/>
          <a:ext cx="6800850" cy="308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Proton</a:t>
          </a:r>
          <a:r>
            <a:rPr lang="en-GB" sz="1100" b="1" i="1" baseline="0"/>
            <a:t> Flare</a:t>
          </a:r>
        </a:p>
        <a:p>
          <a:r>
            <a:rPr lang="en-GB" sz="1100" b="0" i="0" baseline="0"/>
            <a:t>Sum of all Geostationary, on-risk satellites x Proton Flare effect.</a:t>
          </a:r>
        </a:p>
        <a:p>
          <a:endParaRPr lang="en-GB" sz="1100" b="0" i="0" baseline="0"/>
        </a:p>
        <a:p>
          <a:r>
            <a:rPr lang="en-GB" sz="1100" b="1" i="1" baseline="0"/>
            <a:t>Space Weather</a:t>
          </a:r>
        </a:p>
        <a:p>
          <a:r>
            <a:rPr lang="en-GB" sz="1100" b="0" i="0" baseline="0"/>
            <a:t>Exposure from most exposed Bus Manufacturer</a:t>
          </a:r>
        </a:p>
        <a:p>
          <a:endParaRPr lang="en-GB" sz="1100" b="0" i="0" baseline="0"/>
        </a:p>
        <a:p>
          <a:r>
            <a:rPr lang="en-GB" sz="1100" b="1" i="1" baseline="0"/>
            <a:t>Generic Defect</a:t>
          </a:r>
        </a:p>
        <a:p>
          <a:r>
            <a:rPr lang="en-GB" sz="1100" b="0" i="0"/>
            <a:t>Sum of all </a:t>
          </a:r>
          <a:r>
            <a:rPr lang="en-GB" sz="1100" b="0" i="0" baseline="0">
              <a:solidFill>
                <a:schemeClr val="dk1"/>
              </a:solidFill>
              <a:effectLst/>
              <a:latin typeface="+mn-lt"/>
              <a:ea typeface="+mn-ea"/>
              <a:cs typeface="+mn-cs"/>
            </a:rPr>
            <a:t>Geostationary and MEO, on-risk, satellites x risk factor x Generic Defect Loss</a:t>
          </a:r>
        </a:p>
        <a:p>
          <a:endParaRPr lang="en-GB" sz="1100" b="0" i="0" baseline="0">
            <a:solidFill>
              <a:schemeClr val="dk1"/>
            </a:solidFill>
            <a:effectLst/>
            <a:latin typeface="+mn-lt"/>
            <a:ea typeface="+mn-ea"/>
            <a:cs typeface="+mn-cs"/>
          </a:endParaRPr>
        </a:p>
        <a:p>
          <a:r>
            <a:rPr lang="en-GB" sz="1100" b="1" i="1" baseline="0">
              <a:solidFill>
                <a:schemeClr val="dk1"/>
              </a:solidFill>
              <a:effectLst/>
              <a:latin typeface="+mn-lt"/>
              <a:ea typeface="+mn-ea"/>
              <a:cs typeface="+mn-cs"/>
            </a:rPr>
            <a:t>Space Debris</a:t>
          </a:r>
        </a:p>
        <a:p>
          <a:r>
            <a:rPr lang="en-GB" sz="1100" b="0" i="0">
              <a:solidFill>
                <a:schemeClr val="dk1"/>
              </a:solidFill>
              <a:effectLst/>
              <a:latin typeface="+mn-lt"/>
              <a:ea typeface="+mn-ea"/>
              <a:cs typeface="+mn-cs"/>
            </a:rPr>
            <a:t>Sum of all </a:t>
          </a:r>
          <a:r>
            <a:rPr lang="en-GB" sz="1100" b="0" i="0" baseline="0">
              <a:solidFill>
                <a:schemeClr val="dk1"/>
              </a:solidFill>
              <a:effectLst/>
              <a:latin typeface="+mn-lt"/>
              <a:ea typeface="+mn-ea"/>
              <a:cs typeface="+mn-cs"/>
            </a:rPr>
            <a:t>Geostationary, MEO and LEO, on-risk, satellites x risk factor x Space debris loss</a:t>
          </a:r>
        </a:p>
        <a:p>
          <a:endParaRPr lang="en-GB" sz="1100" b="0" i="0" baseline="0">
            <a:solidFill>
              <a:schemeClr val="dk1"/>
            </a:solidFill>
            <a:effectLst/>
            <a:latin typeface="+mn-lt"/>
            <a:ea typeface="+mn-ea"/>
            <a:cs typeface="+mn-cs"/>
          </a:endParaRPr>
        </a:p>
        <a:p>
          <a:r>
            <a:rPr lang="en-GB" sz="1100" b="1" i="1" baseline="0">
              <a:solidFill>
                <a:schemeClr val="dk1"/>
              </a:solidFill>
              <a:effectLst/>
              <a:latin typeface="+mn-lt"/>
              <a:ea typeface="+mn-ea"/>
              <a:cs typeface="+mn-cs"/>
            </a:rPr>
            <a:t>Max Risk</a:t>
          </a:r>
        </a:p>
        <a:p>
          <a:r>
            <a:rPr lang="en-GB" sz="1100" b="0" i="0" baseline="0">
              <a:solidFill>
                <a:schemeClr val="dk1"/>
              </a:solidFill>
              <a:effectLst/>
              <a:latin typeface="+mn-lt"/>
              <a:ea typeface="+mn-ea"/>
              <a:cs typeface="+mn-cs"/>
            </a:rPr>
            <a:t>Max Exposure for a layer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75171</xdr:colOff>
      <xdr:row>21</xdr:row>
      <xdr:rowOff>-1</xdr:rowOff>
    </xdr:from>
    <xdr:to>
      <xdr:col>5</xdr:col>
      <xdr:colOff>11906</xdr:colOff>
      <xdr:row>30</xdr:row>
      <xdr:rowOff>2345531</xdr:rowOff>
    </xdr:to>
    <xdr:graphicFrame macro="">
      <xdr:nvGraphicFramePr>
        <xdr:cNvPr id="2" name="Chart 1">
          <a:extLst>
            <a:ext uri="{FF2B5EF4-FFF2-40B4-BE49-F238E27FC236}">
              <a16:creationId xmlns:a16="http://schemas.microsoft.com/office/drawing/2014/main" id="{C22352AC-E1FF-428F-8814-853456EF9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598346</xdr:colOff>
      <xdr:row>21</xdr:row>
      <xdr:rowOff>11905</xdr:rowOff>
    </xdr:from>
    <xdr:to>
      <xdr:col>4</xdr:col>
      <xdr:colOff>928687</xdr:colOff>
      <xdr:row>32</xdr:row>
      <xdr:rowOff>71436</xdr:rowOff>
    </xdr:to>
    <xdr:graphicFrame macro="">
      <xdr:nvGraphicFramePr>
        <xdr:cNvPr id="2" name="Chart 1">
          <a:extLst>
            <a:ext uri="{FF2B5EF4-FFF2-40B4-BE49-F238E27FC236}">
              <a16:creationId xmlns:a16="http://schemas.microsoft.com/office/drawing/2014/main" id="{1D0F204A-8BF8-48D7-B45E-106DCB399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26053</xdr:colOff>
      <xdr:row>21</xdr:row>
      <xdr:rowOff>166687</xdr:rowOff>
    </xdr:from>
    <xdr:to>
      <xdr:col>5</xdr:col>
      <xdr:colOff>35719</xdr:colOff>
      <xdr:row>32</xdr:row>
      <xdr:rowOff>2428874</xdr:rowOff>
    </xdr:to>
    <xdr:graphicFrame macro="">
      <xdr:nvGraphicFramePr>
        <xdr:cNvPr id="2" name="Chart 1">
          <a:extLst>
            <a:ext uri="{FF2B5EF4-FFF2-40B4-BE49-F238E27FC236}">
              <a16:creationId xmlns:a16="http://schemas.microsoft.com/office/drawing/2014/main" id="{6BE17E65-3975-43D1-8E7A-8D534AE7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26053</xdr:colOff>
      <xdr:row>20</xdr:row>
      <xdr:rowOff>329590</xdr:rowOff>
    </xdr:from>
    <xdr:to>
      <xdr:col>4</xdr:col>
      <xdr:colOff>1023939</xdr:colOff>
      <xdr:row>43</xdr:row>
      <xdr:rowOff>36699</xdr:rowOff>
    </xdr:to>
    <xdr:graphicFrame macro="">
      <xdr:nvGraphicFramePr>
        <xdr:cNvPr id="2" name="Chart 1">
          <a:extLst>
            <a:ext uri="{FF2B5EF4-FFF2-40B4-BE49-F238E27FC236}">
              <a16:creationId xmlns:a16="http://schemas.microsoft.com/office/drawing/2014/main" id="{7461CDE7-23B7-46FF-810D-F12D54BA5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26052</xdr:colOff>
      <xdr:row>23</xdr:row>
      <xdr:rowOff>55746</xdr:rowOff>
    </xdr:from>
    <xdr:to>
      <xdr:col>4</xdr:col>
      <xdr:colOff>1047749</xdr:colOff>
      <xdr:row>45</xdr:row>
      <xdr:rowOff>155761</xdr:rowOff>
    </xdr:to>
    <xdr:graphicFrame macro="">
      <xdr:nvGraphicFramePr>
        <xdr:cNvPr id="2" name="Chart 1">
          <a:extLst>
            <a:ext uri="{FF2B5EF4-FFF2-40B4-BE49-F238E27FC236}">
              <a16:creationId xmlns:a16="http://schemas.microsoft.com/office/drawing/2014/main" id="{B870268D-B2CD-412F-8533-6A8E37735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590550</xdr:colOff>
      <xdr:row>1</xdr:row>
      <xdr:rowOff>104775</xdr:rowOff>
    </xdr:from>
    <xdr:to>
      <xdr:col>12</xdr:col>
      <xdr:colOff>485775</xdr:colOff>
      <xdr:row>76</xdr:row>
      <xdr:rowOff>123825</xdr:rowOff>
    </xdr:to>
    <xdr:sp macro="" textlink="">
      <xdr:nvSpPr>
        <xdr:cNvPr id="2" name="TextBox 1">
          <a:extLst>
            <a:ext uri="{FF2B5EF4-FFF2-40B4-BE49-F238E27FC236}">
              <a16:creationId xmlns:a16="http://schemas.microsoft.com/office/drawing/2014/main" id="{B3F0E291-5FE3-4AF9-9414-D1FA9F36E517}"/>
            </a:ext>
          </a:extLst>
        </xdr:cNvPr>
        <xdr:cNvSpPr txBox="1"/>
      </xdr:nvSpPr>
      <xdr:spPr>
        <a:xfrm>
          <a:off x="590550" y="295275"/>
          <a:ext cx="7210425" cy="1430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solidFill>
              <a:schemeClr val="dk1"/>
            </a:solidFill>
            <a:latin typeface="+mn-lt"/>
            <a:ea typeface="+mn-ea"/>
            <a:cs typeface="+mn-cs"/>
          </a:endParaRPr>
        </a:p>
        <a:p>
          <a:r>
            <a:rPr lang="en-GB" sz="1100">
              <a:solidFill>
                <a:schemeClr val="dk1"/>
              </a:solidFill>
              <a:latin typeface="+mn-lt"/>
              <a:ea typeface="+mn-ea"/>
              <a:cs typeface="+mn-cs"/>
            </a:rPr>
            <a:t>DECLARE @As_At DATE = '2021-12-31'</a:t>
          </a:r>
        </a:p>
        <a:p>
          <a:endParaRPr lang="en-GB" sz="1100">
            <a:solidFill>
              <a:schemeClr val="dk1"/>
            </a:solidFill>
            <a:latin typeface="+mn-lt"/>
            <a:ea typeface="+mn-ea"/>
            <a:cs typeface="+mn-cs"/>
          </a:endParaRPr>
        </a:p>
        <a:p>
          <a:r>
            <a:rPr lang="en-GB" sz="1100">
              <a:solidFill>
                <a:schemeClr val="dk1"/>
              </a:solidFill>
              <a:latin typeface="+mn-lt"/>
              <a:ea typeface="+mn-ea"/>
              <a:cs typeface="+mn-cs"/>
            </a:rPr>
            <a:t>SELECT </a:t>
          </a:r>
        </a:p>
        <a:p>
          <a:r>
            <a:rPr lang="en-GB" sz="1100">
              <a:solidFill>
                <a:schemeClr val="dk1"/>
              </a:solidFill>
              <a:latin typeface="+mn-lt"/>
              <a:ea typeface="+mn-ea"/>
              <a:cs typeface="+mn-cs"/>
            </a:rPr>
            <a:t>[ProgramId],</a:t>
          </a:r>
        </a:p>
        <a:p>
          <a:r>
            <a:rPr lang="en-GB" sz="1100">
              <a:solidFill>
                <a:schemeClr val="dk1"/>
              </a:solidFill>
              <a:latin typeface="+mn-lt"/>
              <a:ea typeface="+mn-ea"/>
              <a:cs typeface="+mn-cs"/>
            </a:rPr>
            <a:t>P.LayerId,</a:t>
          </a:r>
        </a:p>
        <a:p>
          <a:r>
            <a:rPr lang="en-GB" sz="1100">
              <a:solidFill>
                <a:schemeClr val="dk1"/>
              </a:solidFill>
              <a:latin typeface="+mn-lt"/>
              <a:ea typeface="+mn-ea"/>
              <a:cs typeface="+mn-cs"/>
            </a:rPr>
            <a:t>Coverage,</a:t>
          </a:r>
        </a:p>
        <a:p>
          <a:r>
            <a:rPr lang="en-GB" sz="1100">
              <a:solidFill>
                <a:schemeClr val="dk1"/>
              </a:solidFill>
              <a:latin typeface="+mn-lt"/>
              <a:ea typeface="+mn-ea"/>
              <a:cs typeface="+mn-cs"/>
            </a:rPr>
            <a:t>MonthsOnRisk,</a:t>
          </a:r>
        </a:p>
        <a:p>
          <a:r>
            <a:rPr lang="en-GB" sz="1100">
              <a:solidFill>
                <a:schemeClr val="dk1"/>
              </a:solidFill>
              <a:latin typeface="+mn-lt"/>
              <a:ea typeface="+mn-ea"/>
              <a:cs typeface="+mn-cs"/>
            </a:rPr>
            <a:t>IPO.SpacecraftId,</a:t>
          </a:r>
        </a:p>
        <a:p>
          <a:r>
            <a:rPr lang="en-GB" sz="1100">
              <a:solidFill>
                <a:schemeClr val="dk1"/>
              </a:solidFill>
              <a:latin typeface="+mn-lt"/>
              <a:ea typeface="+mn-ea"/>
              <a:cs typeface="+mn-cs"/>
            </a:rPr>
            <a:t>[Launch Date],</a:t>
          </a:r>
        </a:p>
        <a:p>
          <a:r>
            <a:rPr lang="en-GB" sz="1100">
              <a:solidFill>
                <a:schemeClr val="dk1"/>
              </a:solidFill>
              <a:latin typeface="+mn-lt"/>
              <a:ea typeface="+mn-ea"/>
              <a:cs typeface="+mn-cs"/>
            </a:rPr>
            <a:t>[Inception],</a:t>
          </a:r>
        </a:p>
        <a:p>
          <a:r>
            <a:rPr lang="en-GB" sz="1100">
              <a:solidFill>
                <a:schemeClr val="dk1"/>
              </a:solidFill>
              <a:latin typeface="+mn-lt"/>
              <a:ea typeface="+mn-ea"/>
              <a:cs typeface="+mn-cs"/>
            </a:rPr>
            <a:t>[Expiry],</a:t>
          </a:r>
        </a:p>
        <a:p>
          <a:r>
            <a:rPr lang="en-GB" sz="1100">
              <a:solidFill>
                <a:schemeClr val="dk1"/>
              </a:solidFill>
              <a:latin typeface="+mn-lt"/>
              <a:ea typeface="+mn-ea"/>
              <a:cs typeface="+mn-cs"/>
            </a:rPr>
            <a:t>[Orbit Category],</a:t>
          </a:r>
        </a:p>
        <a:p>
          <a:r>
            <a:rPr lang="en-GB" sz="1100">
              <a:solidFill>
                <a:schemeClr val="dk1"/>
              </a:solidFill>
              <a:latin typeface="+mn-lt"/>
              <a:ea typeface="+mn-ea"/>
              <a:cs typeface="+mn-cs"/>
            </a:rPr>
            <a:t>CASE </a:t>
          </a:r>
        </a:p>
        <a:p>
          <a:r>
            <a:rPr lang="en-GB" sz="1100">
              <a:solidFill>
                <a:schemeClr val="dk1"/>
              </a:solidFill>
              <a:latin typeface="+mn-lt"/>
              <a:ea typeface="+mn-ea"/>
              <a:cs typeface="+mn-cs"/>
            </a:rPr>
            <a:t>WHEN Coverage = 'L + 1' THEN  [Launch Date]</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p.Inception END AS On_Risk_Date,</a:t>
          </a:r>
        </a:p>
        <a:p>
          <a:r>
            <a:rPr lang="en-GB" sz="1100">
              <a:solidFill>
                <a:schemeClr val="dk1"/>
              </a:solidFill>
              <a:latin typeface="+mn-lt"/>
              <a:ea typeface="+mn-ea"/>
              <a:cs typeface="+mn-cs"/>
            </a:rPr>
            <a:t>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 AS Off_Risk_Date,</a:t>
          </a:r>
        </a:p>
        <a:p>
          <a:r>
            <a:rPr lang="en-GB" sz="1100">
              <a:solidFill>
                <a:schemeClr val="dk1"/>
              </a:solidFill>
              <a:latin typeface="+mn-lt"/>
              <a:ea typeface="+mn-ea"/>
              <a:cs typeface="+mn-cs"/>
            </a:rPr>
            <a:t>[Bus Manufacturer],</a:t>
          </a:r>
        </a:p>
        <a:p>
          <a:r>
            <a:rPr lang="en-GB" sz="1100">
              <a:solidFill>
                <a:schemeClr val="dk1"/>
              </a:solidFill>
              <a:latin typeface="+mn-lt"/>
              <a:ea typeface="+mn-ea"/>
              <a:cs typeface="+mn-cs"/>
            </a:rPr>
            <a:t>[Prime Manufacturer],</a:t>
          </a:r>
        </a:p>
        <a:p>
          <a:r>
            <a:rPr lang="en-GB" sz="1100">
              <a:solidFill>
                <a:schemeClr val="dk1"/>
              </a:solidFill>
              <a:latin typeface="+mn-lt"/>
              <a:ea typeface="+mn-ea"/>
              <a:cs typeface="+mn-cs"/>
            </a:rPr>
            <a:t>CASE</a:t>
          </a:r>
        </a:p>
        <a:p>
          <a:r>
            <a:rPr lang="en-GB" sz="1100">
              <a:solidFill>
                <a:schemeClr val="dk1"/>
              </a:solidFill>
              <a:latin typeface="+mn-lt"/>
              <a:ea typeface="+mn-ea"/>
              <a:cs typeface="+mn-cs"/>
            </a:rPr>
            <a:t>WHEN DATEDIFF(month,CASE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END,@As_At) &lt; 6 THEN 0.2</a:t>
          </a:r>
        </a:p>
        <a:p>
          <a:r>
            <a:rPr lang="en-GB" sz="1100">
              <a:solidFill>
                <a:schemeClr val="dk1"/>
              </a:solidFill>
              <a:latin typeface="+mn-lt"/>
              <a:ea typeface="+mn-ea"/>
              <a:cs typeface="+mn-cs"/>
            </a:rPr>
            <a:t>WHEN DATEDIFF(month,CASE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END,@As_At) &lt; 12 THEN 0.4</a:t>
          </a:r>
        </a:p>
        <a:p>
          <a:r>
            <a:rPr lang="en-GB" sz="1100">
              <a:solidFill>
                <a:schemeClr val="dk1"/>
              </a:solidFill>
              <a:latin typeface="+mn-lt"/>
              <a:ea typeface="+mn-ea"/>
              <a:cs typeface="+mn-cs"/>
            </a:rPr>
            <a:t>WHEN DATEDIFF(month,CASE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END,@As_At) &lt; 18 THEN 0.6</a:t>
          </a:r>
        </a:p>
        <a:p>
          <a:r>
            <a:rPr lang="en-GB" sz="1100">
              <a:solidFill>
                <a:schemeClr val="dk1"/>
              </a:solidFill>
              <a:latin typeface="+mn-lt"/>
              <a:ea typeface="+mn-ea"/>
              <a:cs typeface="+mn-cs"/>
            </a:rPr>
            <a:t>WHEN DATEDIFF(month,CASE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END,@As_At) &lt; 24 THEN 0.8 ELSE</a:t>
          </a:r>
        </a:p>
        <a:p>
          <a:r>
            <a:rPr lang="en-GB" sz="1100">
              <a:solidFill>
                <a:schemeClr val="dk1"/>
              </a:solidFill>
              <a:latin typeface="+mn-lt"/>
              <a:ea typeface="+mn-ea"/>
              <a:cs typeface="+mn-cs"/>
            </a:rPr>
            <a:t>1 END AS Risk_Period_Factor,</a:t>
          </a:r>
        </a:p>
        <a:p>
          <a:r>
            <a:rPr lang="en-GB" sz="1100">
              <a:solidFill>
                <a:schemeClr val="dk1"/>
              </a:solidFill>
              <a:latin typeface="+mn-lt"/>
              <a:ea typeface="+mn-ea"/>
              <a:cs typeface="+mn-cs"/>
            </a:rPr>
            <a:t>CASE</a:t>
          </a:r>
        </a:p>
        <a:p>
          <a:r>
            <a:rPr lang="en-GB" sz="1100">
              <a:solidFill>
                <a:schemeClr val="dk1"/>
              </a:solidFill>
              <a:latin typeface="+mn-lt"/>
              <a:ea typeface="+mn-ea"/>
              <a:cs typeface="+mn-cs"/>
            </a:rPr>
            <a:t>WHEN @As_At &gt; CASE </a:t>
          </a:r>
        </a:p>
        <a:p>
          <a:r>
            <a:rPr lang="en-GB" sz="1100">
              <a:solidFill>
                <a:schemeClr val="dk1"/>
              </a:solidFill>
              <a:latin typeface="+mn-lt"/>
              <a:ea typeface="+mn-ea"/>
              <a:cs typeface="+mn-cs"/>
            </a:rPr>
            <a:t>WHEN Coverage = 'L + 1' THEN  [Launch Date]</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p.Inception END AND CASE </a:t>
          </a:r>
        </a:p>
        <a:p>
          <a:r>
            <a:rPr lang="en-GB" sz="1100">
              <a:solidFill>
                <a:schemeClr val="dk1"/>
              </a:solidFill>
              <a:latin typeface="+mn-lt"/>
              <a:ea typeface="+mn-ea"/>
              <a:cs typeface="+mn-cs"/>
            </a:rPr>
            <a:t>WHEN Coverage = 'L + 1' THEN  [Launch Date] + 364</a:t>
          </a:r>
        </a:p>
        <a:p>
          <a:r>
            <a:rPr lang="en-GB" sz="1100">
              <a:solidFill>
                <a:schemeClr val="dk1"/>
              </a:solidFill>
              <a:latin typeface="+mn-lt"/>
              <a:ea typeface="+mn-ea"/>
              <a:cs typeface="+mn-cs"/>
            </a:rPr>
            <a:t>WHEN Coverage = 'LVFO' THEN [Launch Date]</a:t>
          </a:r>
        </a:p>
        <a:p>
          <a:r>
            <a:rPr lang="en-GB" sz="1100">
              <a:solidFill>
                <a:schemeClr val="dk1"/>
              </a:solidFill>
              <a:latin typeface="+mn-lt"/>
              <a:ea typeface="+mn-ea"/>
              <a:cs typeface="+mn-cs"/>
            </a:rPr>
            <a:t>ELSE Expiry END &gt;= @As_At THEN 1</a:t>
          </a:r>
        </a:p>
        <a:p>
          <a:r>
            <a:rPr lang="en-GB" sz="1100">
              <a:solidFill>
                <a:schemeClr val="dk1"/>
              </a:solidFill>
              <a:latin typeface="+mn-lt"/>
              <a:ea typeface="+mn-ea"/>
              <a:cs typeface="+mn-cs"/>
            </a:rPr>
            <a:t>Else 0 END AS On_Risk_Flag,</a:t>
          </a:r>
        </a:p>
        <a:p>
          <a:r>
            <a:rPr lang="en-GB" sz="1100">
              <a:solidFill>
                <a:schemeClr val="dk1"/>
              </a:solidFill>
              <a:latin typeface="+mn-lt"/>
              <a:ea typeface="+mn-ea"/>
              <a:cs typeface="+mn-cs"/>
            </a:rPr>
            <a:t>CASE</a:t>
          </a:r>
        </a:p>
        <a:p>
          <a:r>
            <a:rPr lang="en-GB" sz="1100">
              <a:solidFill>
                <a:schemeClr val="dk1"/>
              </a:solidFill>
              <a:latin typeface="+mn-lt"/>
              <a:ea typeface="+mn-ea"/>
              <a:cs typeface="+mn-cs"/>
            </a:rPr>
            <a:t>WHEN Inception &gt; '2020-10-01' THEN 1</a:t>
          </a:r>
        </a:p>
        <a:p>
          <a:r>
            <a:rPr lang="en-GB" sz="1100">
              <a:solidFill>
                <a:schemeClr val="dk1"/>
              </a:solidFill>
              <a:latin typeface="+mn-lt"/>
              <a:ea typeface="+mn-ea"/>
              <a:cs typeface="+mn-cs"/>
            </a:rPr>
            <a:t>Else 0 END BH_Applicable,</a:t>
          </a:r>
        </a:p>
        <a:p>
          <a:r>
            <a:rPr lang="en-GB" sz="1100">
              <a:solidFill>
                <a:schemeClr val="dk1"/>
              </a:solidFill>
              <a:latin typeface="+mn-lt"/>
              <a:ea typeface="+mn-ea"/>
              <a:cs typeface="+mn-cs"/>
            </a:rPr>
            <a:t>Program_Type,</a:t>
          </a:r>
        </a:p>
        <a:p>
          <a:r>
            <a:rPr lang="en-GB" sz="1100">
              <a:solidFill>
                <a:schemeClr val="dk1"/>
              </a:solidFill>
              <a:latin typeface="+mn-lt"/>
              <a:ea typeface="+mn-ea"/>
              <a:cs typeface="+mn-cs"/>
            </a:rPr>
            <a:t>Underwriting_Status,</a:t>
          </a:r>
        </a:p>
        <a:p>
          <a:r>
            <a:rPr lang="en-GB" sz="1100">
              <a:solidFill>
                <a:schemeClr val="dk1"/>
              </a:solidFill>
              <a:latin typeface="+mn-lt"/>
              <a:ea typeface="+mn-ea"/>
              <a:cs typeface="+mn-cs"/>
            </a:rPr>
            <a:t>ISNULL(Client_Name,'') + ' ' + ISNULL([Program_Name],'') [Program_Name],</a:t>
          </a:r>
        </a:p>
        <a:p>
          <a:r>
            <a:rPr lang="en-GB" sz="1100">
              <a:solidFill>
                <a:schemeClr val="dk1"/>
              </a:solidFill>
              <a:latin typeface="+mn-lt"/>
              <a:ea typeface="+mn-ea"/>
              <a:cs typeface="+mn-cs"/>
            </a:rPr>
            <a:t>[Entity],</a:t>
          </a:r>
        </a:p>
        <a:p>
          <a:r>
            <a:rPr lang="en-GB" sz="1100">
              <a:solidFill>
                <a:schemeClr val="dk1"/>
              </a:solidFill>
              <a:latin typeface="+mn-lt"/>
              <a:ea typeface="+mn-ea"/>
              <a:cs typeface="+mn-cs"/>
            </a:rPr>
            <a:t>Mapping_Code,</a:t>
          </a:r>
        </a:p>
        <a:p>
          <a:r>
            <a:rPr lang="en-GB" sz="1100">
              <a:solidFill>
                <a:schemeClr val="dk1"/>
              </a:solidFill>
              <a:latin typeface="+mn-lt"/>
              <a:ea typeface="+mn-ea"/>
              <a:cs typeface="+mn-cs"/>
            </a:rPr>
            <a:t>[Spacecraft Name],</a:t>
          </a:r>
        </a:p>
        <a:p>
          <a:r>
            <a:rPr lang="en-GB" sz="1100">
              <a:solidFill>
                <a:schemeClr val="dk1"/>
              </a:solidFill>
              <a:latin typeface="+mn-lt"/>
              <a:ea typeface="+mn-ea"/>
              <a:cs typeface="+mn-cs"/>
            </a:rPr>
            <a:t>[Bus Family],</a:t>
          </a:r>
        </a:p>
        <a:p>
          <a:r>
            <a:rPr lang="en-GB" sz="1100">
              <a:solidFill>
                <a:schemeClr val="dk1"/>
              </a:solidFill>
              <a:latin typeface="+mn-lt"/>
              <a:ea typeface="+mn-ea"/>
              <a:cs typeface="+mn-cs"/>
            </a:rPr>
            <a:t>[Vehicle Family],</a:t>
          </a:r>
        </a:p>
        <a:p>
          <a:r>
            <a:rPr lang="en-GB" sz="1100">
              <a:solidFill>
                <a:schemeClr val="dk1"/>
              </a:solidFill>
              <a:latin typeface="+mn-lt"/>
              <a:ea typeface="+mn-ea"/>
              <a:cs typeface="+mn-cs"/>
            </a:rPr>
            <a:t>Signed_Exposure_USD [Layer Signed Exposure]</a:t>
          </a:r>
        </a:p>
        <a:p>
          <a:r>
            <a:rPr lang="en-GB" sz="1100">
              <a:solidFill>
                <a:schemeClr val="dk1"/>
              </a:solidFill>
              <a:latin typeface="+mn-lt"/>
              <a:ea typeface="+mn-ea"/>
              <a:cs typeface="+mn-cs"/>
            </a:rPr>
            <a:t>FROM [Prequel_Reporting].[Prequel].[Layer_Details_v] P</a:t>
          </a:r>
        </a:p>
        <a:p>
          <a:r>
            <a:rPr lang="en-GB" sz="1100">
              <a:solidFill>
                <a:schemeClr val="dk1"/>
              </a:solidFill>
              <a:latin typeface="+mn-lt"/>
              <a:ea typeface="+mn-ea"/>
              <a:cs typeface="+mn-cs"/>
            </a:rPr>
            <a:t>LEFT JOIN (</a:t>
          </a:r>
        </a:p>
        <a:p>
          <a:r>
            <a:rPr lang="en-GB" sz="1100">
              <a:solidFill>
                <a:schemeClr val="dk1"/>
              </a:solidFill>
              <a:latin typeface="+mn-lt"/>
              <a:ea typeface="+mn-ea"/>
              <a:cs typeface="+mn-cs"/>
            </a:rPr>
            <a:t>SELECT LayerId,SpacecraftId,C.Coverage,P.MonthsOnRisk,S.[Spacecraft Name], S.[Launch Date],S.[Bus Family],S.[Vehicle Family],[Bus Manufacturer],[Orbit Category],[Prime Manufacturer]</a:t>
          </a:r>
        </a:p>
        <a:p>
          <a:endParaRPr lang="en-GB" sz="1100">
            <a:solidFill>
              <a:schemeClr val="dk1"/>
            </a:solidFill>
            <a:latin typeface="+mn-lt"/>
            <a:ea typeface="+mn-ea"/>
            <a:cs typeface="+mn-cs"/>
          </a:endParaRPr>
        </a:p>
        <a:p>
          <a:r>
            <a:rPr lang="en-GB" sz="1100">
              <a:solidFill>
                <a:schemeClr val="dk1"/>
              </a:solidFill>
              <a:latin typeface="+mn-lt"/>
              <a:ea typeface="+mn-ea"/>
              <a:cs typeface="+mn-cs"/>
            </a:rPr>
            <a:t>FROM Internal.tbl_Portfolio P</a:t>
          </a:r>
        </a:p>
        <a:p>
          <a:r>
            <a:rPr lang="en-GB" sz="1100">
              <a:solidFill>
                <a:schemeClr val="dk1"/>
              </a:solidFill>
              <a:latin typeface="+mn-lt"/>
              <a:ea typeface="+mn-ea"/>
              <a:cs typeface="+mn-cs"/>
            </a:rPr>
            <a:t>JOIN Internal.tbl_Coverage C</a:t>
          </a:r>
        </a:p>
        <a:p>
          <a:r>
            <a:rPr lang="en-GB" sz="1100">
              <a:solidFill>
                <a:schemeClr val="dk1"/>
              </a:solidFill>
              <a:latin typeface="+mn-lt"/>
              <a:ea typeface="+mn-ea"/>
              <a:cs typeface="+mn-cs"/>
            </a:rPr>
            <a:t>ON P.CoverageId = C.CoverageId</a:t>
          </a:r>
        </a:p>
        <a:p>
          <a:r>
            <a:rPr lang="en-GB" sz="1100">
              <a:solidFill>
                <a:schemeClr val="dk1"/>
              </a:solidFill>
              <a:latin typeface="+mn-lt"/>
              <a:ea typeface="+mn-ea"/>
              <a:cs typeface="+mn-cs"/>
            </a:rPr>
            <a:t>JOIN [dbo].[tbl_SpaceCraft] S</a:t>
          </a:r>
        </a:p>
        <a:p>
          <a:r>
            <a:rPr lang="en-GB" sz="1100">
              <a:solidFill>
                <a:schemeClr val="dk1"/>
              </a:solidFill>
              <a:latin typeface="+mn-lt"/>
              <a:ea typeface="+mn-ea"/>
              <a:cs typeface="+mn-cs"/>
            </a:rPr>
            <a:t>ON P.SpacecraftId = S.[Seradata Spacecraft ID]</a:t>
          </a:r>
        </a:p>
        <a:p>
          <a:r>
            <a:rPr lang="en-GB" sz="1100">
              <a:solidFill>
                <a:schemeClr val="dk1"/>
              </a:solidFill>
              <a:latin typeface="+mn-lt"/>
              <a:ea typeface="+mn-ea"/>
              <a:cs typeface="+mn-cs"/>
            </a:rPr>
            <a:t>) IPO</a:t>
          </a:r>
        </a:p>
        <a:p>
          <a:r>
            <a:rPr lang="en-GB" sz="1100">
              <a:solidFill>
                <a:schemeClr val="dk1"/>
              </a:solidFill>
              <a:latin typeface="+mn-lt"/>
              <a:ea typeface="+mn-ea"/>
              <a:cs typeface="+mn-cs"/>
            </a:rPr>
            <a:t>ON P.LayerId = IPO.LayerId</a:t>
          </a:r>
        </a:p>
        <a:p>
          <a:endParaRPr lang="en-GB" sz="1100">
            <a:solidFill>
              <a:schemeClr val="dk1"/>
            </a:solidFill>
            <a:latin typeface="+mn-lt"/>
            <a:ea typeface="+mn-ea"/>
            <a:cs typeface="+mn-cs"/>
          </a:endParaRPr>
        </a:p>
        <a:p>
          <a:r>
            <a:rPr lang="en-GB" sz="1100">
              <a:solidFill>
                <a:schemeClr val="dk1"/>
              </a:solidFill>
              <a:latin typeface="+mn-lt"/>
              <a:ea typeface="+mn-ea"/>
              <a:cs typeface="+mn-cs"/>
            </a:rPr>
            <a:t>WHERE Mapping_Code IN ('ASR','ASL','ASO','ASC','ASO','ASL')</a:t>
          </a:r>
        </a:p>
        <a:p>
          <a:r>
            <a:rPr lang="en-GB" sz="1100">
              <a:solidFill>
                <a:schemeClr val="dk1"/>
              </a:solidFill>
              <a:latin typeface="+mn-lt"/>
              <a:ea typeface="+mn-ea"/>
              <a:cs typeface="+mn-cs"/>
            </a:rPr>
            <a:t>AND IsBound = 1</a:t>
          </a:r>
        </a:p>
        <a:p>
          <a:r>
            <a:rPr lang="en-GB" sz="1100">
              <a:solidFill>
                <a:schemeClr val="dk1"/>
              </a:solidFill>
              <a:latin typeface="+mn-lt"/>
              <a:ea typeface="+mn-ea"/>
              <a:cs typeface="+mn-cs"/>
            </a:rPr>
            <a:t>AND Expiry &gt;= @As_At</a:t>
          </a:r>
        </a:p>
        <a:p>
          <a:r>
            <a:rPr lang="en-GB" sz="1100">
              <a:solidFill>
                <a:schemeClr val="dk1"/>
              </a:solidFill>
              <a:latin typeface="+mn-lt"/>
              <a:ea typeface="+mn-ea"/>
              <a:cs typeface="+mn-cs"/>
            </a:rPr>
            <a:t>AND Inception &lt;= @As_At</a:t>
          </a:r>
        </a:p>
        <a:p>
          <a:r>
            <a:rPr lang="en-GB" sz="1100">
              <a:solidFill>
                <a:schemeClr val="dk1"/>
              </a:solidFill>
              <a:latin typeface="+mn-lt"/>
              <a:ea typeface="+mn-ea"/>
              <a:cs typeface="+mn-cs"/>
            </a:rPr>
            <a:t>AND PorgramId &lt;&gt; 190065 --SES</a:t>
          </a:r>
          <a:r>
            <a:rPr lang="en-GB" sz="1100" baseline="0">
              <a:solidFill>
                <a:schemeClr val="dk1"/>
              </a:solidFill>
              <a:latin typeface="+mn-lt"/>
              <a:ea typeface="+mn-ea"/>
              <a:cs typeface="+mn-cs"/>
            </a:rPr>
            <a:t> fleet is now done separately</a:t>
          </a:r>
          <a:endParaRPr lang="en-GB" sz="1100">
            <a:solidFill>
              <a:schemeClr val="dk1"/>
            </a:solidFill>
            <a:latin typeface="+mn-lt"/>
            <a:ea typeface="+mn-ea"/>
            <a:cs typeface="+mn-cs"/>
          </a:endParaRPr>
        </a:p>
        <a:p>
          <a:r>
            <a:rPr lang="en-GB" sz="1100">
              <a:solidFill>
                <a:schemeClr val="dk1"/>
              </a:solidFill>
              <a:latin typeface="+mn-lt"/>
              <a:ea typeface="+mn-ea"/>
              <a:cs typeface="+mn-cs"/>
            </a:rPr>
            <a:t>AND Class_Of_Business IN ('Specialty','Reinsurance')</a:t>
          </a:r>
        </a:p>
        <a:p>
          <a:r>
            <a:rPr lang="en-GB" sz="1100">
              <a:solidFill>
                <a:schemeClr val="dk1"/>
              </a:solidFill>
              <a:latin typeface="+mn-lt"/>
              <a:ea typeface="+mn-ea"/>
              <a:cs typeface="+mn-cs"/>
            </a:rPr>
            <a:t>AND [Spacecraft Name] IS NOT NULL</a:t>
          </a:r>
        </a:p>
        <a:p>
          <a:r>
            <a:rPr lang="en-GB" sz="1100">
              <a:solidFill>
                <a:schemeClr val="dk1"/>
              </a:solidFill>
              <a:latin typeface="+mn-lt"/>
              <a:ea typeface="+mn-ea"/>
              <a:cs typeface="+mn-cs"/>
            </a:rPr>
            <a:t>ORDER BY ProgramId DESC</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rnal.fidelisinsurance.com\fileshares\Actuarial\Risk_and_Capital\PMLs\2021\Q2\Space_RDS_2021Q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5/Q4/Space/Space_RDS_2025Q4_template%20-%20including%20Equity%20Share.xlsx" TargetMode="External"/><Relationship Id="rId2" Type="http://schemas.openxmlformats.org/officeDocument/2006/relationships/externalLinkPath" Target="file:///T:\Actuarial\Risk_and_Capital\PMLs\2025\Q4\Space\Space_RDS_2025Q4_template%20-%20including%20Equity%20Share.xlsx" TargetMode="External"/><Relationship Id="rId1" Type="http://schemas.openxmlformats.org/officeDocument/2006/relationships/externalLinkPath" Target="/Actuarial/Risk_and_Capital/PMLs/2025/Q4/Space/Space_RDS_2025Q4_template%20-%20including%20Equity%20Share.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022/Q4/Space/Space_RDS_2022Q4.xlsx" TargetMode="External"/><Relationship Id="rId2" Type="http://schemas.openxmlformats.org/officeDocument/2006/relationships/externalLinkPath" Target="file:///T:\Actuarial\Risk_and_Capital\PMLs\2022\Q4\Space\Space_RDS_2022Q4.xlsx" TargetMode="External"/><Relationship Id="rId1" Type="http://schemas.openxmlformats.org/officeDocument/2006/relationships/externalLinkPath" Target="/Actuarial/Risk_and_Capital/PMLs/2022/Q4/Space/Space_RDS_2022Q4.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Pricing/Space/14_Patterns/01_Earnings%20Pattern/2026_March/Earning%20Patterns%20Check_%2016Mar%20Initial%20comments%20Allocation%20and%20Subsequent%20update.xlsx" TargetMode="External"/><Relationship Id="rId2" Type="http://schemas.openxmlformats.org/officeDocument/2006/relationships/externalLinkPath" Target="file:///T:\Actuarial\Pricing\Space\14_Patterns\01_Earnings%20Pattern\2026_March\Earning%20Patterns%20Check_%2016Mar%20Initial%20comments%20Allocation%20and%20Subsequent%20update.xlsx" TargetMode="External"/><Relationship Id="rId1" Type="http://schemas.openxmlformats.org/officeDocument/2006/relationships/externalLinkPath" Target="/Actuarial/Pricing/Space/14_Patterns/01_Earnings%20Pattern/2026_March/Earning%20Patterns%20Check_%2016Mar%20Initial%20comments%20Allocation%20and%20Subsequent%20update.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2023/Q2/Space/Space_RDS_2023Q2_v2.xlsx" TargetMode="External"/><Relationship Id="rId2" Type="http://schemas.openxmlformats.org/officeDocument/2006/relationships/externalLinkPath" Target="file:///T:\Actuarial\Risk_and_Capital\PMLs\2023\Q2\Space\Space_RDS_2023Q2_v2.xlsx" TargetMode="External"/><Relationship Id="rId1" Type="http://schemas.openxmlformats.org/officeDocument/2006/relationships/externalLinkPath" Target="/Actuarial/Risk_and_Capital/PMLs/2023/Q2/Space/Space_RDS_2023Q2_v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T:\Actuarial\Risk_and_Capital\PMLs\2026\Q1\Space\JJ%20workings\Space_RDS_2025Q4_template%20-%20including%20Equity%20Share%20-%20JJ%20copy.xlsx" TargetMode="External"/><Relationship Id="rId1" Type="http://schemas.openxmlformats.org/officeDocument/2006/relationships/externalLinkPath" Target="Space_RDS_2025Q4_template%20-%20including%20Equity%20Share%20-%20JJ%20copy.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fidelisinsurance-my.sharepoint.com/personal/julie_jaiyen_fidelisinsurance_com/Documents/Space_RDS_2026Q1_template%20-%20including%20Equity%20Share%20-%20JJ%20v4%20Final%2022.04.%2016.46.xlsx" TargetMode="External"/><Relationship Id="rId1" Type="http://schemas.openxmlformats.org/officeDocument/2006/relationships/externalLinkPath" Target="https://fidelisinsurance-my.sharepoint.com/personal/julie_jaiyen_fidelisinsurance_com/Documents/Space_RDS_2026Q1_template%20-%20including%20Equity%20Share%20-%20JJ%20v4%20Final%2022.04.%2016.4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ed_Proc"/>
      <sheetName val="From_PQ (2)"/>
      <sheetName val="SQL"/>
      <sheetName val="Summary"/>
      <sheetName val="Parameters"/>
      <sheetName val="Outwards_RI"/>
      <sheetName val="From_PQ"/>
    </sheetNames>
    <sheetDataSet>
      <sheetData sheetId="0" refreshError="1"/>
      <sheetData sheetId="1" refreshError="1"/>
      <sheetData sheetId="2" refreshError="1"/>
      <sheetData sheetId="3" refreshError="1"/>
      <sheetData sheetId="4">
        <row r="5">
          <cell r="C5">
            <v>0.5</v>
          </cell>
        </row>
        <row r="8">
          <cell r="C8">
            <v>1</v>
          </cell>
        </row>
        <row r="11">
          <cell r="C11">
            <v>0.05</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DS QA"/>
      <sheetName val="Control"/>
      <sheetName val="Input Data"/>
      <sheetName val="Multiline XOL Check"/>
      <sheetName val="IG Equity Share"/>
      <sheetName val="Sheet1"/>
      <sheetName val="Sheet3"/>
      <sheetName val="Largest Risks"/>
      <sheetName val="IGR XoL"/>
      <sheetName val="Changes"/>
      <sheetName val="IGR QS"/>
      <sheetName val="Bus Manufacturer"/>
      <sheetName val="Summary"/>
      <sheetName val="Change Narrative (Proton Flare)"/>
      <sheetName val="Change Narrative (Space Weathe)"/>
      <sheetName val="Change Narrative (Gen Defect)"/>
      <sheetName val="Sheet2"/>
      <sheetName val="Change Narrative (Max Risk)"/>
      <sheetName val="Change Narrative (Space Debris)"/>
      <sheetName val="Outwards_RI"/>
      <sheetName val="From_PQ"/>
      <sheetName val="SQL"/>
    </sheetNames>
    <sheetDataSet>
      <sheetData sheetId="0"/>
      <sheetData sheetId="1"/>
      <sheetData sheetId="2">
        <row r="18">
          <cell r="AH18" t="str">
            <v>Multiplying exposure  by  12.5/30  to get Syndicate equity share</v>
          </cell>
        </row>
        <row r="19">
          <cell r="A19"/>
          <cell r="AH19" t="str">
            <v>Equity Share USD</v>
          </cell>
        </row>
        <row r="20">
          <cell r="A20" t="str">
            <v>344664_1</v>
          </cell>
          <cell r="B20">
            <v>344664</v>
          </cell>
          <cell r="C20">
            <v>1</v>
          </cell>
          <cell r="D20" t="str">
            <v>Orbit</v>
          </cell>
          <cell r="J20" t="str">
            <v>GEO-GSO</v>
          </cell>
          <cell r="L20">
            <v>46203</v>
          </cell>
          <cell r="M20" t="str">
            <v>Astrium Satellites SAS (Toulouse) (Part of EADS)</v>
          </cell>
          <cell r="V20" t="str">
            <v>FUL</v>
          </cell>
          <cell r="X20" t="str">
            <v>Arabsat BADR 8</v>
          </cell>
          <cell r="AA20">
            <v>25242749.444031801</v>
          </cell>
          <cell r="AH20">
            <v>788835.9201259939</v>
          </cell>
        </row>
        <row r="21">
          <cell r="A21" t="str">
            <v>344664_2</v>
          </cell>
          <cell r="B21">
            <v>344664</v>
          </cell>
          <cell r="C21">
            <v>2</v>
          </cell>
          <cell r="D21" t="str">
            <v>Orbit</v>
          </cell>
          <cell r="J21" t="str">
            <v>GEO-GSO</v>
          </cell>
          <cell r="L21">
            <v>46203</v>
          </cell>
          <cell r="M21" t="str">
            <v>Astrium Satellites SAS (Toulouse) (Part of EADS)</v>
          </cell>
          <cell r="V21" t="str">
            <v>FUL</v>
          </cell>
          <cell r="X21" t="str">
            <v>Arabsat 5A</v>
          </cell>
          <cell r="AA21">
            <v>102523.91331881699</v>
          </cell>
          <cell r="AH21">
            <v>3203.8722912130311</v>
          </cell>
        </row>
        <row r="22">
          <cell r="A22" t="str">
            <v>344664_3</v>
          </cell>
          <cell r="B22">
            <v>344664</v>
          </cell>
          <cell r="C22">
            <v>3</v>
          </cell>
          <cell r="D22" t="str">
            <v>Orbit</v>
          </cell>
          <cell r="J22" t="str">
            <v>GEO-GSO</v>
          </cell>
          <cell r="L22">
            <v>46203</v>
          </cell>
          <cell r="M22" t="str">
            <v>Astrium Satellites SAS (Toulouse) (Part of EADS)</v>
          </cell>
          <cell r="V22" t="str">
            <v>FUL</v>
          </cell>
          <cell r="X22" t="str">
            <v>Arabsat 5B</v>
          </cell>
          <cell r="AA22">
            <v>5146207.4986625696</v>
          </cell>
          <cell r="AH22">
            <v>160818.9843332053</v>
          </cell>
        </row>
        <row r="23">
          <cell r="A23" t="str">
            <v>344664_4</v>
          </cell>
          <cell r="B23">
            <v>344664</v>
          </cell>
          <cell r="C23">
            <v>4</v>
          </cell>
          <cell r="D23" t="str">
            <v>Orbit</v>
          </cell>
          <cell r="J23" t="str">
            <v>GEO-GSO</v>
          </cell>
          <cell r="L23">
            <v>46203</v>
          </cell>
          <cell r="M23" t="str">
            <v>Astrium Satellites SAS (Toulouse) (Part of EADS)</v>
          </cell>
          <cell r="V23" t="str">
            <v>FUL</v>
          </cell>
          <cell r="X23" t="str">
            <v>Arabsat 5C</v>
          </cell>
          <cell r="AA23">
            <v>819140.00562610605</v>
          </cell>
          <cell r="AH23">
            <v>25598.125175815818</v>
          </cell>
        </row>
        <row r="24">
          <cell r="A24" t="str">
            <v>344664_5</v>
          </cell>
          <cell r="B24">
            <v>344664</v>
          </cell>
          <cell r="C24">
            <v>5</v>
          </cell>
          <cell r="D24" t="str">
            <v>Orbit</v>
          </cell>
          <cell r="J24" t="str">
            <v>GEO-GSO</v>
          </cell>
          <cell r="L24">
            <v>46203</v>
          </cell>
          <cell r="M24" t="str">
            <v>Airbus Defence and Space (Toulouse)</v>
          </cell>
          <cell r="V24" t="str">
            <v>FUL</v>
          </cell>
          <cell r="X24" t="str">
            <v>Arabsat BADR 7</v>
          </cell>
          <cell r="AA24">
            <v>9517167.3330825903</v>
          </cell>
          <cell r="AH24">
            <v>297411.47915883095</v>
          </cell>
        </row>
        <row r="25">
          <cell r="A25" t="str">
            <v>344664_6</v>
          </cell>
          <cell r="B25">
            <v>344664</v>
          </cell>
          <cell r="C25">
            <v>6</v>
          </cell>
          <cell r="D25" t="str">
            <v>Orbit</v>
          </cell>
          <cell r="J25" t="str">
            <v>GEO-GSO</v>
          </cell>
          <cell r="L25">
            <v>46203</v>
          </cell>
          <cell r="M25" t="str">
            <v>Lockheed Martin Commercial Space Systems</v>
          </cell>
          <cell r="V25" t="str">
            <v>FUL</v>
          </cell>
          <cell r="X25" t="str">
            <v>Arabsat 6A</v>
          </cell>
          <cell r="AA25">
            <v>14528089.8904595</v>
          </cell>
          <cell r="AH25">
            <v>454002.80907685932</v>
          </cell>
        </row>
        <row r="26">
          <cell r="A26" t="str">
            <v>344558_1</v>
          </cell>
          <cell r="B26">
            <v>344558</v>
          </cell>
          <cell r="C26">
            <v>1</v>
          </cell>
          <cell r="D26" t="str">
            <v>Orbit</v>
          </cell>
          <cell r="J26" t="str">
            <v>GEO-GSO</v>
          </cell>
          <cell r="L26">
            <v>46203</v>
          </cell>
          <cell r="M26" t="str">
            <v>Airbus Defence and Space</v>
          </cell>
          <cell r="V26" t="str">
            <v>FIID</v>
          </cell>
          <cell r="X26" t="str">
            <v>EUTELSAT 36D</v>
          </cell>
          <cell r="AA26">
            <v>19814782.423728701</v>
          </cell>
          <cell r="AH26">
            <v>619211.9507415219</v>
          </cell>
        </row>
        <row r="27">
          <cell r="A27" t="str">
            <v>344558_2</v>
          </cell>
          <cell r="B27">
            <v>344558</v>
          </cell>
          <cell r="C27">
            <v>2</v>
          </cell>
          <cell r="D27" t="str">
            <v>Orbit</v>
          </cell>
          <cell r="J27" t="str">
            <v>GEO-GSO</v>
          </cell>
          <cell r="L27">
            <v>46203</v>
          </cell>
          <cell r="M27" t="str">
            <v>Alcatel Alenia Space (Cannes)</v>
          </cell>
          <cell r="V27" t="str">
            <v>FIID</v>
          </cell>
          <cell r="X27" t="str">
            <v>W7/E36B</v>
          </cell>
          <cell r="AA27">
            <v>3567555.5732371002</v>
          </cell>
          <cell r="AH27">
            <v>111486.11166365938</v>
          </cell>
        </row>
        <row r="28">
          <cell r="A28" t="str">
            <v>344558_3</v>
          </cell>
          <cell r="B28">
            <v>344558</v>
          </cell>
          <cell r="C28">
            <v>3</v>
          </cell>
          <cell r="D28" t="str">
            <v>Orbit</v>
          </cell>
          <cell r="J28" t="str">
            <v>GEO-GSO</v>
          </cell>
          <cell r="L28">
            <v>46203</v>
          </cell>
          <cell r="M28" t="str">
            <v>Boeing Satellite Systems Inc.</v>
          </cell>
          <cell r="V28" t="str">
            <v>FIID</v>
          </cell>
          <cell r="X28" t="str">
            <v>E115WB (S7)</v>
          </cell>
          <cell r="AA28">
            <v>3955653.7664769501</v>
          </cell>
          <cell r="AH28">
            <v>123614.18020240471</v>
          </cell>
        </row>
        <row r="29">
          <cell r="A29" t="str">
            <v>344558_4</v>
          </cell>
          <cell r="B29">
            <v>344558</v>
          </cell>
          <cell r="C29">
            <v>4</v>
          </cell>
          <cell r="D29" t="str">
            <v>Orbit</v>
          </cell>
          <cell r="J29" t="str">
            <v>GEO-GSO</v>
          </cell>
          <cell r="L29">
            <v>46203</v>
          </cell>
          <cell r="M29" t="str">
            <v>Thales Alenia Space France (Cannes)</v>
          </cell>
          <cell r="V29" t="str">
            <v>FIID</v>
          </cell>
          <cell r="X29" t="str">
            <v>W3C/E16A</v>
          </cell>
          <cell r="AA29">
            <v>11679640.312677</v>
          </cell>
          <cell r="AH29">
            <v>364988.75977115618</v>
          </cell>
        </row>
        <row r="30">
          <cell r="A30" t="str">
            <v>344558_5</v>
          </cell>
          <cell r="B30">
            <v>344558</v>
          </cell>
          <cell r="C30">
            <v>5</v>
          </cell>
          <cell r="D30" t="str">
            <v>Orbit</v>
          </cell>
          <cell r="J30" t="str">
            <v>GEO-GSO</v>
          </cell>
          <cell r="L30">
            <v>46203</v>
          </cell>
          <cell r="M30" t="str">
            <v>Astrium Satellites SAS (Toulouse) (Part of EADS)</v>
          </cell>
          <cell r="V30" t="str">
            <v>FIID</v>
          </cell>
          <cell r="X30" t="str">
            <v>AB7/E7WA</v>
          </cell>
          <cell r="AA30">
            <v>11922926.160296399</v>
          </cell>
          <cell r="AH30">
            <v>372591.44250926242</v>
          </cell>
        </row>
        <row r="31">
          <cell r="A31" t="str">
            <v>344558_6</v>
          </cell>
          <cell r="B31">
            <v>344558</v>
          </cell>
          <cell r="C31">
            <v>6</v>
          </cell>
          <cell r="D31" t="str">
            <v>Orbit</v>
          </cell>
          <cell r="J31" t="str">
            <v>GEO-GSO</v>
          </cell>
          <cell r="L31">
            <v>46203</v>
          </cell>
          <cell r="M31" t="str">
            <v>SSL (Space Systems/Loral - Part of Maxar)</v>
          </cell>
          <cell r="V31" t="str">
            <v>FIID</v>
          </cell>
          <cell r="X31" t="str">
            <v>E117WA (S8)</v>
          </cell>
          <cell r="AA31">
            <v>6390959.0361546203</v>
          </cell>
          <cell r="AH31">
            <v>199717.46987983186</v>
          </cell>
        </row>
        <row r="32">
          <cell r="A32" t="str">
            <v>344558_7</v>
          </cell>
          <cell r="B32">
            <v>344558</v>
          </cell>
          <cell r="C32">
            <v>7</v>
          </cell>
          <cell r="D32" t="str">
            <v>Orbit</v>
          </cell>
          <cell r="J32" t="str">
            <v>GEO-GSO</v>
          </cell>
          <cell r="L32">
            <v>46203</v>
          </cell>
          <cell r="M32" t="str">
            <v>Thales Alenia Space France (Cannes)</v>
          </cell>
          <cell r="V32" t="str">
            <v>FIID</v>
          </cell>
          <cell r="X32" t="str">
            <v>W6A/E21B</v>
          </cell>
          <cell r="AA32">
            <v>8472635.0218910407</v>
          </cell>
          <cell r="AH32">
            <v>264769.84443409502</v>
          </cell>
        </row>
        <row r="33">
          <cell r="A33" t="str">
            <v>344558_8</v>
          </cell>
          <cell r="B33">
            <v>344558</v>
          </cell>
          <cell r="C33">
            <v>8</v>
          </cell>
          <cell r="D33" t="str">
            <v>Orbit</v>
          </cell>
          <cell r="J33" t="str">
            <v>GEO-GSO</v>
          </cell>
          <cell r="L33">
            <v>46203</v>
          </cell>
          <cell r="M33" t="str">
            <v>Astrium Satellites SAS (Toulouse) (Part of EADS)</v>
          </cell>
          <cell r="V33" t="str">
            <v>FIID</v>
          </cell>
          <cell r="X33" t="str">
            <v>W5A/E70B</v>
          </cell>
          <cell r="AA33">
            <v>8104725.6319345096</v>
          </cell>
          <cell r="AH33">
            <v>253272.67599795343</v>
          </cell>
        </row>
        <row r="34">
          <cell r="A34" t="str">
            <v>344558_9</v>
          </cell>
          <cell r="B34">
            <v>344558</v>
          </cell>
          <cell r="C34">
            <v>9</v>
          </cell>
          <cell r="D34" t="str">
            <v>Orbit</v>
          </cell>
          <cell r="J34" t="str">
            <v>GEO-GSO</v>
          </cell>
          <cell r="L34">
            <v>46203</v>
          </cell>
          <cell r="M34" t="str">
            <v>Thales Alenia Space France (Cannes)</v>
          </cell>
          <cell r="V34" t="str">
            <v>FIID</v>
          </cell>
          <cell r="X34" t="str">
            <v>W3D/E3D</v>
          </cell>
          <cell r="AA34">
            <v>4138792.8983068601</v>
          </cell>
          <cell r="AH34">
            <v>129337.27807208938</v>
          </cell>
        </row>
        <row r="35">
          <cell r="A35" t="str">
            <v>344558_10</v>
          </cell>
          <cell r="B35">
            <v>344558</v>
          </cell>
          <cell r="C35">
            <v>10</v>
          </cell>
          <cell r="D35" t="str">
            <v>Orbit</v>
          </cell>
          <cell r="J35" t="str">
            <v>GEO-GSO</v>
          </cell>
          <cell r="L35">
            <v>46203</v>
          </cell>
          <cell r="M35" t="str">
            <v>Airbus Defence and Space (Toulouse)</v>
          </cell>
          <cell r="V35" t="str">
            <v>FIID</v>
          </cell>
          <cell r="X35" t="str">
            <v>E3B</v>
          </cell>
          <cell r="AA35">
            <v>8995750.7919540908</v>
          </cell>
          <cell r="AH35">
            <v>281117.21224856534</v>
          </cell>
        </row>
        <row r="36">
          <cell r="A36" t="str">
            <v>344558_11</v>
          </cell>
          <cell r="B36">
            <v>344558</v>
          </cell>
          <cell r="C36">
            <v>11</v>
          </cell>
          <cell r="D36" t="str">
            <v>Orbit</v>
          </cell>
          <cell r="J36" t="str">
            <v>GEO-GSO</v>
          </cell>
          <cell r="L36">
            <v>46203</v>
          </cell>
          <cell r="M36" t="str">
            <v>Astrium Satellites SAS (Toulouse) (Part of EADS)</v>
          </cell>
          <cell r="V36" t="str">
            <v>FIID</v>
          </cell>
          <cell r="X36" t="str">
            <v>E9B</v>
          </cell>
          <cell r="AA36">
            <v>6455847.12958916</v>
          </cell>
          <cell r="AH36">
            <v>201745.22279966125</v>
          </cell>
        </row>
        <row r="37">
          <cell r="A37" t="str">
            <v>344558_12</v>
          </cell>
          <cell r="B37">
            <v>344558</v>
          </cell>
          <cell r="C37">
            <v>12</v>
          </cell>
          <cell r="D37" t="str">
            <v>Orbit</v>
          </cell>
          <cell r="J37" t="str">
            <v>GEO-GSO</v>
          </cell>
          <cell r="L37">
            <v>46203</v>
          </cell>
          <cell r="M37" t="str">
            <v>Boeing Satellite Systems Inc.</v>
          </cell>
          <cell r="V37" t="str">
            <v>FIID</v>
          </cell>
          <cell r="X37" t="str">
            <v>E117WB (S9)</v>
          </cell>
          <cell r="AA37">
            <v>4388314.4383435603</v>
          </cell>
          <cell r="AH37">
            <v>137134.82619823626</v>
          </cell>
        </row>
        <row r="38">
          <cell r="A38" t="str">
            <v>344558_13</v>
          </cell>
          <cell r="B38">
            <v>344558</v>
          </cell>
          <cell r="C38">
            <v>13</v>
          </cell>
          <cell r="D38" t="str">
            <v>Orbit</v>
          </cell>
          <cell r="J38" t="str">
            <v>GEO-GSO</v>
          </cell>
          <cell r="L38">
            <v>46203</v>
          </cell>
          <cell r="M38" t="str">
            <v>Thales Alenia Space France (Cannes)</v>
          </cell>
          <cell r="V38" t="str">
            <v>FIID</v>
          </cell>
          <cell r="X38" t="str">
            <v>E8WB</v>
          </cell>
          <cell r="AA38">
            <v>18484934.5591661</v>
          </cell>
          <cell r="AH38">
            <v>577654.20497394062</v>
          </cell>
        </row>
        <row r="39">
          <cell r="A39" t="str">
            <v>344558_14</v>
          </cell>
          <cell r="B39">
            <v>344558</v>
          </cell>
          <cell r="C39">
            <v>14</v>
          </cell>
          <cell r="D39" t="str">
            <v>Orbit</v>
          </cell>
          <cell r="J39" t="str">
            <v>GEO-GSO</v>
          </cell>
          <cell r="L39">
            <v>46203</v>
          </cell>
          <cell r="M39" t="str">
            <v>Airbus Defence and Space (Toulouse)</v>
          </cell>
          <cell r="V39" t="str">
            <v>FIID</v>
          </cell>
          <cell r="X39" t="str">
            <v>E36C</v>
          </cell>
          <cell r="AA39">
            <v>11617716.6076576</v>
          </cell>
          <cell r="AH39">
            <v>363053.64398929995</v>
          </cell>
        </row>
        <row r="40">
          <cell r="A40" t="str">
            <v>344558_15</v>
          </cell>
          <cell r="B40">
            <v>344558</v>
          </cell>
          <cell r="C40">
            <v>15</v>
          </cell>
          <cell r="D40" t="str">
            <v>Orbit</v>
          </cell>
          <cell r="J40" t="str">
            <v>GEO-GSO</v>
          </cell>
          <cell r="L40">
            <v>46203</v>
          </cell>
          <cell r="M40" t="str">
            <v>SSL (Space Systems/Loral - Part of Maxar)</v>
          </cell>
          <cell r="V40" t="str">
            <v>FIID</v>
          </cell>
          <cell r="X40" t="str">
            <v>E65WA</v>
          </cell>
          <cell r="AA40">
            <v>5533750.3557227198</v>
          </cell>
          <cell r="AH40">
            <v>172929.69861633499</v>
          </cell>
        </row>
        <row r="41">
          <cell r="A41" t="str">
            <v>344558_16</v>
          </cell>
          <cell r="B41">
            <v>344558</v>
          </cell>
          <cell r="C41">
            <v>16</v>
          </cell>
          <cell r="D41" t="str">
            <v>Orbit</v>
          </cell>
          <cell r="J41" t="str">
            <v>GEO-GSO</v>
          </cell>
          <cell r="L41">
            <v>46203</v>
          </cell>
          <cell r="M41" t="str">
            <v>Airbus Defence and Space (Toulouse)</v>
          </cell>
          <cell r="V41" t="str">
            <v>FIID</v>
          </cell>
          <cell r="X41" t="str">
            <v>E172B</v>
          </cell>
          <cell r="AA41">
            <v>10746231.046425199</v>
          </cell>
          <cell r="AH41">
            <v>335819.72020078741</v>
          </cell>
        </row>
        <row r="42">
          <cell r="A42" t="str">
            <v>344558_17</v>
          </cell>
          <cell r="B42">
            <v>344558</v>
          </cell>
          <cell r="C42">
            <v>17</v>
          </cell>
          <cell r="D42" t="str">
            <v>Orbit</v>
          </cell>
          <cell r="J42" t="str">
            <v>GEO-GSO</v>
          </cell>
          <cell r="L42">
            <v>46203</v>
          </cell>
          <cell r="M42" t="str">
            <v>SSTL - Surrey Satellite Technology Limited (Part of Airbus DS)</v>
          </cell>
          <cell r="V42" t="str">
            <v>FIID</v>
          </cell>
          <cell r="X42" t="str">
            <v>Quantum</v>
          </cell>
          <cell r="AA42">
            <v>11189100.5630337</v>
          </cell>
          <cell r="AH42">
            <v>349659.39259480307</v>
          </cell>
        </row>
        <row r="43">
          <cell r="A43" t="str">
            <v>334331_1</v>
          </cell>
          <cell r="B43">
            <v>334331</v>
          </cell>
          <cell r="C43">
            <v>1</v>
          </cell>
          <cell r="D43" t="str">
            <v>Launch and Orbit</v>
          </cell>
          <cell r="J43" t="str">
            <v>LEO</v>
          </cell>
          <cell r="L43">
            <v>46320</v>
          </cell>
          <cell r="M43" t="str">
            <v>Airbus Defence and Space (Toulouse)</v>
          </cell>
          <cell r="V43" t="str">
            <v>FIID</v>
          </cell>
          <cell r="X43" t="str">
            <v>CO3D 1</v>
          </cell>
          <cell r="AA43">
            <v>2196138.3852966102</v>
          </cell>
          <cell r="AH43">
            <v>68629.324540519068</v>
          </cell>
        </row>
        <row r="44">
          <cell r="A44" t="str">
            <v>334331_2</v>
          </cell>
          <cell r="B44">
            <v>334331</v>
          </cell>
          <cell r="C44">
            <v>2</v>
          </cell>
          <cell r="D44" t="str">
            <v>Launch and Orbit</v>
          </cell>
          <cell r="J44" t="str">
            <v>LEO</v>
          </cell>
          <cell r="L44">
            <v>46320</v>
          </cell>
          <cell r="M44" t="str">
            <v>Airbus Defence and Space (Toulouse)</v>
          </cell>
          <cell r="V44" t="str">
            <v>FIID</v>
          </cell>
          <cell r="X44" t="str">
            <v>CO3D 2</v>
          </cell>
          <cell r="AA44">
            <v>2196138.3852966102</v>
          </cell>
          <cell r="AH44">
            <v>68629.324540519068</v>
          </cell>
        </row>
        <row r="45">
          <cell r="A45" t="str">
            <v>334331_3</v>
          </cell>
          <cell r="B45">
            <v>334331</v>
          </cell>
          <cell r="C45">
            <v>3</v>
          </cell>
          <cell r="D45" t="str">
            <v>Launch and Orbit</v>
          </cell>
          <cell r="J45" t="str">
            <v>LEO</v>
          </cell>
          <cell r="L45">
            <v>46320</v>
          </cell>
          <cell r="M45" t="str">
            <v>Airbus Defence and Space (Toulouse)</v>
          </cell>
          <cell r="V45" t="str">
            <v>FIID</v>
          </cell>
          <cell r="X45" t="str">
            <v>CO3D 3</v>
          </cell>
          <cell r="AA45">
            <v>2196138.3852966102</v>
          </cell>
          <cell r="AH45">
            <v>68629.324540519068</v>
          </cell>
        </row>
        <row r="46">
          <cell r="A46" t="str">
            <v>334331_4</v>
          </cell>
          <cell r="B46">
            <v>334331</v>
          </cell>
          <cell r="C46">
            <v>4</v>
          </cell>
          <cell r="D46" t="str">
            <v>Launch and Orbit</v>
          </cell>
          <cell r="J46" t="str">
            <v>LEO</v>
          </cell>
          <cell r="L46">
            <v>46320</v>
          </cell>
          <cell r="M46" t="str">
            <v>Airbus Defence and Space (Toulouse)</v>
          </cell>
          <cell r="V46" t="str">
            <v>FIID</v>
          </cell>
          <cell r="X46" t="str">
            <v>CO3D 4</v>
          </cell>
          <cell r="AA46">
            <v>2196138.3852966102</v>
          </cell>
          <cell r="AH46">
            <v>68629.324540519068</v>
          </cell>
        </row>
        <row r="47">
          <cell r="A47" t="str">
            <v>351444_1</v>
          </cell>
          <cell r="B47">
            <v>351444</v>
          </cell>
          <cell r="C47">
            <v>1</v>
          </cell>
          <cell r="D47" t="str">
            <v>In-Orbit</v>
          </cell>
          <cell r="J47" t="str">
            <v>GEO-GSO</v>
          </cell>
          <cell r="L47">
            <v>46285</v>
          </cell>
          <cell r="M47" t="str">
            <v>SSL (Space Systems/Loral - Part of Maxar)</v>
          </cell>
          <cell r="V47" t="str">
            <v>FUL</v>
          </cell>
          <cell r="X47" t="str">
            <v>ASIASAT 5</v>
          </cell>
          <cell r="AA47">
            <v>6358762.8759999899</v>
          </cell>
          <cell r="AH47">
            <v>198711.33987499968</v>
          </cell>
        </row>
        <row r="48">
          <cell r="A48" t="str">
            <v>351444_2</v>
          </cell>
          <cell r="B48">
            <v>351444</v>
          </cell>
          <cell r="C48">
            <v>2</v>
          </cell>
          <cell r="D48" t="str">
            <v>In-Orbit</v>
          </cell>
          <cell r="J48" t="str">
            <v>GEO-GSO</v>
          </cell>
          <cell r="L48">
            <v>46285</v>
          </cell>
          <cell r="M48" t="str">
            <v>SSL (Space Systems/Loral - Part of Maxar)</v>
          </cell>
          <cell r="V48" t="str">
            <v>FUL</v>
          </cell>
          <cell r="X48" t="str">
            <v>ASIASAT 6/THAICOM 7</v>
          </cell>
          <cell r="AA48">
            <v>4082474.21999999</v>
          </cell>
          <cell r="AH48">
            <v>127577.31937499969</v>
          </cell>
        </row>
        <row r="49">
          <cell r="A49" t="str">
            <v>351444_3</v>
          </cell>
          <cell r="B49">
            <v>351444</v>
          </cell>
          <cell r="C49">
            <v>3</v>
          </cell>
          <cell r="D49" t="str">
            <v>In-Orbit</v>
          </cell>
          <cell r="J49" t="str">
            <v>GEO-GSO</v>
          </cell>
          <cell r="L49">
            <v>46285</v>
          </cell>
          <cell r="M49" t="str">
            <v>SSL (Space Systems/Loral - Part of Maxar)</v>
          </cell>
          <cell r="V49" t="str">
            <v>FUL</v>
          </cell>
          <cell r="X49" t="str">
            <v>ASIASAT 7</v>
          </cell>
          <cell r="AA49">
            <v>6581443.2879999997</v>
          </cell>
          <cell r="AH49">
            <v>205670.10274999996</v>
          </cell>
        </row>
        <row r="50">
          <cell r="A50" t="str">
            <v>351444_4</v>
          </cell>
          <cell r="B50">
            <v>351444</v>
          </cell>
          <cell r="C50">
            <v>4</v>
          </cell>
          <cell r="D50" t="str">
            <v>In-Orbit</v>
          </cell>
          <cell r="J50" t="str">
            <v>GEO-GSO</v>
          </cell>
          <cell r="L50">
            <v>46285</v>
          </cell>
          <cell r="M50" t="str">
            <v>SSL (Space Systems/Loral - Part of Maxar)</v>
          </cell>
          <cell r="V50" t="str">
            <v>FUL</v>
          </cell>
          <cell r="X50" t="str">
            <v>AMOS 7 (ASIASAT 8)</v>
          </cell>
          <cell r="AA50">
            <v>4391752.5699999901</v>
          </cell>
          <cell r="AH50">
            <v>137242.26781249966</v>
          </cell>
        </row>
        <row r="51">
          <cell r="A51" t="str">
            <v>351444_5</v>
          </cell>
          <cell r="B51">
            <v>351444</v>
          </cell>
          <cell r="C51">
            <v>5</v>
          </cell>
          <cell r="D51" t="str">
            <v>In-Orbit</v>
          </cell>
          <cell r="J51" t="str">
            <v>GEO-GSO</v>
          </cell>
          <cell r="L51">
            <v>46285</v>
          </cell>
          <cell r="M51" t="str">
            <v>SSL (Space Systems/Loral - Part of Maxar)</v>
          </cell>
          <cell r="V51" t="str">
            <v>FUL</v>
          </cell>
          <cell r="X51" t="str">
            <v>ASIASAT 9</v>
          </cell>
          <cell r="AA51">
            <v>9380721.6338499896</v>
          </cell>
          <cell r="AH51">
            <v>293147.55105781218</v>
          </cell>
        </row>
        <row r="52">
          <cell r="A52" t="str">
            <v>344558_18</v>
          </cell>
          <cell r="B52">
            <v>344558</v>
          </cell>
          <cell r="C52">
            <v>18</v>
          </cell>
          <cell r="D52" t="str">
            <v>Orbit</v>
          </cell>
          <cell r="J52" t="str">
            <v>GEO-GSO</v>
          </cell>
          <cell r="L52">
            <v>46203</v>
          </cell>
          <cell r="M52" t="str">
            <v>SSL (Space Systems/Loral - Part of Maxar)</v>
          </cell>
          <cell r="V52" t="str">
            <v>FIID</v>
          </cell>
          <cell r="X52" t="str">
            <v>E7C</v>
          </cell>
          <cell r="AA52">
            <v>3094813.59839442</v>
          </cell>
          <cell r="AH52">
            <v>96712.92494982561</v>
          </cell>
        </row>
        <row r="53">
          <cell r="A53" t="str">
            <v>344558_19</v>
          </cell>
          <cell r="B53">
            <v>344558</v>
          </cell>
          <cell r="C53">
            <v>19</v>
          </cell>
          <cell r="D53" t="str">
            <v>Orbit</v>
          </cell>
          <cell r="J53" t="str">
            <v>GEO-GSO</v>
          </cell>
          <cell r="L53">
            <v>46203</v>
          </cell>
          <cell r="M53" t="str">
            <v>Thales Alenia Space France (Cannes)</v>
          </cell>
          <cell r="V53" t="str">
            <v>FIID</v>
          </cell>
          <cell r="X53" t="str">
            <v>Konnect</v>
          </cell>
          <cell r="AA53">
            <v>8602524.4033901896</v>
          </cell>
          <cell r="AH53">
            <v>268828.88760594337</v>
          </cell>
        </row>
        <row r="54">
          <cell r="A54" t="str">
            <v>344558_21</v>
          </cell>
          <cell r="B54">
            <v>344558</v>
          </cell>
          <cell r="C54">
            <v>21</v>
          </cell>
          <cell r="D54" t="str">
            <v>Orbit</v>
          </cell>
          <cell r="J54" t="str">
            <v>GEO-GSO</v>
          </cell>
          <cell r="L54">
            <v>46203</v>
          </cell>
          <cell r="M54" t="str">
            <v>Thales Alenia Space France (Cannes)</v>
          </cell>
          <cell r="V54" t="str">
            <v>FIID</v>
          </cell>
          <cell r="X54" t="str">
            <v>K-VHTS</v>
          </cell>
          <cell r="AA54">
            <v>16937675.495607499</v>
          </cell>
          <cell r="AH54">
            <v>529302.35923773434</v>
          </cell>
        </row>
        <row r="55">
          <cell r="A55" t="str">
            <v>344558_20</v>
          </cell>
          <cell r="B55">
            <v>344558</v>
          </cell>
          <cell r="C55">
            <v>20</v>
          </cell>
          <cell r="D55" t="str">
            <v>Orbit</v>
          </cell>
          <cell r="J55" t="str">
            <v>GEO-GSO</v>
          </cell>
          <cell r="L55">
            <v>46203</v>
          </cell>
          <cell r="M55" t="str">
            <v>Airbus Defence and Space (Toulouse)</v>
          </cell>
          <cell r="V55" t="str">
            <v>FIID</v>
          </cell>
          <cell r="X55" t="str">
            <v>E13G</v>
          </cell>
          <cell r="AA55">
            <v>19814782.423728701</v>
          </cell>
          <cell r="AH55">
            <v>619211.9507415219</v>
          </cell>
        </row>
        <row r="56">
          <cell r="A56" t="str">
            <v>344558_22</v>
          </cell>
          <cell r="B56">
            <v>344558</v>
          </cell>
          <cell r="C56">
            <v>22</v>
          </cell>
          <cell r="D56" t="str">
            <v>Orbit</v>
          </cell>
          <cell r="J56" t="str">
            <v>GEO-GSO</v>
          </cell>
          <cell r="L56">
            <v>46203</v>
          </cell>
          <cell r="M56" t="str">
            <v>Thales Alenia Space France (Cannes)</v>
          </cell>
          <cell r="V56" t="str">
            <v>FIID</v>
          </cell>
          <cell r="X56" t="str">
            <v>E10B</v>
          </cell>
          <cell r="AA56">
            <v>19814782.423728701</v>
          </cell>
          <cell r="AH56">
            <v>619211.9507415219</v>
          </cell>
        </row>
        <row r="57">
          <cell r="A57" t="str">
            <v>344558_23</v>
          </cell>
          <cell r="B57">
            <v>344558</v>
          </cell>
          <cell r="C57">
            <v>23</v>
          </cell>
          <cell r="D57" t="str">
            <v>Orbit</v>
          </cell>
          <cell r="J57" t="str">
            <v>GEO-GSO</v>
          </cell>
          <cell r="L57">
            <v>46203</v>
          </cell>
          <cell r="M57" t="str">
            <v>Airbus Defence and Space (Toulouse)</v>
          </cell>
          <cell r="V57" t="str">
            <v>FIID</v>
          </cell>
          <cell r="X57" t="str">
            <v>E13F</v>
          </cell>
          <cell r="AA57">
            <v>19814782.423728701</v>
          </cell>
          <cell r="AH57">
            <v>619211.9507415219</v>
          </cell>
        </row>
        <row r="58">
          <cell r="A58" t="str">
            <v>328274_433090</v>
          </cell>
          <cell r="B58">
            <v>328274</v>
          </cell>
          <cell r="C58">
            <v>433090</v>
          </cell>
          <cell r="D58" t="str">
            <v>L + 24 Months</v>
          </cell>
          <cell r="J58" t="str">
            <v>GEO-GSO</v>
          </cell>
          <cell r="L58">
            <v>46172</v>
          </cell>
          <cell r="M58" t="str">
            <v>Airbus Defence and Space (Toulouse)</v>
          </cell>
          <cell r="V58" t="str">
            <v>FIID</v>
          </cell>
          <cell r="X58" t="str">
            <v>SPAINSAT NG-1</v>
          </cell>
          <cell r="AA58">
            <v>26601157.9806302</v>
          </cell>
          <cell r="AH58">
            <v>1097297.7667009956</v>
          </cell>
        </row>
        <row r="59">
          <cell r="A59" t="str">
            <v>328274_436566</v>
          </cell>
          <cell r="B59">
            <v>328274</v>
          </cell>
          <cell r="C59">
            <v>436566</v>
          </cell>
          <cell r="D59" t="str">
            <v>L + 24 Months</v>
          </cell>
          <cell r="J59" t="str">
            <v>GEO-GSO</v>
          </cell>
          <cell r="L59">
            <v>46442</v>
          </cell>
          <cell r="M59" t="str">
            <v>Airbus Defence and Space (Toulouse)</v>
          </cell>
          <cell r="V59" t="str">
            <v>FIID</v>
          </cell>
          <cell r="X59" t="str">
            <v>SPAINSAT NG-2</v>
          </cell>
          <cell r="AA59">
            <v>26601157.9806302</v>
          </cell>
          <cell r="AH59">
            <v>1097297.7667009956</v>
          </cell>
        </row>
        <row r="60">
          <cell r="A60" t="str">
            <v>333396_443727</v>
          </cell>
          <cell r="B60">
            <v>333396</v>
          </cell>
          <cell r="C60">
            <v>443727</v>
          </cell>
          <cell r="D60" t="str">
            <v>In-Orbit</v>
          </cell>
          <cell r="J60" t="str">
            <v>GEO-GSO</v>
          </cell>
          <cell r="L60">
            <v>46057</v>
          </cell>
          <cell r="M60" t="str">
            <v>Lockheed Martin Commercial Space Systems</v>
          </cell>
          <cell r="V60" t="str">
            <v>FUL</v>
          </cell>
          <cell r="X60" t="str">
            <v>HELLAS-SAT 4/SAUDIGEOSAT-1</v>
          </cell>
          <cell r="AA60">
            <v>9278365.3453607894</v>
          </cell>
          <cell r="AH60">
            <v>289948.91704252461</v>
          </cell>
        </row>
        <row r="61">
          <cell r="A61" t="str">
            <v>333523_443947</v>
          </cell>
          <cell r="B61">
            <v>333523</v>
          </cell>
          <cell r="C61">
            <v>443947</v>
          </cell>
          <cell r="D61" t="str">
            <v>In-Orbit</v>
          </cell>
          <cell r="J61" t="str">
            <v>GEO-GSO</v>
          </cell>
          <cell r="L61">
            <v>46053</v>
          </cell>
          <cell r="M61" t="str">
            <v>SSL (Space Systems/Loral)</v>
          </cell>
          <cell r="V61" t="str">
            <v>FUL</v>
          </cell>
          <cell r="X61" t="str">
            <v>JCSAT-2B (JCSAT-14)</v>
          </cell>
          <cell r="AA61">
            <v>2101916.98230711</v>
          </cell>
          <cell r="AH61">
            <v>65684.905697097187</v>
          </cell>
        </row>
        <row r="62">
          <cell r="A62" t="str">
            <v>333523_443949</v>
          </cell>
          <cell r="B62">
            <v>333523</v>
          </cell>
          <cell r="C62">
            <v>443949</v>
          </cell>
          <cell r="D62" t="str">
            <v>In-Orbit</v>
          </cell>
          <cell r="J62" t="str">
            <v>GEO-GSO</v>
          </cell>
          <cell r="L62">
            <v>46053</v>
          </cell>
          <cell r="M62" t="str">
            <v>Boeing Satellite Systems Inc.</v>
          </cell>
          <cell r="V62" t="str">
            <v>FUL</v>
          </cell>
          <cell r="X62" t="str">
            <v>JCSAT-18/KACIFIC-1</v>
          </cell>
          <cell r="AA62">
            <v>2990981.6104335799</v>
          </cell>
          <cell r="AH62">
            <v>93468.175326049372</v>
          </cell>
        </row>
        <row r="63">
          <cell r="A63" t="str">
            <v>333523_443950</v>
          </cell>
          <cell r="B63">
            <v>333523</v>
          </cell>
          <cell r="C63">
            <v>443950</v>
          </cell>
          <cell r="D63" t="str">
            <v>In-Orbit</v>
          </cell>
          <cell r="J63" t="str">
            <v>GEO-GSO</v>
          </cell>
          <cell r="L63">
            <v>46053</v>
          </cell>
          <cell r="M63" t="str">
            <v>SSL (Space Systems/Loral)</v>
          </cell>
          <cell r="V63" t="str">
            <v>FUL</v>
          </cell>
          <cell r="X63" t="str">
            <v>JCSAT-16</v>
          </cell>
          <cell r="AA63">
            <v>1671201.2131404299</v>
          </cell>
          <cell r="AH63">
            <v>52225.037910638428</v>
          </cell>
        </row>
        <row r="64">
          <cell r="A64" t="str">
            <v>333523_443951</v>
          </cell>
          <cell r="B64">
            <v>333523</v>
          </cell>
          <cell r="C64">
            <v>443951</v>
          </cell>
          <cell r="D64" t="str">
            <v>In-Orbit</v>
          </cell>
          <cell r="J64" t="str">
            <v>GEO-GSO</v>
          </cell>
          <cell r="L64">
            <v>46053</v>
          </cell>
          <cell r="M64" t="str">
            <v>SSL (Space Systems/Loral)</v>
          </cell>
          <cell r="V64" t="str">
            <v>FUL</v>
          </cell>
          <cell r="X64" t="str">
            <v>JCSAT-110A (JCSAT-15)</v>
          </cell>
          <cell r="AA64">
            <v>2108524.8950837199</v>
          </cell>
          <cell r="AH64">
            <v>65891.402971366246</v>
          </cell>
        </row>
        <row r="65">
          <cell r="A65" t="str">
            <v>333730_444266</v>
          </cell>
          <cell r="B65">
            <v>333730</v>
          </cell>
          <cell r="C65">
            <v>444266</v>
          </cell>
          <cell r="D65" t="str">
            <v>In-Orbit</v>
          </cell>
          <cell r="J65" t="str">
            <v>GEO-GSO</v>
          </cell>
          <cell r="L65">
            <v>46072</v>
          </cell>
          <cell r="M65" t="str">
            <v>Lockheed Martin Commercial Space Systems</v>
          </cell>
          <cell r="V65" t="str">
            <v>FUL</v>
          </cell>
          <cell r="X65" t="str">
            <v>JCSAT-17</v>
          </cell>
          <cell r="AA65">
            <v>8176391.2623826005</v>
          </cell>
          <cell r="AH65">
            <v>255512.22694945626</v>
          </cell>
        </row>
        <row r="66">
          <cell r="A66" t="str">
            <v>333733_444269</v>
          </cell>
          <cell r="B66">
            <v>333733</v>
          </cell>
          <cell r="C66">
            <v>444269</v>
          </cell>
          <cell r="D66" t="str">
            <v>In-Orbit</v>
          </cell>
          <cell r="J66" t="str">
            <v>GEO-GSO</v>
          </cell>
          <cell r="L66">
            <v>46072</v>
          </cell>
          <cell r="M66" t="str">
            <v>Lockheed Martin Commercial Space Systems</v>
          </cell>
          <cell r="V66" t="str">
            <v>FUL</v>
          </cell>
          <cell r="X66" t="str">
            <v>JCSAT-17</v>
          </cell>
          <cell r="AA66">
            <v>16981733.242314599</v>
          </cell>
          <cell r="AH66">
            <v>530679.16382233123</v>
          </cell>
        </row>
        <row r="67">
          <cell r="A67" t="str">
            <v>334027_444925</v>
          </cell>
          <cell r="B67">
            <v>334027</v>
          </cell>
          <cell r="C67">
            <v>444925</v>
          </cell>
          <cell r="D67" t="str">
            <v>In-Orbit</v>
          </cell>
          <cell r="J67" t="str">
            <v>GEO-GSO</v>
          </cell>
          <cell r="L67">
            <v>46073</v>
          </cell>
          <cell r="M67" t="str">
            <v>Thales Alenia Space France (Cannes)</v>
          </cell>
          <cell r="V67" t="str">
            <v>FUL</v>
          </cell>
          <cell r="X67" t="str">
            <v>TELKOMSAT 113BT</v>
          </cell>
          <cell r="AA67">
            <v>21822092.255038898</v>
          </cell>
          <cell r="AH67">
            <v>681940.38296996546</v>
          </cell>
        </row>
        <row r="68">
          <cell r="A68" t="str">
            <v>334082_445095</v>
          </cell>
          <cell r="B68">
            <v>334082</v>
          </cell>
          <cell r="C68">
            <v>445095</v>
          </cell>
          <cell r="D68" t="str">
            <v>L + 24 Months</v>
          </cell>
          <cell r="J68" t="str">
            <v>GEO-GSO</v>
          </cell>
          <cell r="L68">
            <v>46172</v>
          </cell>
          <cell r="M68" t="str">
            <v>Airbus Defence and Space (Toulouse)</v>
          </cell>
          <cell r="V68" t="str">
            <v>FIID</v>
          </cell>
          <cell r="X68" t="str">
            <v>SPAINSAT NG-1</v>
          </cell>
          <cell r="AA68">
            <v>2256469.3948105499</v>
          </cell>
          <cell r="AH68">
            <v>70514.668587829685</v>
          </cell>
        </row>
        <row r="69">
          <cell r="A69" t="str">
            <v>334728_446363</v>
          </cell>
          <cell r="B69">
            <v>334728</v>
          </cell>
          <cell r="C69">
            <v>446363</v>
          </cell>
          <cell r="D69" t="str">
            <v>In-Orbit</v>
          </cell>
          <cell r="J69" t="str">
            <v>GEO-GSO</v>
          </cell>
          <cell r="L69">
            <v>46053</v>
          </cell>
          <cell r="M69" t="str">
            <v>Orbital Sciences Corporation</v>
          </cell>
          <cell r="V69" t="str">
            <v>FUL</v>
          </cell>
          <cell r="X69" t="str">
            <v>AZERSPACE-1/AFRICASAT 1A</v>
          </cell>
          <cell r="AA69">
            <v>9278349.8814432994</v>
          </cell>
          <cell r="AH69">
            <v>289948.4337951031</v>
          </cell>
        </row>
        <row r="70">
          <cell r="A70" t="str">
            <v>334902_446645</v>
          </cell>
          <cell r="B70">
            <v>334902</v>
          </cell>
          <cell r="C70">
            <v>446645</v>
          </cell>
          <cell r="D70" t="str">
            <v>In-Orbit</v>
          </cell>
          <cell r="J70" t="str">
            <v>GEO-GSO</v>
          </cell>
          <cell r="L70">
            <v>46142</v>
          </cell>
          <cell r="M70" t="str">
            <v>SSL (Space Systems/Loral)</v>
          </cell>
          <cell r="V70" t="str">
            <v>FIID</v>
          </cell>
          <cell r="X70" t="str">
            <v>OVZON-3</v>
          </cell>
          <cell r="AA70">
            <v>10824710.7036082</v>
          </cell>
          <cell r="AH70">
            <v>338272.20948775619</v>
          </cell>
        </row>
        <row r="71">
          <cell r="A71" t="str">
            <v>335119_447110</v>
          </cell>
          <cell r="B71">
            <v>335119</v>
          </cell>
          <cell r="C71">
            <v>447110</v>
          </cell>
          <cell r="D71" t="str">
            <v>In-Orbit</v>
          </cell>
          <cell r="J71" t="str">
            <v>GEO-GSO</v>
          </cell>
          <cell r="L71">
            <v>46071</v>
          </cell>
          <cell r="M71" t="str">
            <v>KARI - Korea Aerospace Research Institute</v>
          </cell>
          <cell r="V71" t="str">
            <v>FUL</v>
          </cell>
          <cell r="X71" t="str">
            <v>GEO-KOMPSAT-2B</v>
          </cell>
          <cell r="AA71">
            <v>1499366.59543919</v>
          </cell>
          <cell r="AH71">
            <v>46855.206107474689</v>
          </cell>
        </row>
        <row r="72">
          <cell r="A72" t="str">
            <v>335513_447941</v>
          </cell>
          <cell r="B72">
            <v>335513</v>
          </cell>
          <cell r="C72">
            <v>447941</v>
          </cell>
          <cell r="D72" t="str">
            <v>In-Orbit</v>
          </cell>
          <cell r="J72" t="str">
            <v>GEO-GSO</v>
          </cell>
          <cell r="L72">
            <v>46171</v>
          </cell>
          <cell r="M72" t="str">
            <v>CAST - Chinese Academy of Space Technology</v>
          </cell>
          <cell r="V72" t="str">
            <v>FUL</v>
          </cell>
          <cell r="X72" t="str">
            <v>PAKSAT-MULTI MISSION 1 (PAKSAT-MM1)</v>
          </cell>
          <cell r="AA72">
            <v>21649484.5</v>
          </cell>
          <cell r="AH72">
            <v>676546.39062499988</v>
          </cell>
        </row>
        <row r="73">
          <cell r="A73" t="str">
            <v>337146_450480</v>
          </cell>
          <cell r="B73">
            <v>337146</v>
          </cell>
          <cell r="C73">
            <v>450480</v>
          </cell>
          <cell r="D73" t="str">
            <v>In-Orbit</v>
          </cell>
          <cell r="J73" t="str">
            <v>LEO</v>
          </cell>
          <cell r="L73">
            <v>46084</v>
          </cell>
          <cell r="M73" t="str">
            <v>Blue Canyon Technologies (BCT)(Part of Raytheon)</v>
          </cell>
          <cell r="V73" t="str">
            <v>FUL</v>
          </cell>
          <cell r="X73" t="str">
            <v>METHANESAT</v>
          </cell>
          <cell r="AA73">
            <v>1237113.3999999999</v>
          </cell>
          <cell r="AH73">
            <v>38659.79374999999</v>
          </cell>
        </row>
        <row r="74">
          <cell r="A74" t="str">
            <v>339034_453683</v>
          </cell>
          <cell r="B74">
            <v>339034</v>
          </cell>
          <cell r="C74">
            <v>453683</v>
          </cell>
          <cell r="D74" t="str">
            <v>In-Orbit</v>
          </cell>
          <cell r="J74" t="str">
            <v>GEO-GSO</v>
          </cell>
          <cell r="L74">
            <v>46090</v>
          </cell>
          <cell r="M74" t="str">
            <v>U. R. Rao Satellite Centre (URSC)</v>
          </cell>
          <cell r="V74" t="str">
            <v>FUL</v>
          </cell>
          <cell r="X74" t="str">
            <v>HYLAS 1</v>
          </cell>
          <cell r="AA74">
            <v>2474226.7999999998</v>
          </cell>
          <cell r="AH74">
            <v>77319.58749999998</v>
          </cell>
        </row>
        <row r="75">
          <cell r="A75" t="str">
            <v>339101_453851</v>
          </cell>
          <cell r="B75">
            <v>339101</v>
          </cell>
          <cell r="C75">
            <v>453851</v>
          </cell>
          <cell r="D75" t="str">
            <v>In-Orbit</v>
          </cell>
          <cell r="J75" t="str">
            <v>GEO-GSO</v>
          </cell>
          <cell r="L75">
            <v>46090</v>
          </cell>
          <cell r="M75" t="str">
            <v>Orbital Sciences Corporation</v>
          </cell>
          <cell r="V75" t="str">
            <v>FIID</v>
          </cell>
          <cell r="X75" t="str">
            <v>HYLAS 2</v>
          </cell>
          <cell r="AA75">
            <v>4639175.8685566997</v>
          </cell>
          <cell r="AH75">
            <v>144974.24589239687</v>
          </cell>
        </row>
        <row r="76">
          <cell r="A76" t="str">
            <v>340072_456306</v>
          </cell>
          <cell r="B76">
            <v>340072</v>
          </cell>
          <cell r="C76">
            <v>456306</v>
          </cell>
          <cell r="D76" t="str">
            <v>In-Orbit</v>
          </cell>
          <cell r="J76" t="str">
            <v>GEO-GSO</v>
          </cell>
          <cell r="L76">
            <v>46169</v>
          </cell>
          <cell r="M76" t="str">
            <v>ORBITAL ATK INC.</v>
          </cell>
          <cell r="V76" t="str">
            <v>FUL</v>
          </cell>
          <cell r="X76" t="str">
            <v>THAICOM 8</v>
          </cell>
          <cell r="AA76">
            <v>11134020.6</v>
          </cell>
          <cell r="AH76">
            <v>347938.14374999993</v>
          </cell>
        </row>
        <row r="77">
          <cell r="A77" t="str">
            <v>340272_456796</v>
          </cell>
          <cell r="B77">
            <v>340272</v>
          </cell>
          <cell r="C77">
            <v>456796</v>
          </cell>
          <cell r="D77" t="str">
            <v>In-Orbit</v>
          </cell>
          <cell r="J77" t="str">
            <v>GEO-GSO</v>
          </cell>
          <cell r="L77">
            <v>46112</v>
          </cell>
          <cell r="M77" t="str">
            <v>Airbus Defence and Space (Toulouse)</v>
          </cell>
          <cell r="V77" t="str">
            <v>FIID</v>
          </cell>
          <cell r="X77" t="str">
            <v>EUTELSAT 36D</v>
          </cell>
          <cell r="AA77">
            <v>5668519.87693391</v>
          </cell>
          <cell r="AH77">
            <v>177141.24615418466</v>
          </cell>
        </row>
        <row r="78">
          <cell r="A78" t="str">
            <v>340405_457079</v>
          </cell>
          <cell r="B78">
            <v>340405</v>
          </cell>
          <cell r="C78">
            <v>457079</v>
          </cell>
          <cell r="D78" t="str">
            <v>In-Orbit</v>
          </cell>
          <cell r="J78" t="str">
            <v>GEO-GSO</v>
          </cell>
          <cell r="L78">
            <v>46133</v>
          </cell>
          <cell r="M78" t="str">
            <v>Airbus Defence and Space (Toulouse)</v>
          </cell>
          <cell r="V78" t="str">
            <v>FUL</v>
          </cell>
          <cell r="X78" t="str">
            <v>INMARSAT 6-F1</v>
          </cell>
          <cell r="AA78">
            <v>10424239.7764406</v>
          </cell>
          <cell r="AH78">
            <v>325757.49301376875</v>
          </cell>
        </row>
        <row r="79">
          <cell r="A79" t="str">
            <v>340408_457089</v>
          </cell>
          <cell r="B79">
            <v>340408</v>
          </cell>
          <cell r="C79">
            <v>457089</v>
          </cell>
          <cell r="D79" t="str">
            <v>In-Orbit</v>
          </cell>
          <cell r="J79" t="str">
            <v>GEO-GSO</v>
          </cell>
          <cell r="L79">
            <v>46130</v>
          </cell>
          <cell r="M79" t="str">
            <v>ORBITAL ATK INC.</v>
          </cell>
          <cell r="V79" t="str">
            <v>FUL</v>
          </cell>
          <cell r="X79" t="str">
            <v>HYLAS 4</v>
          </cell>
          <cell r="AA79">
            <v>1237113.3999999999</v>
          </cell>
          <cell r="AH79">
            <v>38659.79374999999</v>
          </cell>
        </row>
        <row r="80">
          <cell r="A80" t="str">
            <v>340408_457090</v>
          </cell>
          <cell r="B80">
            <v>340408</v>
          </cell>
          <cell r="C80">
            <v>457090</v>
          </cell>
          <cell r="D80" t="str">
            <v>In-Orbit</v>
          </cell>
          <cell r="J80" t="str">
            <v>GEO-GSO</v>
          </cell>
          <cell r="L80">
            <v>46130</v>
          </cell>
          <cell r="M80" t="str">
            <v>ORBITAL ATK INC.</v>
          </cell>
          <cell r="V80" t="str">
            <v>FUL</v>
          </cell>
          <cell r="X80" t="str">
            <v>HYLAS 4</v>
          </cell>
          <cell r="AA80">
            <v>10824742.25</v>
          </cell>
          <cell r="AH80">
            <v>338273.19531249994</v>
          </cell>
        </row>
        <row r="81">
          <cell r="A81" t="str">
            <v>341429_458634</v>
          </cell>
          <cell r="B81">
            <v>341429</v>
          </cell>
          <cell r="C81">
            <v>458634</v>
          </cell>
          <cell r="D81" t="str">
            <v>In-Orbit</v>
          </cell>
          <cell r="J81" t="str">
            <v>GEO-GSO</v>
          </cell>
          <cell r="L81">
            <v>46121</v>
          </cell>
          <cell r="M81" t="str">
            <v>Turkish Aerospace Industries (TAI/TUSAs)</v>
          </cell>
          <cell r="V81" t="str">
            <v>FUL</v>
          </cell>
          <cell r="X81" t="str">
            <v>TURKSAT 6A</v>
          </cell>
          <cell r="AA81">
            <v>7422681.0185566898</v>
          </cell>
          <cell r="AH81">
            <v>231958.78182989656</v>
          </cell>
        </row>
        <row r="82">
          <cell r="A82" t="str">
            <v>341568_458837</v>
          </cell>
          <cell r="B82">
            <v>341568</v>
          </cell>
          <cell r="C82">
            <v>458837</v>
          </cell>
          <cell r="D82" t="str">
            <v>In-Orbit</v>
          </cell>
          <cell r="J82" t="str">
            <v>LEO</v>
          </cell>
          <cell r="L82">
            <v>46144</v>
          </cell>
          <cell r="M82" t="str">
            <v>Maxar Space Systems</v>
          </cell>
          <cell r="V82" t="str">
            <v>FUL</v>
          </cell>
          <cell r="X82" t="str">
            <v>WORLDVIEW LEGION-1</v>
          </cell>
          <cell r="AA82">
            <v>4020619.7871133899</v>
          </cell>
          <cell r="AH82">
            <v>125644.36834729344</v>
          </cell>
        </row>
        <row r="83">
          <cell r="A83" t="str">
            <v>341568_459135</v>
          </cell>
          <cell r="B83">
            <v>341568</v>
          </cell>
          <cell r="C83">
            <v>459135</v>
          </cell>
          <cell r="D83" t="str">
            <v>In-Orbit</v>
          </cell>
          <cell r="J83" t="str">
            <v>LEO</v>
          </cell>
          <cell r="L83">
            <v>46144</v>
          </cell>
          <cell r="M83" t="str">
            <v>Maxar Space Systems</v>
          </cell>
          <cell r="V83" t="str">
            <v>FUL</v>
          </cell>
          <cell r="X83" t="str">
            <v>WORLDVIEW LEGION-2</v>
          </cell>
          <cell r="AA83">
            <v>4020619.7871133899</v>
          </cell>
          <cell r="AH83">
            <v>125644.36834729344</v>
          </cell>
        </row>
        <row r="84">
          <cell r="A84" t="str">
            <v>341568_459136</v>
          </cell>
          <cell r="B84">
            <v>341568</v>
          </cell>
          <cell r="C84">
            <v>459136</v>
          </cell>
          <cell r="D84" t="str">
            <v>In-Orbit</v>
          </cell>
          <cell r="J84" t="str">
            <v>LEO</v>
          </cell>
          <cell r="L84">
            <v>46144</v>
          </cell>
          <cell r="M84" t="str">
            <v>Maxar Space Systems</v>
          </cell>
          <cell r="V84" t="str">
            <v>FUL</v>
          </cell>
          <cell r="X84" t="str">
            <v>WORLDVIEW LEGION-3</v>
          </cell>
          <cell r="AA84">
            <v>4020619.7871133899</v>
          </cell>
          <cell r="AH84">
            <v>125644.36834729344</v>
          </cell>
        </row>
        <row r="85">
          <cell r="A85" t="str">
            <v>341568_459137</v>
          </cell>
          <cell r="B85">
            <v>341568</v>
          </cell>
          <cell r="C85">
            <v>459137</v>
          </cell>
          <cell r="D85" t="str">
            <v>In-Orbit</v>
          </cell>
          <cell r="J85" t="str">
            <v>LEO</v>
          </cell>
          <cell r="L85">
            <v>46144</v>
          </cell>
          <cell r="M85" t="str">
            <v>Maxar Space Systems</v>
          </cell>
          <cell r="V85" t="str">
            <v>FUL</v>
          </cell>
          <cell r="X85" t="str">
            <v>WORLDVIEW LEGION-4</v>
          </cell>
          <cell r="AA85">
            <v>4020619.7871133899</v>
          </cell>
          <cell r="AH85">
            <v>125644.36834729344</v>
          </cell>
        </row>
        <row r="86">
          <cell r="A86" t="str">
            <v>342462_460214</v>
          </cell>
          <cell r="B86">
            <v>342462</v>
          </cell>
          <cell r="C86">
            <v>460214</v>
          </cell>
          <cell r="D86" t="str">
            <v>In-Orbit</v>
          </cell>
          <cell r="J86" t="str">
            <v>LEO</v>
          </cell>
          <cell r="L86">
            <v>46140</v>
          </cell>
          <cell r="M86" t="str">
            <v>Airbus Defence and Space (Toulouse)</v>
          </cell>
          <cell r="V86" t="str">
            <v>FIID</v>
          </cell>
          <cell r="X86" t="str">
            <v>PLEIADES NEO 3</v>
          </cell>
          <cell r="AA86">
            <v>10003270.3710598</v>
          </cell>
          <cell r="AH86">
            <v>312602.19909561874</v>
          </cell>
        </row>
        <row r="87">
          <cell r="A87" t="str">
            <v>342462_460219</v>
          </cell>
          <cell r="B87">
            <v>342462</v>
          </cell>
          <cell r="C87">
            <v>460219</v>
          </cell>
          <cell r="D87" t="str">
            <v>In-Orbit</v>
          </cell>
          <cell r="J87" t="str">
            <v>LEO</v>
          </cell>
          <cell r="L87">
            <v>46140</v>
          </cell>
          <cell r="M87" t="str">
            <v>Airbus Defence and Space (Stevenage)</v>
          </cell>
          <cell r="V87" t="str">
            <v>FIID</v>
          </cell>
          <cell r="X87" t="str">
            <v>PLEIADES NEO 4</v>
          </cell>
          <cell r="AA87">
            <v>10003270.3710598</v>
          </cell>
          <cell r="AH87">
            <v>312602.19909561874</v>
          </cell>
        </row>
        <row r="88">
          <cell r="A88" t="str">
            <v>343722_463279</v>
          </cell>
          <cell r="B88">
            <v>343722</v>
          </cell>
          <cell r="C88">
            <v>463279</v>
          </cell>
          <cell r="D88" t="str">
            <v>In-Orbit</v>
          </cell>
          <cell r="J88" t="str">
            <v>GEO-GSO</v>
          </cell>
          <cell r="L88">
            <v>46179</v>
          </cell>
          <cell r="M88" t="str">
            <v>Thales Alenia Space France (Cannes)</v>
          </cell>
          <cell r="V88" t="str">
            <v>FIID</v>
          </cell>
          <cell r="X88" t="str">
            <v>AMAZONAS NEXUS</v>
          </cell>
          <cell r="AA88">
            <v>28126299.2221421</v>
          </cell>
          <cell r="AH88">
            <v>878946.85069194052</v>
          </cell>
        </row>
        <row r="89">
          <cell r="A89" t="str">
            <v>343724_463281</v>
          </cell>
          <cell r="B89">
            <v>343724</v>
          </cell>
          <cell r="C89">
            <v>463281</v>
          </cell>
          <cell r="D89" t="str">
            <v>In-Orbit</v>
          </cell>
          <cell r="J89" t="str">
            <v>GEO-GSO</v>
          </cell>
          <cell r="L89">
            <v>46169</v>
          </cell>
          <cell r="M89" t="str">
            <v>Thales Alenia Space France (Cannes)</v>
          </cell>
          <cell r="V89" t="str">
            <v>FUL</v>
          </cell>
          <cell r="X89" t="str">
            <v>INMARSAT 5-F5 (INMARSAT GX-5)</v>
          </cell>
          <cell r="AA89">
            <v>10816672.5592917</v>
          </cell>
          <cell r="AH89">
            <v>338021.01747786562</v>
          </cell>
        </row>
        <row r="90">
          <cell r="A90" t="str">
            <v>343724_463282</v>
          </cell>
          <cell r="B90">
            <v>343724</v>
          </cell>
          <cell r="C90">
            <v>463282</v>
          </cell>
          <cell r="D90" t="str">
            <v>In-Orbit</v>
          </cell>
          <cell r="J90" t="str">
            <v>GEO-GSO</v>
          </cell>
          <cell r="L90">
            <v>46203</v>
          </cell>
          <cell r="M90" t="str">
            <v>Thales Alenia Space France (Cannes)</v>
          </cell>
          <cell r="V90" t="str">
            <v>FUL</v>
          </cell>
          <cell r="X90" t="str">
            <v>HELLAS-SAT 3/INMARSAT-S-EAN</v>
          </cell>
          <cell r="AA90">
            <v>7621566.7914210996</v>
          </cell>
          <cell r="AH90">
            <v>238173.96223190936</v>
          </cell>
        </row>
        <row r="91">
          <cell r="A91" t="str">
            <v>343724_463283</v>
          </cell>
          <cell r="B91">
            <v>343724</v>
          </cell>
          <cell r="C91">
            <v>463283</v>
          </cell>
          <cell r="D91" t="str">
            <v>In-Orbit</v>
          </cell>
          <cell r="J91" t="str">
            <v>GEO-GSO</v>
          </cell>
          <cell r="L91">
            <v>46203</v>
          </cell>
          <cell r="M91" t="str">
            <v>Thales Alenia Space France (Toulouse)</v>
          </cell>
          <cell r="V91" t="str">
            <v>FUL</v>
          </cell>
          <cell r="X91" t="str">
            <v>ALPHASAT I-XL</v>
          </cell>
          <cell r="AA91">
            <v>6529238.3396333996</v>
          </cell>
          <cell r="AH91">
            <v>204038.69811354371</v>
          </cell>
        </row>
        <row r="92">
          <cell r="A92" t="str">
            <v>343724_463284</v>
          </cell>
          <cell r="B92">
            <v>343724</v>
          </cell>
          <cell r="C92">
            <v>463284</v>
          </cell>
          <cell r="D92" t="str">
            <v>In-Orbit</v>
          </cell>
          <cell r="J92" t="str">
            <v>GEO-GSO</v>
          </cell>
          <cell r="L92">
            <v>46203</v>
          </cell>
          <cell r="M92" t="str">
            <v>Boeing Satellite Systems Inc.</v>
          </cell>
          <cell r="V92" t="str">
            <v>FUL</v>
          </cell>
          <cell r="X92" t="str">
            <v>INMARSAT 5-F4 (INMARSAT GX-4)</v>
          </cell>
          <cell r="AA92">
            <v>13126283.4832775</v>
          </cell>
          <cell r="AH92">
            <v>410196.35885242186</v>
          </cell>
        </row>
        <row r="93">
          <cell r="A93" t="str">
            <v>343724_463285</v>
          </cell>
          <cell r="B93">
            <v>343724</v>
          </cell>
          <cell r="C93">
            <v>463285</v>
          </cell>
          <cell r="D93" t="str">
            <v>In-Orbit</v>
          </cell>
          <cell r="J93" t="str">
            <v>GEO-GSO</v>
          </cell>
          <cell r="L93">
            <v>46203</v>
          </cell>
          <cell r="M93" t="str">
            <v>Boeing Satellite Systems Inc.</v>
          </cell>
          <cell r="V93" t="str">
            <v>FUL</v>
          </cell>
          <cell r="X93" t="str">
            <v>INMARSAT 5-F3 (INMARSAT GX-3)</v>
          </cell>
          <cell r="AA93">
            <v>9550287.2005776893</v>
          </cell>
          <cell r="AH93">
            <v>298446.47501805279</v>
          </cell>
        </row>
        <row r="94">
          <cell r="A94" t="str">
            <v>343724_463286</v>
          </cell>
          <cell r="B94">
            <v>343724</v>
          </cell>
          <cell r="C94">
            <v>463286</v>
          </cell>
          <cell r="D94" t="str">
            <v>In-Orbit</v>
          </cell>
          <cell r="J94" t="str">
            <v>GEO-GSO</v>
          </cell>
          <cell r="L94">
            <v>46203</v>
          </cell>
          <cell r="M94" t="str">
            <v>Boeing Satellite Systems Inc.</v>
          </cell>
          <cell r="V94" t="str">
            <v>FUL</v>
          </cell>
          <cell r="X94" t="str">
            <v>INMARSAT 5-F2 (INMARSAT GX-2)</v>
          </cell>
          <cell r="AA94">
            <v>9334080.6029998995</v>
          </cell>
          <cell r="AH94">
            <v>291690.01884374686</v>
          </cell>
        </row>
        <row r="95">
          <cell r="A95" t="str">
            <v>343724_463287</v>
          </cell>
          <cell r="B95">
            <v>343724</v>
          </cell>
          <cell r="C95">
            <v>463287</v>
          </cell>
          <cell r="D95" t="str">
            <v>In-Orbit</v>
          </cell>
          <cell r="J95" t="str">
            <v>GEO-GSO</v>
          </cell>
          <cell r="L95">
            <v>46203</v>
          </cell>
          <cell r="M95" t="str">
            <v>Boeing Satellite Systems Inc.</v>
          </cell>
          <cell r="V95" t="str">
            <v>FUL</v>
          </cell>
          <cell r="X95" t="str">
            <v>INMARSAT 5-F1 (INMARSAT GX-1)</v>
          </cell>
          <cell r="AA95">
            <v>8205132.9760154998</v>
          </cell>
          <cell r="AH95">
            <v>256410.4055004844</v>
          </cell>
        </row>
        <row r="96">
          <cell r="A96" t="str">
            <v>343724_463288</v>
          </cell>
          <cell r="B96">
            <v>343724</v>
          </cell>
          <cell r="C96">
            <v>463288</v>
          </cell>
          <cell r="D96" t="str">
            <v>In-Orbit</v>
          </cell>
          <cell r="J96" t="str">
            <v>GEO-GSO</v>
          </cell>
          <cell r="L96">
            <v>46203</v>
          </cell>
          <cell r="M96" t="str">
            <v>Airbus Defence and Space (Toulouse)</v>
          </cell>
          <cell r="V96" t="str">
            <v>FUL</v>
          </cell>
          <cell r="X96" t="str">
            <v>INMARSAT 6-F1</v>
          </cell>
          <cell r="AA96">
            <v>19617551.7198814</v>
          </cell>
          <cell r="AH96">
            <v>613048.49124629376</v>
          </cell>
        </row>
        <row r="97">
          <cell r="A97" t="str">
            <v>341568_473581</v>
          </cell>
          <cell r="B97">
            <v>341568</v>
          </cell>
          <cell r="C97">
            <v>473581</v>
          </cell>
          <cell r="D97" t="str">
            <v>In-Orbit</v>
          </cell>
          <cell r="J97" t="str">
            <v>LEO</v>
          </cell>
          <cell r="L97">
            <v>46144</v>
          </cell>
          <cell r="M97" t="str">
            <v>Maxar Space Systems</v>
          </cell>
          <cell r="V97" t="str">
            <v>FUL</v>
          </cell>
          <cell r="X97" t="str">
            <v>WORLDVIEW LEGION-2</v>
          </cell>
          <cell r="AA97">
            <v>4020619.7871133899</v>
          </cell>
          <cell r="AH97">
            <v>125644.36834729344</v>
          </cell>
        </row>
        <row r="98">
          <cell r="A98" t="str">
            <v>341568_473582</v>
          </cell>
          <cell r="B98">
            <v>341568</v>
          </cell>
          <cell r="C98">
            <v>473582</v>
          </cell>
          <cell r="D98" t="str">
            <v>In-Orbit</v>
          </cell>
          <cell r="J98" t="str">
            <v>LEO</v>
          </cell>
          <cell r="L98">
            <v>46144</v>
          </cell>
          <cell r="M98" t="str">
            <v>Maxar Space Systems</v>
          </cell>
          <cell r="V98" t="str">
            <v>FUL</v>
          </cell>
          <cell r="X98" t="str">
            <v>WORLDVIEW LEGION-3</v>
          </cell>
          <cell r="AA98">
            <v>4020619.7871133899</v>
          </cell>
          <cell r="AH98">
            <v>125644.36834729344</v>
          </cell>
        </row>
        <row r="99">
          <cell r="A99" t="str">
            <v>341568_473583</v>
          </cell>
          <cell r="B99">
            <v>341568</v>
          </cell>
          <cell r="C99">
            <v>473583</v>
          </cell>
          <cell r="D99" t="str">
            <v>In-Orbit</v>
          </cell>
          <cell r="J99" t="str">
            <v>LEO</v>
          </cell>
          <cell r="L99">
            <v>46144</v>
          </cell>
          <cell r="M99" t="str">
            <v>Maxar Space Systems</v>
          </cell>
          <cell r="V99" t="str">
            <v>FUL</v>
          </cell>
          <cell r="X99" t="str">
            <v>WORLDVIEW LEGION-4</v>
          </cell>
          <cell r="AA99">
            <v>4020619.7871133899</v>
          </cell>
          <cell r="AH99">
            <v>125644.36834729344</v>
          </cell>
        </row>
        <row r="100">
          <cell r="A100" t="str">
            <v>341568_473584</v>
          </cell>
          <cell r="B100">
            <v>341568</v>
          </cell>
          <cell r="C100">
            <v>473584</v>
          </cell>
          <cell r="D100" t="str">
            <v>In-Orbit</v>
          </cell>
          <cell r="J100" t="str">
            <v>LEO</v>
          </cell>
          <cell r="L100">
            <v>46144</v>
          </cell>
          <cell r="M100" t="str">
            <v>Maxar Space Systems</v>
          </cell>
          <cell r="V100" t="str">
            <v>FUL</v>
          </cell>
          <cell r="X100" t="str">
            <v>WORLDVIEW LEGION-1</v>
          </cell>
          <cell r="AA100">
            <v>4020619.7871133899</v>
          </cell>
          <cell r="AH100">
            <v>125644.36834729344</v>
          </cell>
        </row>
        <row r="101">
          <cell r="A101" t="str">
            <v>350998_477970</v>
          </cell>
          <cell r="B101">
            <v>350998</v>
          </cell>
          <cell r="C101">
            <v>477970</v>
          </cell>
          <cell r="D101" t="str">
            <v>In-Orbit</v>
          </cell>
          <cell r="J101" t="str">
            <v>GEO-GSO</v>
          </cell>
          <cell r="L101">
            <v>46245</v>
          </cell>
          <cell r="M101" t="str">
            <v>NGIS (Northrop Grumman Innovation Systems)</v>
          </cell>
          <cell r="V101" t="str">
            <v>FIID</v>
          </cell>
          <cell r="X101" t="str">
            <v>ASBM 1 (NORWAY)</v>
          </cell>
          <cell r="AA101">
            <v>3092820.6134019899</v>
          </cell>
          <cell r="AH101">
            <v>96650.644168812199</v>
          </cell>
        </row>
        <row r="102">
          <cell r="A102" t="str">
            <v>351875_479568</v>
          </cell>
          <cell r="B102">
            <v>351875</v>
          </cell>
          <cell r="C102">
            <v>479568</v>
          </cell>
          <cell r="D102" t="str">
            <v>In-Orbit</v>
          </cell>
          <cell r="J102" t="str">
            <v>GEO-GSO</v>
          </cell>
          <cell r="L102">
            <v>46239</v>
          </cell>
          <cell r="M102" t="str">
            <v>OHB-SYSTEM AG (HQ)</v>
          </cell>
          <cell r="V102" t="str">
            <v>FUL</v>
          </cell>
          <cell r="X102" t="str">
            <v>EDRS C (HYLAS 3)</v>
          </cell>
          <cell r="AA102">
            <v>5257732.5685566999</v>
          </cell>
          <cell r="AH102">
            <v>164304.14276739687</v>
          </cell>
        </row>
        <row r="103">
          <cell r="A103" t="str">
            <v>356083_484966</v>
          </cell>
          <cell r="B103">
            <v>356083</v>
          </cell>
          <cell r="C103">
            <v>484966</v>
          </cell>
          <cell r="D103" t="str">
            <v>In-Orbit</v>
          </cell>
          <cell r="J103" t="str">
            <v>GEO-GSO</v>
          </cell>
          <cell r="L103">
            <v>46313</v>
          </cell>
          <cell r="M103" t="str">
            <v>SSL (Space Systems/Loral)</v>
          </cell>
          <cell r="V103" t="str">
            <v>FUL</v>
          </cell>
          <cell r="X103" t="str">
            <v>VIASAT-1</v>
          </cell>
          <cell r="AA103">
            <v>5608052.1556016998</v>
          </cell>
          <cell r="AH103">
            <v>175251.62986255312</v>
          </cell>
        </row>
        <row r="104">
          <cell r="A104" t="str">
            <v>356083_484967</v>
          </cell>
          <cell r="B104">
            <v>356083</v>
          </cell>
          <cell r="C104">
            <v>484967</v>
          </cell>
          <cell r="D104" t="str">
            <v>In-Orbit</v>
          </cell>
          <cell r="J104" t="str">
            <v>GEO-GSO</v>
          </cell>
          <cell r="L104">
            <v>46313</v>
          </cell>
          <cell r="M104" t="str">
            <v>Astrium Satellites SAS (Toulouse) (Part of EADS)</v>
          </cell>
          <cell r="V104" t="str">
            <v>FUL</v>
          </cell>
          <cell r="X104" t="str">
            <v>KA-SAT</v>
          </cell>
          <cell r="AA104">
            <v>4521747.2089585997</v>
          </cell>
          <cell r="AH104">
            <v>141304.60027995621</v>
          </cell>
        </row>
        <row r="105">
          <cell r="A105" t="str">
            <v>356083_484968</v>
          </cell>
          <cell r="B105">
            <v>356083</v>
          </cell>
          <cell r="C105">
            <v>484968</v>
          </cell>
          <cell r="D105" t="str">
            <v>In-Orbit</v>
          </cell>
          <cell r="J105" t="str">
            <v>GEO-GSO</v>
          </cell>
          <cell r="L105">
            <v>46313</v>
          </cell>
          <cell r="M105" t="str">
            <v>Boeing Satellite Systems Inc.</v>
          </cell>
          <cell r="V105" t="str">
            <v>FUL</v>
          </cell>
          <cell r="X105" t="str">
            <v>VIASAT-2</v>
          </cell>
          <cell r="AA105">
            <v>9278349.8814432994</v>
          </cell>
          <cell r="AH105">
            <v>289948.4337951031</v>
          </cell>
        </row>
        <row r="106">
          <cell r="A106" t="str">
            <v>356130_485048</v>
          </cell>
          <cell r="B106">
            <v>356130</v>
          </cell>
          <cell r="C106">
            <v>485048</v>
          </cell>
          <cell r="D106" t="str">
            <v>In-Orbit</v>
          </cell>
          <cell r="J106" t="str">
            <v>GEO-GSO</v>
          </cell>
          <cell r="L106">
            <v>46326</v>
          </cell>
          <cell r="M106" t="str">
            <v>SSL (Space Systems/Loral)</v>
          </cell>
          <cell r="V106" t="str">
            <v>FUL</v>
          </cell>
          <cell r="X106" t="str">
            <v>BSAT 4A</v>
          </cell>
          <cell r="AA106">
            <v>2544859.32882442</v>
          </cell>
          <cell r="AH106">
            <v>79526.854025763125</v>
          </cell>
        </row>
        <row r="107">
          <cell r="A107" t="str">
            <v>356130_485050</v>
          </cell>
          <cell r="B107">
            <v>356130</v>
          </cell>
          <cell r="C107">
            <v>485050</v>
          </cell>
          <cell r="D107" t="str">
            <v>In-Orbit</v>
          </cell>
          <cell r="J107" t="str">
            <v>GEO-GSO</v>
          </cell>
          <cell r="L107">
            <v>46326</v>
          </cell>
          <cell r="M107" t="str">
            <v>SSL (Space Systems/Loral)</v>
          </cell>
          <cell r="V107" t="str">
            <v>FUL</v>
          </cell>
          <cell r="X107" t="str">
            <v>BSAT 4B</v>
          </cell>
          <cell r="AA107">
            <v>2939010.0213085599</v>
          </cell>
          <cell r="AH107">
            <v>91844.063165892483</v>
          </cell>
        </row>
        <row r="108">
          <cell r="A108" t="str">
            <v>356133_485057</v>
          </cell>
          <cell r="B108">
            <v>356133</v>
          </cell>
          <cell r="C108">
            <v>485057</v>
          </cell>
          <cell r="D108" t="str">
            <v>In-Orbit</v>
          </cell>
          <cell r="J108" t="str">
            <v>LEO</v>
          </cell>
          <cell r="L108">
            <v>46303</v>
          </cell>
          <cell r="M108" t="str">
            <v>BALL AEROSPACE AND TECHNOLOGIES CORP (HQ)</v>
          </cell>
          <cell r="V108" t="str">
            <v>FUL</v>
          </cell>
          <cell r="X108" t="str">
            <v>WORLDVIEW 1</v>
          </cell>
          <cell r="AA108">
            <v>2164947.8314433</v>
          </cell>
          <cell r="AH108">
            <v>67654.619732603125</v>
          </cell>
        </row>
        <row r="109">
          <cell r="A109" t="str">
            <v>356133_485059</v>
          </cell>
          <cell r="B109">
            <v>356133</v>
          </cell>
          <cell r="C109">
            <v>485059</v>
          </cell>
          <cell r="D109" t="str">
            <v>In-Orbit</v>
          </cell>
          <cell r="J109" t="str">
            <v>LEO</v>
          </cell>
          <cell r="L109">
            <v>46303</v>
          </cell>
          <cell r="M109" t="str">
            <v>BALL AEROSPACE AND TECHNOLOGIES CORP (HQ)</v>
          </cell>
          <cell r="V109" t="str">
            <v>FUL</v>
          </cell>
          <cell r="X109" t="str">
            <v>WORLDVIEW 3</v>
          </cell>
          <cell r="AA109">
            <v>3865978.7564432998</v>
          </cell>
          <cell r="AH109">
            <v>120811.83613885312</v>
          </cell>
        </row>
        <row r="110">
          <cell r="A110" t="str">
            <v>356133_485060</v>
          </cell>
          <cell r="B110">
            <v>356133</v>
          </cell>
          <cell r="C110">
            <v>485060</v>
          </cell>
          <cell r="D110" t="str">
            <v>In-Orbit</v>
          </cell>
          <cell r="J110" t="str">
            <v>LEO</v>
          </cell>
          <cell r="L110">
            <v>46303</v>
          </cell>
          <cell r="M110" t="str">
            <v>BALL AEROSPACE AND TECHNOLOGIES CORP (HQ)</v>
          </cell>
          <cell r="V110" t="str">
            <v>FUL</v>
          </cell>
          <cell r="X110" t="str">
            <v>WORLDVIEW 2</v>
          </cell>
          <cell r="AA110">
            <v>2164947.8314433</v>
          </cell>
          <cell r="AH110">
            <v>67654.619732603125</v>
          </cell>
        </row>
        <row r="111">
          <cell r="A111" t="str">
            <v>357074_486815</v>
          </cell>
          <cell r="B111">
            <v>357074</v>
          </cell>
          <cell r="C111">
            <v>486815</v>
          </cell>
          <cell r="D111" t="str">
            <v>L + 12 Months</v>
          </cell>
          <cell r="J111" t="str">
            <v>GEO-GSO</v>
          </cell>
          <cell r="L111">
            <v>46340</v>
          </cell>
          <cell r="M111" t="str">
            <v>Boeing Satellite Systems Inc.</v>
          </cell>
          <cell r="V111" t="str">
            <v>FUL</v>
          </cell>
          <cell r="X111" t="str">
            <v>VIASAT-3 F2</v>
          </cell>
          <cell r="AA111">
            <v>18556701</v>
          </cell>
          <cell r="AH111">
            <v>579896.90624999988</v>
          </cell>
        </row>
        <row r="112">
          <cell r="A112" t="str">
            <v>349114_488489</v>
          </cell>
          <cell r="B112">
            <v>349114</v>
          </cell>
          <cell r="C112">
            <v>488489</v>
          </cell>
          <cell r="D112" t="str">
            <v>In-Orbit</v>
          </cell>
          <cell r="J112" t="str">
            <v>GEO-GSO</v>
          </cell>
          <cell r="L112">
            <v>46326</v>
          </cell>
          <cell r="M112" t="str">
            <v>Mitsubishi Electric Corp (MELCO)</v>
          </cell>
          <cell r="V112" t="str">
            <v>FUL</v>
          </cell>
          <cell r="X112" t="str">
            <v>ES'HAIL 2</v>
          </cell>
          <cell r="AA112">
            <v>4948456.0742267901</v>
          </cell>
          <cell r="AH112">
            <v>154639.25231958719</v>
          </cell>
        </row>
        <row r="113">
          <cell r="A113" t="str">
            <v>349114_488490</v>
          </cell>
          <cell r="B113">
            <v>349114</v>
          </cell>
          <cell r="C113">
            <v>488490</v>
          </cell>
          <cell r="D113" t="str">
            <v>In-Orbit</v>
          </cell>
          <cell r="J113" t="str">
            <v>GEO-GSO</v>
          </cell>
          <cell r="L113">
            <v>46326</v>
          </cell>
          <cell r="M113" t="str">
            <v>SSL (Space Systems/Loral)</v>
          </cell>
          <cell r="V113" t="str">
            <v>FUL</v>
          </cell>
          <cell r="X113" t="str">
            <v>ES'HAIL 1</v>
          </cell>
          <cell r="AA113">
            <v>6680409.8857731996</v>
          </cell>
          <cell r="AH113">
            <v>208762.80893041249</v>
          </cell>
        </row>
        <row r="114">
          <cell r="A114" t="str">
            <v>349114_489316</v>
          </cell>
          <cell r="B114">
            <v>349114</v>
          </cell>
          <cell r="C114">
            <v>489316</v>
          </cell>
          <cell r="D114" t="str">
            <v>In-Orbit</v>
          </cell>
          <cell r="J114" t="str">
            <v>GEO-GSO</v>
          </cell>
          <cell r="L114">
            <v>46326</v>
          </cell>
          <cell r="M114" t="str">
            <v>Mitsubishi Electric Corp (MELCO)</v>
          </cell>
          <cell r="V114" t="str">
            <v>FUL</v>
          </cell>
          <cell r="X114" t="str">
            <v>ES'HAIL 2</v>
          </cell>
          <cell r="AA114">
            <v>4948456.0742267901</v>
          </cell>
          <cell r="AH114">
            <v>154639.25231958719</v>
          </cell>
        </row>
        <row r="115">
          <cell r="A115" t="str">
            <v>349114_489317</v>
          </cell>
          <cell r="B115">
            <v>349114</v>
          </cell>
          <cell r="C115">
            <v>489317</v>
          </cell>
          <cell r="D115" t="str">
            <v>In-Orbit</v>
          </cell>
          <cell r="J115" t="str">
            <v>GEO-GSO</v>
          </cell>
          <cell r="L115">
            <v>46326</v>
          </cell>
          <cell r="M115" t="str">
            <v>SSL (Space Systems/Loral)</v>
          </cell>
          <cell r="V115" t="str">
            <v>FUL</v>
          </cell>
          <cell r="X115" t="str">
            <v>ES'HAIL 1</v>
          </cell>
          <cell r="AA115">
            <v>6680409.8857731996</v>
          </cell>
          <cell r="AH115">
            <v>208762.80893041249</v>
          </cell>
        </row>
        <row r="116">
          <cell r="A116" t="str">
            <v>359147_489926</v>
          </cell>
          <cell r="B116">
            <v>359147</v>
          </cell>
          <cell r="C116">
            <v>489926</v>
          </cell>
          <cell r="D116" t="str">
            <v>L + 12 Months</v>
          </cell>
          <cell r="J116" t="str">
            <v>LEO</v>
          </cell>
          <cell r="L116">
            <v>46357</v>
          </cell>
          <cell r="M116" t="str">
            <v>KARI - Korea Aerospace Research Institute</v>
          </cell>
          <cell r="V116" t="str">
            <v>FUL</v>
          </cell>
          <cell r="X116" t="str">
            <v>KOMPSAT 7</v>
          </cell>
          <cell r="AA116">
            <v>2003355.3188081901</v>
          </cell>
          <cell r="AH116">
            <v>62604.853712755932</v>
          </cell>
        </row>
        <row r="117">
          <cell r="A117" t="str">
            <v>360735_492379</v>
          </cell>
          <cell r="B117">
            <v>360735</v>
          </cell>
          <cell r="C117">
            <v>492379</v>
          </cell>
          <cell r="D117" t="str">
            <v>In-Orbit</v>
          </cell>
          <cell r="J117" t="str">
            <v>GEO-GSO</v>
          </cell>
          <cell r="L117">
            <v>46351</v>
          </cell>
          <cell r="M117" t="str">
            <v>Airbus Defence and Space (Toulouse)</v>
          </cell>
          <cell r="V117" t="str">
            <v>FUL</v>
          </cell>
          <cell r="X117" t="str">
            <v>TIBA 1 (NAVISAT 12A)</v>
          </cell>
          <cell r="AA117">
            <v>21459222.698865999</v>
          </cell>
          <cell r="AH117">
            <v>670600.70933956245</v>
          </cell>
        </row>
        <row r="118">
          <cell r="A118" t="str">
            <v>360737_492382</v>
          </cell>
          <cell r="B118">
            <v>360737</v>
          </cell>
          <cell r="C118">
            <v>492382</v>
          </cell>
          <cell r="D118" t="str">
            <v>In-Orbit</v>
          </cell>
          <cell r="J118" t="str">
            <v>GEO-GSO</v>
          </cell>
          <cell r="L118">
            <v>46386</v>
          </cell>
          <cell r="M118" t="str">
            <v>Orbital Sciences Corporation</v>
          </cell>
          <cell r="V118" t="str">
            <v>FUL</v>
          </cell>
          <cell r="X118" t="str">
            <v>MEASAT 3A (1R)</v>
          </cell>
          <cell r="AA118">
            <v>494845.36</v>
          </cell>
          <cell r="AH118">
            <v>15463.9175</v>
          </cell>
        </row>
        <row r="119">
          <cell r="A119" t="str">
            <v>360737_492383</v>
          </cell>
          <cell r="B119">
            <v>360737</v>
          </cell>
          <cell r="C119">
            <v>492383</v>
          </cell>
          <cell r="D119" t="str">
            <v>In-Orbit</v>
          </cell>
          <cell r="J119" t="str">
            <v>GEO-GSO</v>
          </cell>
          <cell r="L119">
            <v>46386</v>
          </cell>
          <cell r="M119" t="str">
            <v>Airbus Defence and Space (Toulouse)</v>
          </cell>
          <cell r="V119" t="str">
            <v>FUL</v>
          </cell>
          <cell r="X119" t="str">
            <v>MEASAT 3B</v>
          </cell>
          <cell r="AA119">
            <v>2628865.9749999898</v>
          </cell>
          <cell r="AH119">
            <v>82152.061718749668</v>
          </cell>
        </row>
        <row r="120">
          <cell r="A120" t="str">
            <v>361505_494217</v>
          </cell>
          <cell r="B120">
            <v>361505</v>
          </cell>
          <cell r="C120">
            <v>494217</v>
          </cell>
          <cell r="D120" t="str">
            <v>In-Orbit</v>
          </cell>
          <cell r="J120" t="str">
            <v>GEO-GSO</v>
          </cell>
          <cell r="L120">
            <v>46387</v>
          </cell>
          <cell r="M120" t="str">
            <v>Airbus Defence and Space (Toulouse)</v>
          </cell>
          <cell r="V120" t="str">
            <v>FUL</v>
          </cell>
          <cell r="X120" t="str">
            <v>MEASAT 3D</v>
          </cell>
          <cell r="AA120">
            <v>3741030.9215999902</v>
          </cell>
          <cell r="AH120">
            <v>116907.21629999969</v>
          </cell>
        </row>
        <row r="121">
          <cell r="A121" t="str">
            <v>361505_494218</v>
          </cell>
          <cell r="B121">
            <v>361505</v>
          </cell>
          <cell r="C121">
            <v>494218</v>
          </cell>
          <cell r="D121" t="str">
            <v>In-Orbit</v>
          </cell>
          <cell r="J121" t="str">
            <v>GEO-GSO</v>
          </cell>
          <cell r="L121">
            <v>46387</v>
          </cell>
          <cell r="M121" t="str">
            <v>Airbus Defence and Space (Toulouse)</v>
          </cell>
          <cell r="V121" t="str">
            <v>FUL</v>
          </cell>
          <cell r="X121" t="str">
            <v>MEASAT 3D</v>
          </cell>
          <cell r="AA121">
            <v>9248659.7784000002</v>
          </cell>
          <cell r="AH121">
            <v>289020.61807500001</v>
          </cell>
        </row>
        <row r="122">
          <cell r="A122" t="str">
            <v>361530_494323</v>
          </cell>
          <cell r="B122">
            <v>361530</v>
          </cell>
          <cell r="C122">
            <v>494323</v>
          </cell>
          <cell r="D122" t="str">
            <v>In-Orbit</v>
          </cell>
          <cell r="J122" t="str">
            <v>GEO-GSO</v>
          </cell>
          <cell r="L122">
            <v>46373</v>
          </cell>
          <cell r="M122" t="str">
            <v>Thales Alenia Space France (Cannes)</v>
          </cell>
          <cell r="V122" t="str">
            <v>FUL</v>
          </cell>
          <cell r="X122" t="str">
            <v>SATRIA</v>
          </cell>
          <cell r="AA122">
            <v>18739855.6388699</v>
          </cell>
          <cell r="AH122">
            <v>585620.48871468438</v>
          </cell>
        </row>
        <row r="123">
          <cell r="A123" t="str">
            <v>361682_494911</v>
          </cell>
          <cell r="B123">
            <v>361682</v>
          </cell>
          <cell r="C123">
            <v>494911</v>
          </cell>
          <cell r="D123" t="str">
            <v>In-Orbit</v>
          </cell>
          <cell r="J123" t="str">
            <v>GEO-GSO</v>
          </cell>
          <cell r="L123">
            <v>46345</v>
          </cell>
          <cell r="M123" t="str">
            <v>Mitsubishi Electric Corp (MELCO)</v>
          </cell>
          <cell r="V123" t="str">
            <v>FUL</v>
          </cell>
          <cell r="X123" t="str">
            <v>TURKSAT 4A</v>
          </cell>
          <cell r="AA123">
            <v>3517988.0353738</v>
          </cell>
          <cell r="AH123">
            <v>109937.12610543125</v>
          </cell>
        </row>
        <row r="124">
          <cell r="A124" t="str">
            <v>361682_494912</v>
          </cell>
          <cell r="B124">
            <v>361682</v>
          </cell>
          <cell r="C124">
            <v>494912</v>
          </cell>
          <cell r="D124" t="str">
            <v>In-Orbit</v>
          </cell>
          <cell r="J124" t="str">
            <v>GEO-GSO</v>
          </cell>
          <cell r="L124">
            <v>46345</v>
          </cell>
          <cell r="M124" t="str">
            <v>Airbus Defence and Space (Toulouse)</v>
          </cell>
          <cell r="V124" t="str">
            <v>FUL</v>
          </cell>
          <cell r="X124" t="str">
            <v>TURKSAT 5B</v>
          </cell>
          <cell r="AA124">
            <v>9526861.2212352995</v>
          </cell>
          <cell r="AH124">
            <v>297714.41316360311</v>
          </cell>
        </row>
        <row r="125">
          <cell r="A125" t="str">
            <v>361682_494913</v>
          </cell>
          <cell r="B125">
            <v>361682</v>
          </cell>
          <cell r="C125">
            <v>494913</v>
          </cell>
          <cell r="D125" t="str">
            <v>In-Orbit</v>
          </cell>
          <cell r="J125" t="str">
            <v>GEO-GSO</v>
          </cell>
          <cell r="L125">
            <v>46345</v>
          </cell>
          <cell r="M125" t="str">
            <v>Airbus Defence and Space (Toulouse)</v>
          </cell>
          <cell r="V125" t="str">
            <v>FUL</v>
          </cell>
          <cell r="X125" t="str">
            <v>TURKSAT 5A</v>
          </cell>
          <cell r="AA125">
            <v>9082562.4590891991</v>
          </cell>
          <cell r="AH125">
            <v>283830.07684653747</v>
          </cell>
        </row>
        <row r="126">
          <cell r="A126" t="str">
            <v>361682_494914</v>
          </cell>
          <cell r="B126">
            <v>361682</v>
          </cell>
          <cell r="C126">
            <v>494914</v>
          </cell>
          <cell r="D126" t="str">
            <v>In-Orbit</v>
          </cell>
          <cell r="J126" t="str">
            <v>GEO-GSO</v>
          </cell>
          <cell r="L126">
            <v>46345</v>
          </cell>
          <cell r="M126" t="str">
            <v>Mitsubishi Electric Corp (MELCO)</v>
          </cell>
          <cell r="V126" t="str">
            <v>FUL</v>
          </cell>
          <cell r="X126" t="str">
            <v>TURKSAT 4B</v>
          </cell>
          <cell r="AA126">
            <v>4597175.8686266998</v>
          </cell>
          <cell r="AH126">
            <v>143661.74589458434</v>
          </cell>
        </row>
        <row r="127">
          <cell r="A127" t="str">
            <v>361696_494972</v>
          </cell>
          <cell r="B127">
            <v>361696</v>
          </cell>
          <cell r="C127">
            <v>494972</v>
          </cell>
          <cell r="D127" t="str">
            <v>In-Orbit</v>
          </cell>
          <cell r="J127" t="str">
            <v>GEO-GSO</v>
          </cell>
          <cell r="L127">
            <v>46345</v>
          </cell>
          <cell r="M127" t="str">
            <v>Mitsubishi Electric Corp (MELCO)</v>
          </cell>
          <cell r="V127" t="str">
            <v>FUL</v>
          </cell>
          <cell r="X127" t="str">
            <v>TURKSAT 4A</v>
          </cell>
          <cell r="AA127">
            <v>1172662.8846435</v>
          </cell>
          <cell r="AH127">
            <v>36645.715145109374</v>
          </cell>
        </row>
        <row r="128">
          <cell r="A128" t="str">
            <v>361696_494973</v>
          </cell>
          <cell r="B128">
            <v>361696</v>
          </cell>
          <cell r="C128">
            <v>494973</v>
          </cell>
          <cell r="D128" t="str">
            <v>In-Orbit</v>
          </cell>
          <cell r="J128" t="str">
            <v>GEO-GSO</v>
          </cell>
          <cell r="L128">
            <v>46345</v>
          </cell>
          <cell r="M128" t="str">
            <v>Airbus Defence and Space (Toulouse)</v>
          </cell>
          <cell r="V128" t="str">
            <v>FUL</v>
          </cell>
          <cell r="X128" t="str">
            <v>TURKSAT 5B</v>
          </cell>
          <cell r="AA128">
            <v>3175620.6132639898</v>
          </cell>
          <cell r="AH128">
            <v>99238.144164499696</v>
          </cell>
        </row>
        <row r="129">
          <cell r="A129" t="str">
            <v>361696_494974</v>
          </cell>
          <cell r="B129">
            <v>361696</v>
          </cell>
          <cell r="C129">
            <v>494974</v>
          </cell>
          <cell r="D129" t="str">
            <v>In-Orbit</v>
          </cell>
          <cell r="J129" t="str">
            <v>GEO-GSO</v>
          </cell>
          <cell r="L129">
            <v>46345</v>
          </cell>
          <cell r="M129" t="str">
            <v>Airbus Defence and Space (Toulouse)</v>
          </cell>
          <cell r="V129" t="str">
            <v>FUL</v>
          </cell>
          <cell r="X129" t="str">
            <v>TURKSAT 5A</v>
          </cell>
          <cell r="AA129">
            <v>3027520.8196963998</v>
          </cell>
          <cell r="AH129">
            <v>94610.025615512481</v>
          </cell>
        </row>
        <row r="130">
          <cell r="A130" t="str">
            <v>361696_494975</v>
          </cell>
          <cell r="B130">
            <v>361696</v>
          </cell>
          <cell r="C130">
            <v>494975</v>
          </cell>
          <cell r="D130" t="str">
            <v>In-Orbit</v>
          </cell>
          <cell r="J130" t="str">
            <v>GEO-GSO</v>
          </cell>
          <cell r="L130">
            <v>46345</v>
          </cell>
          <cell r="M130" t="str">
            <v>Mitsubishi Electric Corp (MELCO)</v>
          </cell>
          <cell r="V130" t="str">
            <v>FUL</v>
          </cell>
          <cell r="X130" t="str">
            <v>TURKSAT 4B</v>
          </cell>
          <cell r="AA130">
            <v>1532391.9562088901</v>
          </cell>
          <cell r="AH130">
            <v>47887.248631527807</v>
          </cell>
        </row>
        <row r="131">
          <cell r="A131" t="str">
            <v>361813_495424</v>
          </cell>
          <cell r="B131">
            <v>361813</v>
          </cell>
          <cell r="C131">
            <v>495424</v>
          </cell>
          <cell r="D131" t="str">
            <v>In-Orbit</v>
          </cell>
          <cell r="J131" t="str">
            <v>LEO</v>
          </cell>
          <cell r="L131">
            <v>46362</v>
          </cell>
          <cell r="M131" t="str">
            <v>Airbus Defence and Space/Thales Alenia Space JOINT</v>
          </cell>
          <cell r="V131" t="str">
            <v>FUL</v>
          </cell>
          <cell r="X131" t="str">
            <v>FALCON EYE 2</v>
          </cell>
          <cell r="AA131">
            <v>7891909.7200426897</v>
          </cell>
          <cell r="AH131">
            <v>246622.17875133405</v>
          </cell>
        </row>
        <row r="132">
          <cell r="A132" t="str">
            <v>361838_495524</v>
          </cell>
          <cell r="B132">
            <v>361838</v>
          </cell>
          <cell r="C132">
            <v>495524</v>
          </cell>
          <cell r="D132" t="str">
            <v>In-Orbit</v>
          </cell>
          <cell r="J132" t="str">
            <v>GEO-GSO</v>
          </cell>
          <cell r="L132">
            <v>46334</v>
          </cell>
          <cell r="M132" t="str">
            <v>SSL (Space Systems/Loral)</v>
          </cell>
          <cell r="V132" t="str">
            <v>FUL</v>
          </cell>
          <cell r="X132" t="str">
            <v>STAR ONE D1</v>
          </cell>
          <cell r="AA132">
            <v>2428814.2227560999</v>
          </cell>
          <cell r="AH132">
            <v>75900.444461128121</v>
          </cell>
        </row>
        <row r="133">
          <cell r="A133" t="str">
            <v>361838_495525</v>
          </cell>
          <cell r="B133">
            <v>361838</v>
          </cell>
          <cell r="C133">
            <v>495525</v>
          </cell>
          <cell r="D133" t="str">
            <v>In-Orbit</v>
          </cell>
          <cell r="J133" t="str">
            <v>GEO-GSO</v>
          </cell>
          <cell r="L133">
            <v>46334</v>
          </cell>
          <cell r="M133" t="str">
            <v>SSL (Space Systems/Loral)</v>
          </cell>
          <cell r="V133" t="str">
            <v>FUL</v>
          </cell>
          <cell r="X133" t="str">
            <v>STAR ONE D2</v>
          </cell>
          <cell r="AA133">
            <v>16277709.869777599</v>
          </cell>
          <cell r="AH133">
            <v>508678.43343055004</v>
          </cell>
        </row>
        <row r="134">
          <cell r="A134" t="str">
            <v>362003_496098</v>
          </cell>
          <cell r="B134">
            <v>362003</v>
          </cell>
          <cell r="C134">
            <v>496098</v>
          </cell>
          <cell r="D134" t="str">
            <v>In-Orbit</v>
          </cell>
          <cell r="J134" t="str">
            <v>GEO-GSO</v>
          </cell>
          <cell r="L134">
            <v>46329</v>
          </cell>
          <cell r="M134" t="str">
            <v>SSL (Space Systems/Loral)</v>
          </cell>
          <cell r="V134" t="str">
            <v>FIID</v>
          </cell>
          <cell r="X134" t="str">
            <v>AMAZONAS 3</v>
          </cell>
          <cell r="AA134">
            <v>1482955.12364109</v>
          </cell>
          <cell r="AH134">
            <v>46342.347613784063</v>
          </cell>
        </row>
        <row r="135">
          <cell r="A135" t="str">
            <v>362003_496099</v>
          </cell>
          <cell r="B135">
            <v>362003</v>
          </cell>
          <cell r="C135">
            <v>496099</v>
          </cell>
          <cell r="D135" t="str">
            <v>In-Orbit</v>
          </cell>
          <cell r="J135" t="str">
            <v>GEO-GSO</v>
          </cell>
          <cell r="L135">
            <v>46329</v>
          </cell>
          <cell r="M135" t="str">
            <v>SSL (Space Systems/Loral)</v>
          </cell>
          <cell r="V135" t="str">
            <v>FIID</v>
          </cell>
          <cell r="X135" t="str">
            <v>HISPASAT 30W-6 (HISPASAT 1F)</v>
          </cell>
          <cell r="AA135">
            <v>7618716.1751617799</v>
          </cell>
          <cell r="AH135">
            <v>238084.88047380559</v>
          </cell>
        </row>
        <row r="136">
          <cell r="A136" t="str">
            <v>362003_496100</v>
          </cell>
          <cell r="B136">
            <v>362003</v>
          </cell>
          <cell r="C136">
            <v>496100</v>
          </cell>
          <cell r="D136" t="str">
            <v>In-Orbit</v>
          </cell>
          <cell r="J136" t="str">
            <v>GEO-GSO</v>
          </cell>
          <cell r="L136">
            <v>46329</v>
          </cell>
          <cell r="M136" t="str">
            <v>SSL (Space Systems/Loral)</v>
          </cell>
          <cell r="V136" t="str">
            <v>FIID</v>
          </cell>
          <cell r="X136" t="str">
            <v>AMAZONAS 5</v>
          </cell>
          <cell r="AA136">
            <v>3877050.83890505</v>
          </cell>
          <cell r="AH136">
            <v>121157.8387157828</v>
          </cell>
        </row>
        <row r="137">
          <cell r="A137" t="str">
            <v>362003_496102</v>
          </cell>
          <cell r="B137">
            <v>362003</v>
          </cell>
          <cell r="C137">
            <v>496102</v>
          </cell>
          <cell r="D137" t="str">
            <v>In-Orbit</v>
          </cell>
          <cell r="J137" t="str">
            <v>GEO-GSO</v>
          </cell>
          <cell r="L137">
            <v>46329</v>
          </cell>
          <cell r="M137" t="str">
            <v>SSL (Space Systems/Loral)</v>
          </cell>
          <cell r="V137" t="str">
            <v>FIID</v>
          </cell>
          <cell r="X137" t="str">
            <v>HISPASAT 30W-5 (HISPASAT 1E)</v>
          </cell>
          <cell r="AA137">
            <v>1908722.49728835</v>
          </cell>
          <cell r="AH137">
            <v>59647.578040260938</v>
          </cell>
        </row>
        <row r="138">
          <cell r="A138" t="str">
            <v>362037_496234</v>
          </cell>
          <cell r="B138">
            <v>362037</v>
          </cell>
          <cell r="C138">
            <v>496234</v>
          </cell>
          <cell r="D138" t="str">
            <v>In-Orbit</v>
          </cell>
          <cell r="J138" t="str">
            <v>GEO-GSO</v>
          </cell>
          <cell r="L138">
            <v>46334</v>
          </cell>
          <cell r="M138" t="str">
            <v>SSL (Space Systems/Loral)</v>
          </cell>
          <cell r="V138" t="str">
            <v>FUL</v>
          </cell>
          <cell r="X138" t="str">
            <v>STAR ONE C4</v>
          </cell>
          <cell r="AA138">
            <v>1324629.2761428</v>
          </cell>
          <cell r="AH138">
            <v>41394.6648794625</v>
          </cell>
        </row>
        <row r="139">
          <cell r="A139" t="str">
            <v>362037_496235</v>
          </cell>
          <cell r="B139">
            <v>362037</v>
          </cell>
          <cell r="C139">
            <v>496235</v>
          </cell>
          <cell r="D139" t="str">
            <v>In-Orbit</v>
          </cell>
          <cell r="J139" t="str">
            <v>GEO-GSO</v>
          </cell>
          <cell r="L139">
            <v>46334</v>
          </cell>
          <cell r="M139" t="str">
            <v>SSL (Space Systems/Loral)</v>
          </cell>
          <cell r="V139" t="str">
            <v>FUL</v>
          </cell>
          <cell r="X139" t="str">
            <v>STAR ONE D2</v>
          </cell>
          <cell r="AA139">
            <v>1940659.79057999</v>
          </cell>
          <cell r="AH139">
            <v>60645.618455624688</v>
          </cell>
        </row>
        <row r="140">
          <cell r="A140" t="str">
            <v>362037_496236</v>
          </cell>
          <cell r="B140">
            <v>362037</v>
          </cell>
          <cell r="C140">
            <v>496236</v>
          </cell>
          <cell r="D140" t="str">
            <v>In-Orbit</v>
          </cell>
          <cell r="J140" t="str">
            <v>GEO-GSO</v>
          </cell>
          <cell r="L140">
            <v>46334</v>
          </cell>
          <cell r="M140" t="str">
            <v>SSL (Space Systems/Loral)</v>
          </cell>
          <cell r="V140" t="str">
            <v>FUL</v>
          </cell>
          <cell r="X140" t="str">
            <v>STAR ONE D1</v>
          </cell>
          <cell r="AA140">
            <v>1940659.79057999</v>
          </cell>
          <cell r="AH140">
            <v>60645.618455624688</v>
          </cell>
        </row>
        <row r="141">
          <cell r="A141" t="str">
            <v>356133_501623</v>
          </cell>
          <cell r="B141">
            <v>356133</v>
          </cell>
          <cell r="C141">
            <v>501623</v>
          </cell>
          <cell r="D141" t="str">
            <v>In-Orbit</v>
          </cell>
          <cell r="J141" t="str">
            <v>LEO</v>
          </cell>
          <cell r="L141">
            <v>46303</v>
          </cell>
          <cell r="M141" t="str">
            <v>BALL AEROSPACE AND TECHNOLOGIES CORP (HQ)</v>
          </cell>
          <cell r="V141" t="str">
            <v>FUL</v>
          </cell>
          <cell r="X141" t="str">
            <v>WORLDVIEW 3</v>
          </cell>
          <cell r="AA141">
            <v>3865978.7564432998</v>
          </cell>
          <cell r="AH141">
            <v>120811.83613885312</v>
          </cell>
        </row>
        <row r="142">
          <cell r="A142" t="str">
            <v>356133_501624</v>
          </cell>
          <cell r="B142">
            <v>356133</v>
          </cell>
          <cell r="C142">
            <v>501624</v>
          </cell>
          <cell r="D142" t="str">
            <v>In-Orbit</v>
          </cell>
          <cell r="J142" t="str">
            <v>LEO</v>
          </cell>
          <cell r="L142">
            <v>46303</v>
          </cell>
          <cell r="M142" t="str">
            <v>BALL AEROSPACE AND TECHNOLOGIES CORP (HQ)</v>
          </cell>
          <cell r="V142" t="str">
            <v>FUL</v>
          </cell>
          <cell r="X142" t="str">
            <v>WORLDVIEW 2</v>
          </cell>
          <cell r="AA142">
            <v>2164947.8314433</v>
          </cell>
          <cell r="AH142">
            <v>67654.619732603125</v>
          </cell>
        </row>
        <row r="143">
          <cell r="A143" t="str">
            <v>356133_501625</v>
          </cell>
          <cell r="B143">
            <v>356133</v>
          </cell>
          <cell r="C143">
            <v>501625</v>
          </cell>
          <cell r="D143" t="str">
            <v>In-Orbit</v>
          </cell>
          <cell r="J143" t="str">
            <v>LEO</v>
          </cell>
          <cell r="L143">
            <v>46303</v>
          </cell>
          <cell r="M143" t="str">
            <v>BALL AEROSPACE AND TECHNOLOGIES CORP (HQ)</v>
          </cell>
          <cell r="V143" t="str">
            <v>FUL</v>
          </cell>
          <cell r="X143" t="str">
            <v>WORLDVIEW 1</v>
          </cell>
          <cell r="AA143">
            <v>2164947.8314433</v>
          </cell>
          <cell r="AH143">
            <v>67654.619732603125</v>
          </cell>
        </row>
        <row r="144">
          <cell r="A144" t="str">
            <v>366022_503971</v>
          </cell>
          <cell r="B144">
            <v>366022</v>
          </cell>
          <cell r="C144">
            <v>503971</v>
          </cell>
          <cell r="D144" t="str">
            <v>In-Orbit</v>
          </cell>
          <cell r="J144" t="str">
            <v>GEO-GSO</v>
          </cell>
          <cell r="L144">
            <v>46386</v>
          </cell>
          <cell r="M144" t="str">
            <v>Astrium Limited - Stevenage (Part of EADS)</v>
          </cell>
          <cell r="V144" t="str">
            <v>FUL</v>
          </cell>
          <cell r="X144" t="str">
            <v>AL YAH 1</v>
          </cell>
          <cell r="AA144">
            <v>9281860.1907157991</v>
          </cell>
          <cell r="AH144">
            <v>290058.13095986872</v>
          </cell>
        </row>
        <row r="145">
          <cell r="A145" t="str">
            <v>366022_503972</v>
          </cell>
          <cell r="B145">
            <v>366022</v>
          </cell>
          <cell r="C145">
            <v>503972</v>
          </cell>
          <cell r="D145" t="str">
            <v>In-Orbit</v>
          </cell>
          <cell r="J145" t="str">
            <v>GEO-GSO</v>
          </cell>
          <cell r="L145">
            <v>46386</v>
          </cell>
          <cell r="M145" t="str">
            <v>Astrium Limited - Stevenage (Part of EADS)</v>
          </cell>
          <cell r="V145" t="str">
            <v>FUL</v>
          </cell>
          <cell r="X145" t="str">
            <v>AL YAH 2</v>
          </cell>
          <cell r="AA145">
            <v>11407869.8778941</v>
          </cell>
          <cell r="AH145">
            <v>356495.93368419062</v>
          </cell>
        </row>
        <row r="146">
          <cell r="A146" t="str">
            <v>366029_503996</v>
          </cell>
          <cell r="B146">
            <v>366029</v>
          </cell>
          <cell r="C146">
            <v>503996</v>
          </cell>
          <cell r="D146" t="str">
            <v>In-Orbit</v>
          </cell>
          <cell r="J146" t="str">
            <v>GEO-GSO</v>
          </cell>
          <cell r="L146">
            <v>46386</v>
          </cell>
          <cell r="M146" t="str">
            <v>Astrium Limited - Stevenage (Part of EADS)</v>
          </cell>
          <cell r="V146" t="str">
            <v>FUL</v>
          </cell>
          <cell r="X146" t="str">
            <v>AL YAH 1</v>
          </cell>
          <cell r="AA146">
            <v>2727599.9954539998</v>
          </cell>
          <cell r="AH146">
            <v>85237.499857937495</v>
          </cell>
        </row>
        <row r="147">
          <cell r="A147" t="str">
            <v>366029_503997</v>
          </cell>
          <cell r="B147">
            <v>366029</v>
          </cell>
          <cell r="C147">
            <v>503997</v>
          </cell>
          <cell r="D147" t="str">
            <v>In-Orbit</v>
          </cell>
          <cell r="J147" t="str">
            <v>GEO-GSO</v>
          </cell>
          <cell r="L147">
            <v>46386</v>
          </cell>
          <cell r="M147" t="str">
            <v>Astrium Limited - Stevenage (Part of EADS)</v>
          </cell>
          <cell r="V147" t="str">
            <v>FUL</v>
          </cell>
          <cell r="X147" t="str">
            <v>AL YAH 2</v>
          </cell>
          <cell r="AA147">
            <v>3352357.7263714899</v>
          </cell>
          <cell r="AH147">
            <v>104761.17894910906</v>
          </cell>
        </row>
        <row r="148">
          <cell r="A148" t="str">
            <v>368892_509838</v>
          </cell>
          <cell r="B148">
            <v>368892</v>
          </cell>
          <cell r="C148">
            <v>509838</v>
          </cell>
          <cell r="D148" t="str">
            <v>In-Orbit</v>
          </cell>
          <cell r="J148" t="str">
            <v>GEO-GSO</v>
          </cell>
          <cell r="L148">
            <v>46386</v>
          </cell>
          <cell r="M148" t="str">
            <v>ITS - Institute of Telecommunication Satellites (Part of CAST)</v>
          </cell>
          <cell r="V148" t="str">
            <v>FUL</v>
          </cell>
          <cell r="X148" t="str">
            <v>TUPAC KATARI</v>
          </cell>
          <cell r="AA148">
            <v>3092783.5</v>
          </cell>
          <cell r="AH148">
            <v>96649.484375</v>
          </cell>
        </row>
        <row r="149">
          <cell r="A149" t="str">
            <v>360737_516619</v>
          </cell>
          <cell r="B149">
            <v>360737</v>
          </cell>
          <cell r="C149">
            <v>516619</v>
          </cell>
          <cell r="D149" t="str">
            <v>In-Orbit</v>
          </cell>
          <cell r="J149" t="str">
            <v>GEO-GSO</v>
          </cell>
          <cell r="L149">
            <v>46386</v>
          </cell>
          <cell r="M149" t="str">
            <v>Orbital Sciences Corporation</v>
          </cell>
          <cell r="V149" t="str">
            <v>FUL</v>
          </cell>
          <cell r="X149" t="str">
            <v>MEASAT 3A (1R)</v>
          </cell>
          <cell r="AA149">
            <v>494845.36</v>
          </cell>
          <cell r="AH149">
            <v>15463.9175</v>
          </cell>
        </row>
        <row r="150">
          <cell r="A150" t="str">
            <v>360737_516620</v>
          </cell>
          <cell r="B150">
            <v>360737</v>
          </cell>
          <cell r="C150">
            <v>516620</v>
          </cell>
          <cell r="D150" t="str">
            <v>In-Orbit</v>
          </cell>
          <cell r="J150" t="str">
            <v>GEO-GSO</v>
          </cell>
          <cell r="L150">
            <v>46386</v>
          </cell>
          <cell r="M150" t="str">
            <v>Airbus Defence and Space (Toulouse)</v>
          </cell>
          <cell r="V150" t="str">
            <v>FUL</v>
          </cell>
          <cell r="X150" t="str">
            <v>MEASAT 3B</v>
          </cell>
          <cell r="AA150">
            <v>2628865.9749999898</v>
          </cell>
          <cell r="AH150">
            <v>82152.061718749668</v>
          </cell>
        </row>
        <row r="151">
          <cell r="A151" t="str">
            <v>277977_340161</v>
          </cell>
          <cell r="B151">
            <v>277977</v>
          </cell>
          <cell r="C151">
            <v>340161</v>
          </cell>
          <cell r="D151" t="str">
            <v>L + 12 Months</v>
          </cell>
          <cell r="J151" t="str">
            <v>GEO-GSO</v>
          </cell>
          <cell r="L151">
            <v>46180</v>
          </cell>
          <cell r="M151" t="str">
            <v>SSL (Space Systems/Loral)</v>
          </cell>
          <cell r="V151" t="str">
            <v>FUL</v>
          </cell>
          <cell r="X151" t="str">
            <v>SXM-10</v>
          </cell>
          <cell r="AA151">
            <v>19999980</v>
          </cell>
          <cell r="AH151">
            <v>0</v>
          </cell>
        </row>
        <row r="152">
          <cell r="A152" t="str">
            <v>278759_341459</v>
          </cell>
          <cell r="B152">
            <v>278759</v>
          </cell>
          <cell r="C152">
            <v>341459</v>
          </cell>
          <cell r="D152" t="str">
            <v>L + 12 Months</v>
          </cell>
          <cell r="J152" t="str">
            <v>GEO-GSO</v>
          </cell>
          <cell r="L152">
            <v>46180</v>
          </cell>
          <cell r="M152" t="str">
            <v>SSL (Space Systems/Loral)</v>
          </cell>
          <cell r="V152" t="str">
            <v>FUL</v>
          </cell>
          <cell r="X152" t="str">
            <v>SXM-10</v>
          </cell>
          <cell r="AA152">
            <v>19999980</v>
          </cell>
          <cell r="AH152">
            <v>0</v>
          </cell>
        </row>
        <row r="153">
          <cell r="A153" t="str">
            <v>264788_320668</v>
          </cell>
          <cell r="B153">
            <v>264788</v>
          </cell>
          <cell r="C153">
            <v>320668</v>
          </cell>
          <cell r="D153" t="str">
            <v>L + 12 Months</v>
          </cell>
          <cell r="J153" t="str">
            <v>GEO-GSO</v>
          </cell>
          <cell r="L153">
            <v>46026</v>
          </cell>
          <cell r="M153" t="str">
            <v>Airbus Defence and Space (Toulouse)</v>
          </cell>
          <cell r="V153" t="str">
            <v>FUL</v>
          </cell>
          <cell r="X153" t="str">
            <v>THURAYA 4-NGS</v>
          </cell>
          <cell r="AA153">
            <v>17910444</v>
          </cell>
          <cell r="AH153">
            <v>0</v>
          </cell>
        </row>
        <row r="154">
          <cell r="A154" t="str">
            <v>264782_320720</v>
          </cell>
          <cell r="B154">
            <v>264782</v>
          </cell>
          <cell r="C154">
            <v>320720</v>
          </cell>
          <cell r="D154" t="str">
            <v>L + 12 Months</v>
          </cell>
          <cell r="J154" t="str">
            <v>LEO</v>
          </cell>
          <cell r="L154">
            <v>46057</v>
          </cell>
          <cell r="M154" t="str">
            <v>SSL (Space Systems/Loral - Part of Maxar)</v>
          </cell>
          <cell r="V154" t="str">
            <v>FUL</v>
          </cell>
          <cell r="X154" t="str">
            <v>WORLDVIEW LEGION-5</v>
          </cell>
          <cell r="AA154">
            <v>7500000</v>
          </cell>
          <cell r="AH154">
            <v>0</v>
          </cell>
        </row>
        <row r="155">
          <cell r="A155" t="str">
            <v>264782_320721</v>
          </cell>
          <cell r="B155">
            <v>264782</v>
          </cell>
          <cell r="C155">
            <v>320721</v>
          </cell>
          <cell r="D155" t="str">
            <v>L + 12 Months</v>
          </cell>
          <cell r="J155" t="str">
            <v>LEO</v>
          </cell>
          <cell r="L155">
            <v>46057</v>
          </cell>
          <cell r="M155" t="str">
            <v>SSL (Space Systems/Loral - Part of Maxar)</v>
          </cell>
          <cell r="V155" t="str">
            <v>FUL</v>
          </cell>
          <cell r="X155" t="str">
            <v>WORLDVIEW LEGION-6</v>
          </cell>
          <cell r="AA155">
            <v>7500000</v>
          </cell>
          <cell r="AH155">
            <v>0</v>
          </cell>
        </row>
        <row r="156">
          <cell r="A156" t="str">
            <v>271177_329405</v>
          </cell>
          <cell r="B156">
            <v>271177</v>
          </cell>
          <cell r="C156">
            <v>329405</v>
          </cell>
          <cell r="D156" t="str">
            <v>L + 24 Months</v>
          </cell>
          <cell r="J156" t="str">
            <v>GEO-GSO</v>
          </cell>
          <cell r="L156">
            <v>46458</v>
          </cell>
          <cell r="M156" t="str">
            <v>Boeing Satellite Systems Inc.</v>
          </cell>
          <cell r="V156" t="str">
            <v>FUL</v>
          </cell>
          <cell r="X156" t="str">
            <v>NUSANTARA LIMA</v>
          </cell>
          <cell r="AA156">
            <v>27222223</v>
          </cell>
          <cell r="AH156">
            <v>0</v>
          </cell>
        </row>
        <row r="157">
          <cell r="A157" t="str">
            <v>276734_338150</v>
          </cell>
          <cell r="B157">
            <v>276734</v>
          </cell>
          <cell r="C157">
            <v>338150</v>
          </cell>
          <cell r="D157" t="str">
            <v>L + 24 Months</v>
          </cell>
          <cell r="J157" t="str">
            <v>GEO-GSO</v>
          </cell>
          <cell r="L157">
            <v>46458</v>
          </cell>
          <cell r="M157" t="str">
            <v>Boeing Satellite Systems Inc.</v>
          </cell>
          <cell r="V157" t="str">
            <v>FUL</v>
          </cell>
          <cell r="X157" t="str">
            <v>NUSANTARA LIMA</v>
          </cell>
          <cell r="AA157">
            <v>7777778</v>
          </cell>
          <cell r="AH157">
            <v>0</v>
          </cell>
        </row>
        <row r="158">
          <cell r="A158" t="str">
            <v>302355_381570</v>
          </cell>
          <cell r="B158">
            <v>302355</v>
          </cell>
          <cell r="C158">
            <v>381570</v>
          </cell>
          <cell r="D158" t="str">
            <v>L + 6 Months</v>
          </cell>
          <cell r="J158" t="str">
            <v>LEO</v>
          </cell>
          <cell r="L158">
            <v>46079</v>
          </cell>
          <cell r="M158" t="str">
            <v>OHB Italia</v>
          </cell>
          <cell r="V158" t="str">
            <v>FIID</v>
          </cell>
          <cell r="X158" t="str">
            <v>LUXEOSYS (NAOS)</v>
          </cell>
          <cell r="AA158">
            <v>25072283.421085998</v>
          </cell>
          <cell r="AH158">
            <v>0</v>
          </cell>
        </row>
      </sheetData>
      <sheetData sheetId="3"/>
      <sheetData sheetId="4"/>
      <sheetData sheetId="5"/>
      <sheetData sheetId="6"/>
      <sheetData sheetId="7"/>
      <sheetData sheetId="8"/>
      <sheetData sheetId="9"/>
      <sheetData sheetId="10"/>
      <sheetData sheetId="11"/>
      <sheetData sheetId="12">
        <row r="6">
          <cell r="D6">
            <v>272893005.73030084</v>
          </cell>
        </row>
        <row r="14">
          <cell r="I14">
            <v>12143274.117298201</v>
          </cell>
        </row>
        <row r="17">
          <cell r="I17">
            <v>23613527.809205052</v>
          </cell>
        </row>
        <row r="23">
          <cell r="I23">
            <v>12452038.734270046</v>
          </cell>
        </row>
        <row r="26">
          <cell r="I26">
            <v>27102877.469864681</v>
          </cell>
        </row>
        <row r="34">
          <cell r="Q34">
            <v>66335171.628540821</v>
          </cell>
        </row>
        <row r="35">
          <cell r="Q35">
            <v>50716405.279069737</v>
          </cell>
        </row>
        <row r="53">
          <cell r="D53">
            <v>2537403.1174924797</v>
          </cell>
        </row>
      </sheetData>
      <sheetData sheetId="13">
        <row r="10">
          <cell r="D10">
            <v>51030511.880560629</v>
          </cell>
          <cell r="E10">
            <v>41110689.678302653</v>
          </cell>
        </row>
        <row r="11">
          <cell r="D11">
            <v>31287289.343245484</v>
          </cell>
          <cell r="E11">
            <v>12886557.357298201</v>
          </cell>
        </row>
        <row r="12">
          <cell r="D12">
            <v>26026713.720839176</v>
          </cell>
          <cell r="E12">
            <v>26026713.720839176</v>
          </cell>
        </row>
        <row r="13">
          <cell r="D13">
            <v>18311821.668044187</v>
          </cell>
          <cell r="E13">
            <v>2197418.6001653029</v>
          </cell>
        </row>
      </sheetData>
      <sheetData sheetId="14">
        <row r="10">
          <cell r="D10">
            <v>281393233.94398534</v>
          </cell>
          <cell r="E10">
            <v>226814632.79792517</v>
          </cell>
        </row>
        <row r="11">
          <cell r="D11">
            <v>121988613.29155546</v>
          </cell>
          <cell r="E11">
            <v>50000000</v>
          </cell>
        </row>
        <row r="12">
          <cell r="D12">
            <v>169314632.79792517</v>
          </cell>
          <cell r="E12">
            <v>169314632.79792517</v>
          </cell>
        </row>
        <row r="13">
          <cell r="D13">
            <v>150904392.43874541</v>
          </cell>
          <cell r="E13">
            <v>7500000</v>
          </cell>
        </row>
      </sheetData>
      <sheetData sheetId="15">
        <row r="10">
          <cell r="D10">
            <v>142401515.99494335</v>
          </cell>
          <cell r="E10">
            <v>114706154.75666051</v>
          </cell>
        </row>
        <row r="11">
          <cell r="D11">
            <v>94734904.734359875</v>
          </cell>
          <cell r="E11">
            <v>39197245.149743937</v>
          </cell>
        </row>
        <row r="12">
          <cell r="D12">
            <v>70259881.432070032</v>
          </cell>
          <cell r="E12">
            <v>70259881.432070032</v>
          </cell>
        </row>
        <row r="13">
          <cell r="D13">
            <v>43741901.457054235</v>
          </cell>
          <cell r="E13">
            <v>5249028.1748465076</v>
          </cell>
        </row>
      </sheetData>
      <sheetData sheetId="16"/>
      <sheetData sheetId="17">
        <row r="10">
          <cell r="C10" t="str">
            <v>SXM-10</v>
          </cell>
          <cell r="D10">
            <v>39999960</v>
          </cell>
          <cell r="E10">
            <v>31999968</v>
          </cell>
        </row>
        <row r="11">
          <cell r="C11" t="str">
            <v>SXM-10</v>
          </cell>
          <cell r="D11">
            <v>39999960</v>
          </cell>
          <cell r="E11">
            <v>19199980.799999997</v>
          </cell>
        </row>
        <row r="12">
          <cell r="C12" t="str">
            <v>Exposure is IGR as no business written directly out of FIBL (Spainsat NG-1)</v>
          </cell>
          <cell r="D12">
            <v>20790999.050588533</v>
          </cell>
          <cell r="E12">
            <v>20790999.050588533</v>
          </cell>
        </row>
        <row r="13">
          <cell r="C13" t="str">
            <v>SPAINSAT NG-1</v>
          </cell>
          <cell r="D13">
            <v>28857627.37544075</v>
          </cell>
          <cell r="E13">
            <v>3462915.2850528909</v>
          </cell>
        </row>
      </sheetData>
      <sheetData sheetId="18">
        <row r="10">
          <cell r="D10">
            <v>103557499.44030607</v>
          </cell>
          <cell r="E10">
            <v>83353480.175743386</v>
          </cell>
        </row>
        <row r="11">
          <cell r="D11">
            <v>61162923.57301262</v>
          </cell>
          <cell r="E11">
            <v>25316811.04920505</v>
          </cell>
        </row>
        <row r="12">
          <cell r="D12">
            <v>53253808.396562219</v>
          </cell>
          <cell r="E12">
            <v>53253808.396562219</v>
          </cell>
        </row>
        <row r="13">
          <cell r="D13">
            <v>39857172.749800995</v>
          </cell>
          <cell r="E13">
            <v>4782860.7299761195</v>
          </cell>
        </row>
      </sheetData>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DS QA"/>
      <sheetName val="Control"/>
      <sheetName val="IGR"/>
      <sheetName val="Stored_Proc"/>
      <sheetName val="Bus Manufacturer"/>
      <sheetName val="SES Fleet"/>
      <sheetName val="Summary"/>
      <sheetName val="Sheet3"/>
      <sheetName val="Largest Risks"/>
      <sheetName val="tbl_IGRCessionsToFIBL"/>
      <sheetName val="Change Narrative (Proton Flare)"/>
      <sheetName val="Change Narrative (Space Weathe)"/>
      <sheetName val="Change Narrative (Gen Defect)"/>
      <sheetName val="Change Narrative (Space Debris)"/>
      <sheetName val="Change Narrative (Max Risk)"/>
      <sheetName val="Outwards_RI"/>
      <sheetName val="From_PQ"/>
      <sheetName val="SQL"/>
    </sheetNames>
    <sheetDataSet>
      <sheetData sheetId="0"/>
      <sheetData sheetId="1"/>
      <sheetData sheetId="2"/>
      <sheetData sheetId="3">
        <row r="17">
          <cell r="AG17">
            <v>782838045.58800423</v>
          </cell>
        </row>
      </sheetData>
      <sheetData sheetId="4"/>
      <sheetData sheetId="5"/>
      <sheetData sheetId="6">
        <row r="5">
          <cell r="D5">
            <v>42047746.435910597</v>
          </cell>
        </row>
        <row r="44">
          <cell r="D44">
            <v>35475021.496360727</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et Labs mapping"/>
      <sheetName val="Custom Earning Pattern Not Popu"/>
      <sheetName val="Jan"/>
      <sheetName val="Allocation Logic"/>
      <sheetName val="Ref&gt;&gt;&gt;"/>
      <sheetName val="Validation Rule"/>
      <sheetName val="Period basis extract"/>
    </sheetNames>
    <sheetDataSet>
      <sheetData sheetId="0"/>
      <sheetData sheetId="1">
        <row r="5">
          <cell r="B5" t="str">
            <v>Lyr Id</v>
          </cell>
        </row>
        <row r="6">
          <cell r="B6">
            <v>76955</v>
          </cell>
        </row>
        <row r="7">
          <cell r="B7">
            <v>327119</v>
          </cell>
        </row>
        <row r="8">
          <cell r="B8">
            <v>364027</v>
          </cell>
        </row>
        <row r="9">
          <cell r="B9">
            <v>364028</v>
          </cell>
        </row>
        <row r="10">
          <cell r="B10">
            <v>76956</v>
          </cell>
        </row>
        <row r="11">
          <cell r="B11">
            <v>76957</v>
          </cell>
        </row>
        <row r="12">
          <cell r="B12">
            <v>76958</v>
          </cell>
        </row>
        <row r="13">
          <cell r="B13">
            <v>76959</v>
          </cell>
        </row>
        <row r="14">
          <cell r="B14">
            <v>340162</v>
          </cell>
        </row>
        <row r="15">
          <cell r="B15">
            <v>413077</v>
          </cell>
        </row>
        <row r="16">
          <cell r="B16">
            <v>416283</v>
          </cell>
        </row>
        <row r="17">
          <cell r="B17">
            <v>428027</v>
          </cell>
        </row>
        <row r="18">
          <cell r="B18">
            <v>442701</v>
          </cell>
        </row>
        <row r="19">
          <cell r="B19">
            <v>443181</v>
          </cell>
        </row>
        <row r="20">
          <cell r="B20">
            <v>444259</v>
          </cell>
        </row>
        <row r="21">
          <cell r="B21">
            <v>340163</v>
          </cell>
        </row>
        <row r="22">
          <cell r="B22">
            <v>456834</v>
          </cell>
        </row>
        <row r="23">
          <cell r="B23">
            <v>456836</v>
          </cell>
        </row>
        <row r="24">
          <cell r="B24">
            <v>456837</v>
          </cell>
        </row>
        <row r="25">
          <cell r="B25">
            <v>456968</v>
          </cell>
        </row>
        <row r="26">
          <cell r="B26">
            <v>465441</v>
          </cell>
        </row>
        <row r="27">
          <cell r="B27">
            <v>465637</v>
          </cell>
        </row>
        <row r="28">
          <cell r="B28">
            <v>341460</v>
          </cell>
        </row>
        <row r="29">
          <cell r="B29">
            <v>341461</v>
          </cell>
        </row>
        <row r="30">
          <cell r="B30">
            <v>474904</v>
          </cell>
        </row>
        <row r="31">
          <cell r="B31">
            <v>475187</v>
          </cell>
        </row>
        <row r="32">
          <cell r="B32">
            <v>346298</v>
          </cell>
        </row>
        <row r="33">
          <cell r="B33">
            <v>346488</v>
          </cell>
        </row>
        <row r="34">
          <cell r="B34">
            <v>346634</v>
          </cell>
        </row>
        <row r="35">
          <cell r="B35">
            <v>359480</v>
          </cell>
        </row>
        <row r="36">
          <cell r="B36">
            <v>359481</v>
          </cell>
        </row>
        <row r="37">
          <cell r="B37">
            <v>375916</v>
          </cell>
        </row>
        <row r="38">
          <cell r="B38">
            <v>375917</v>
          </cell>
        </row>
        <row r="39">
          <cell r="B39">
            <v>375918</v>
          </cell>
        </row>
        <row r="40">
          <cell r="B40">
            <v>375919</v>
          </cell>
        </row>
        <row r="41">
          <cell r="B41">
            <v>375920</v>
          </cell>
        </row>
        <row r="42">
          <cell r="B42">
            <v>379735</v>
          </cell>
        </row>
        <row r="43">
          <cell r="B43">
            <v>379736</v>
          </cell>
        </row>
        <row r="44">
          <cell r="B44">
            <v>384991</v>
          </cell>
        </row>
        <row r="45">
          <cell r="B45">
            <v>384992</v>
          </cell>
        </row>
        <row r="46">
          <cell r="B46">
            <v>384993</v>
          </cell>
        </row>
        <row r="47">
          <cell r="B47">
            <v>384994</v>
          </cell>
        </row>
        <row r="48">
          <cell r="B48">
            <v>384995</v>
          </cell>
        </row>
        <row r="49">
          <cell r="B49">
            <v>495567</v>
          </cell>
        </row>
        <row r="50">
          <cell r="B50">
            <v>495708</v>
          </cell>
        </row>
        <row r="51">
          <cell r="B51">
            <v>384996</v>
          </cell>
        </row>
        <row r="52">
          <cell r="B52">
            <v>496011</v>
          </cell>
        </row>
        <row r="53">
          <cell r="B53">
            <v>384997</v>
          </cell>
        </row>
        <row r="54">
          <cell r="B54">
            <v>496369</v>
          </cell>
        </row>
        <row r="55">
          <cell r="B55">
            <v>496370</v>
          </cell>
        </row>
        <row r="56">
          <cell r="B56">
            <v>496392</v>
          </cell>
        </row>
        <row r="57">
          <cell r="B57">
            <v>500134</v>
          </cell>
        </row>
        <row r="58">
          <cell r="B58">
            <v>502206</v>
          </cell>
        </row>
        <row r="59">
          <cell r="B59">
            <v>502875</v>
          </cell>
        </row>
        <row r="60">
          <cell r="B60">
            <v>507098</v>
          </cell>
        </row>
        <row r="61">
          <cell r="B61">
            <v>509738</v>
          </cell>
        </row>
        <row r="62">
          <cell r="B62">
            <v>509989</v>
          </cell>
        </row>
        <row r="63">
          <cell r="B63">
            <v>512431</v>
          </cell>
        </row>
        <row r="64">
          <cell r="B64">
            <v>515782</v>
          </cell>
        </row>
        <row r="65">
          <cell r="B65">
            <v>384998</v>
          </cell>
        </row>
        <row r="66">
          <cell r="B66">
            <v>517704</v>
          </cell>
        </row>
        <row r="67">
          <cell r="B67">
            <v>517819</v>
          </cell>
        </row>
        <row r="68">
          <cell r="B68">
            <v>517828</v>
          </cell>
        </row>
        <row r="69">
          <cell r="B69">
            <v>519961</v>
          </cell>
        </row>
        <row r="70">
          <cell r="B70">
            <v>519966</v>
          </cell>
        </row>
        <row r="71">
          <cell r="B71">
            <v>520402</v>
          </cell>
        </row>
        <row r="72">
          <cell r="B72">
            <v>521901</v>
          </cell>
        </row>
        <row r="73">
          <cell r="B73">
            <v>521902</v>
          </cell>
        </row>
        <row r="74">
          <cell r="B74">
            <v>521912</v>
          </cell>
        </row>
        <row r="75">
          <cell r="B75">
            <v>521990</v>
          </cell>
        </row>
        <row r="76">
          <cell r="B76">
            <v>522946</v>
          </cell>
        </row>
        <row r="77">
          <cell r="B77">
            <v>522952</v>
          </cell>
        </row>
        <row r="78">
          <cell r="B78">
            <v>525782</v>
          </cell>
        </row>
        <row r="79">
          <cell r="B79">
            <v>526037</v>
          </cell>
        </row>
        <row r="80">
          <cell r="B80">
            <v>384999</v>
          </cell>
        </row>
        <row r="81">
          <cell r="B81">
            <v>495757</v>
          </cell>
        </row>
        <row r="82">
          <cell r="B82">
            <v>172711</v>
          </cell>
        </row>
        <row r="83">
          <cell r="B83">
            <v>321541</v>
          </cell>
        </row>
        <row r="84">
          <cell r="B84">
            <v>327115</v>
          </cell>
        </row>
        <row r="85">
          <cell r="B85">
            <v>472456</v>
          </cell>
        </row>
        <row r="86">
          <cell r="B86">
            <v>353589</v>
          </cell>
        </row>
        <row r="87">
          <cell r="B87">
            <v>370827</v>
          </cell>
        </row>
        <row r="88">
          <cell r="B88">
            <v>495550</v>
          </cell>
        </row>
        <row r="89">
          <cell r="B89">
            <v>491295</v>
          </cell>
        </row>
        <row r="90">
          <cell r="B90">
            <v>386531</v>
          </cell>
        </row>
        <row r="91">
          <cell r="B91">
            <v>403165</v>
          </cell>
        </row>
        <row r="92">
          <cell r="B92">
            <v>415036</v>
          </cell>
        </row>
        <row r="93">
          <cell r="B93">
            <v>416620</v>
          </cell>
        </row>
        <row r="94">
          <cell r="B94">
            <v>416625</v>
          </cell>
        </row>
        <row r="95">
          <cell r="B95">
            <v>419499</v>
          </cell>
        </row>
        <row r="96">
          <cell r="B96">
            <v>426714</v>
          </cell>
        </row>
        <row r="97">
          <cell r="B97">
            <v>426716</v>
          </cell>
        </row>
        <row r="98">
          <cell r="B98">
            <v>442700</v>
          </cell>
        </row>
        <row r="99">
          <cell r="B99">
            <v>443252</v>
          </cell>
        </row>
        <row r="100">
          <cell r="B100">
            <v>443817</v>
          </cell>
        </row>
        <row r="101">
          <cell r="B101">
            <v>445669</v>
          </cell>
        </row>
        <row r="102">
          <cell r="B102">
            <v>445863</v>
          </cell>
        </row>
        <row r="103">
          <cell r="B103">
            <v>446758</v>
          </cell>
        </row>
        <row r="104">
          <cell r="B104">
            <v>456810</v>
          </cell>
        </row>
        <row r="105">
          <cell r="B105">
            <v>461035</v>
          </cell>
        </row>
        <row r="106">
          <cell r="B106">
            <v>461038</v>
          </cell>
        </row>
        <row r="107">
          <cell r="B107">
            <v>463530</v>
          </cell>
        </row>
        <row r="108">
          <cell r="B108">
            <v>465171</v>
          </cell>
        </row>
        <row r="109">
          <cell r="B109">
            <v>465315</v>
          </cell>
        </row>
        <row r="110">
          <cell r="B110">
            <v>465318</v>
          </cell>
        </row>
        <row r="111">
          <cell r="B111">
            <v>465343</v>
          </cell>
        </row>
        <row r="112">
          <cell r="B112">
            <v>472158</v>
          </cell>
        </row>
        <row r="113">
          <cell r="B113">
            <v>470529</v>
          </cell>
        </row>
        <row r="114">
          <cell r="B114">
            <v>472160</v>
          </cell>
        </row>
        <row r="115">
          <cell r="B115">
            <v>474896</v>
          </cell>
        </row>
        <row r="116">
          <cell r="B116">
            <v>477240</v>
          </cell>
        </row>
        <row r="117">
          <cell r="B117">
            <v>472161</v>
          </cell>
        </row>
        <row r="118">
          <cell r="B118">
            <v>516120</v>
          </cell>
        </row>
        <row r="119">
          <cell r="B119">
            <v>495754</v>
          </cell>
        </row>
        <row r="120">
          <cell r="B120">
            <v>475172</v>
          </cell>
        </row>
        <row r="121">
          <cell r="B121">
            <v>516106</v>
          </cell>
        </row>
        <row r="122">
          <cell r="B122">
            <v>478367</v>
          </cell>
        </row>
        <row r="123">
          <cell r="B123">
            <v>478368</v>
          </cell>
        </row>
        <row r="124">
          <cell r="B124">
            <v>478369</v>
          </cell>
        </row>
        <row r="125">
          <cell r="B125">
            <v>478567</v>
          </cell>
        </row>
        <row r="126">
          <cell r="B126">
            <v>490501</v>
          </cell>
        </row>
        <row r="127">
          <cell r="B127">
            <v>478568</v>
          </cell>
        </row>
        <row r="128">
          <cell r="B128">
            <v>494543</v>
          </cell>
        </row>
        <row r="129">
          <cell r="B129">
            <v>478569</v>
          </cell>
        </row>
        <row r="130">
          <cell r="B130">
            <v>495378</v>
          </cell>
        </row>
        <row r="131">
          <cell r="B131">
            <v>478570</v>
          </cell>
        </row>
        <row r="132">
          <cell r="B132">
            <v>478571</v>
          </cell>
        </row>
        <row r="133">
          <cell r="B133">
            <v>504689</v>
          </cell>
        </row>
        <row r="134">
          <cell r="B134">
            <v>507160</v>
          </cell>
        </row>
        <row r="135">
          <cell r="B135">
            <v>508891</v>
          </cell>
        </row>
        <row r="136">
          <cell r="B136">
            <v>509072</v>
          </cell>
        </row>
        <row r="137">
          <cell r="B137">
            <v>509743</v>
          </cell>
        </row>
        <row r="138">
          <cell r="B138">
            <v>509986</v>
          </cell>
        </row>
        <row r="139">
          <cell r="B139">
            <v>478572</v>
          </cell>
        </row>
        <row r="140">
          <cell r="B140">
            <v>478573</v>
          </cell>
        </row>
        <row r="141">
          <cell r="B141">
            <v>478574</v>
          </cell>
        </row>
        <row r="142">
          <cell r="B142">
            <v>325801</v>
          </cell>
        </row>
        <row r="143">
          <cell r="B143">
            <v>478575</v>
          </cell>
        </row>
        <row r="144">
          <cell r="B144">
            <v>357186</v>
          </cell>
        </row>
        <row r="145">
          <cell r="B145">
            <v>363596</v>
          </cell>
        </row>
        <row r="146">
          <cell r="B146">
            <v>364026</v>
          </cell>
        </row>
        <row r="147">
          <cell r="B147">
            <v>365046</v>
          </cell>
        </row>
        <row r="148">
          <cell r="B148">
            <v>365049</v>
          </cell>
        </row>
        <row r="149">
          <cell r="B149">
            <v>365050</v>
          </cell>
        </row>
        <row r="150">
          <cell r="B150">
            <v>381007</v>
          </cell>
        </row>
        <row r="151">
          <cell r="B151">
            <v>403512</v>
          </cell>
        </row>
        <row r="152">
          <cell r="B152">
            <v>296344</v>
          </cell>
        </row>
        <row r="153">
          <cell r="B153">
            <v>327116</v>
          </cell>
        </row>
        <row r="154">
          <cell r="B154">
            <v>327168</v>
          </cell>
        </row>
        <row r="155">
          <cell r="B155">
            <v>478576</v>
          </cell>
        </row>
        <row r="156">
          <cell r="B156">
            <v>478577</v>
          </cell>
        </row>
        <row r="157">
          <cell r="B157">
            <v>478578</v>
          </cell>
        </row>
        <row r="158">
          <cell r="B158">
            <v>366064</v>
          </cell>
        </row>
        <row r="159">
          <cell r="B159">
            <v>368440</v>
          </cell>
        </row>
        <row r="160">
          <cell r="B160">
            <v>369399</v>
          </cell>
        </row>
        <row r="161">
          <cell r="B161">
            <v>384753</v>
          </cell>
        </row>
        <row r="162">
          <cell r="B162">
            <v>417148</v>
          </cell>
        </row>
        <row r="163">
          <cell r="B163">
            <v>418552</v>
          </cell>
        </row>
        <row r="164">
          <cell r="B164">
            <v>172712</v>
          </cell>
        </row>
        <row r="165">
          <cell r="B165">
            <v>294049</v>
          </cell>
        </row>
        <row r="166">
          <cell r="B166">
            <v>311951</v>
          </cell>
        </row>
        <row r="167">
          <cell r="B167">
            <v>327165</v>
          </cell>
        </row>
        <row r="168">
          <cell r="B168">
            <v>341207</v>
          </cell>
        </row>
        <row r="169">
          <cell r="B169">
            <v>478579</v>
          </cell>
        </row>
        <row r="170">
          <cell r="B170">
            <v>478580</v>
          </cell>
        </row>
        <row r="171">
          <cell r="B171">
            <v>364025</v>
          </cell>
        </row>
        <row r="172">
          <cell r="B172">
            <v>364030</v>
          </cell>
        </row>
        <row r="173">
          <cell r="B173">
            <v>365051</v>
          </cell>
        </row>
        <row r="174">
          <cell r="B174">
            <v>478581</v>
          </cell>
        </row>
        <row r="175">
          <cell r="B175">
            <v>478582</v>
          </cell>
        </row>
        <row r="176">
          <cell r="B176">
            <v>478583</v>
          </cell>
        </row>
        <row r="177">
          <cell r="B177">
            <v>516125</v>
          </cell>
        </row>
        <row r="178">
          <cell r="B178">
            <v>478584</v>
          </cell>
        </row>
        <row r="179">
          <cell r="B179">
            <v>516734</v>
          </cell>
        </row>
        <row r="180">
          <cell r="B180">
            <v>516735</v>
          </cell>
        </row>
        <row r="181">
          <cell r="B181">
            <v>486992</v>
          </cell>
        </row>
        <row r="182">
          <cell r="B182">
            <v>486997</v>
          </cell>
        </row>
        <row r="183">
          <cell r="B183">
            <v>486998</v>
          </cell>
        </row>
        <row r="184">
          <cell r="B184">
            <v>486999</v>
          </cell>
        </row>
        <row r="185">
          <cell r="B185">
            <v>517707</v>
          </cell>
        </row>
        <row r="186">
          <cell r="B186">
            <v>518037</v>
          </cell>
        </row>
        <row r="187">
          <cell r="B187">
            <v>518047</v>
          </cell>
        </row>
        <row r="188">
          <cell r="B188">
            <v>518167</v>
          </cell>
        </row>
        <row r="189">
          <cell r="B189">
            <v>519924</v>
          </cell>
        </row>
        <row r="190">
          <cell r="B190">
            <v>520251</v>
          </cell>
        </row>
        <row r="191">
          <cell r="B191">
            <v>520343</v>
          </cell>
        </row>
        <row r="192">
          <cell r="B192">
            <v>520409</v>
          </cell>
        </row>
        <row r="193">
          <cell r="B193">
            <v>520435</v>
          </cell>
        </row>
        <row r="194">
          <cell r="B194">
            <v>521910</v>
          </cell>
        </row>
        <row r="195">
          <cell r="B195">
            <v>69235</v>
          </cell>
        </row>
        <row r="196">
          <cell r="B196">
            <v>327164</v>
          </cell>
        </row>
        <row r="197">
          <cell r="B197">
            <v>341206</v>
          </cell>
        </row>
        <row r="198">
          <cell r="B198">
            <v>487000</v>
          </cell>
        </row>
        <row r="199">
          <cell r="B199">
            <v>487001</v>
          </cell>
        </row>
        <row r="200">
          <cell r="B200">
            <v>360879</v>
          </cell>
        </row>
        <row r="201">
          <cell r="B201">
            <v>360880</v>
          </cell>
        </row>
        <row r="202">
          <cell r="B202">
            <v>363595</v>
          </cell>
        </row>
        <row r="203">
          <cell r="B203">
            <v>364029</v>
          </cell>
        </row>
        <row r="204">
          <cell r="B204">
            <v>365048</v>
          </cell>
        </row>
        <row r="205">
          <cell r="B205">
            <v>487002</v>
          </cell>
        </row>
        <row r="206">
          <cell r="B206">
            <v>487003</v>
          </cell>
        </row>
        <row r="207">
          <cell r="B207">
            <v>445685</v>
          </cell>
        </row>
        <row r="208">
          <cell r="B208">
            <v>450582</v>
          </cell>
        </row>
        <row r="209">
          <cell r="B209">
            <v>453483</v>
          </cell>
        </row>
        <row r="210">
          <cell r="B210">
            <v>456969</v>
          </cell>
        </row>
        <row r="211">
          <cell r="B211">
            <v>461036</v>
          </cell>
        </row>
        <row r="212">
          <cell r="B212">
            <v>465317</v>
          </cell>
        </row>
        <row r="213">
          <cell r="B213">
            <v>474897</v>
          </cell>
        </row>
        <row r="214">
          <cell r="B214">
            <v>487004</v>
          </cell>
        </row>
        <row r="215">
          <cell r="B215">
            <v>476545</v>
          </cell>
        </row>
        <row r="216">
          <cell r="B216">
            <v>477231</v>
          </cell>
        </row>
        <row r="217">
          <cell r="B217">
            <v>487005</v>
          </cell>
        </row>
        <row r="218">
          <cell r="B218">
            <v>488078</v>
          </cell>
        </row>
        <row r="219">
          <cell r="B219">
            <v>488079</v>
          </cell>
        </row>
        <row r="220">
          <cell r="B220">
            <v>488080</v>
          </cell>
        </row>
        <row r="221">
          <cell r="B221">
            <v>488081</v>
          </cell>
        </row>
        <row r="222">
          <cell r="B222">
            <v>489288</v>
          </cell>
        </row>
        <row r="223">
          <cell r="B223">
            <v>489289</v>
          </cell>
        </row>
        <row r="224">
          <cell r="B224">
            <v>488082</v>
          </cell>
        </row>
        <row r="225">
          <cell r="B225">
            <v>491761</v>
          </cell>
        </row>
        <row r="226">
          <cell r="B226">
            <v>491929</v>
          </cell>
        </row>
        <row r="227">
          <cell r="B227">
            <v>492846</v>
          </cell>
        </row>
        <row r="228">
          <cell r="B228">
            <v>492848</v>
          </cell>
        </row>
        <row r="229">
          <cell r="B229">
            <v>488083</v>
          </cell>
        </row>
        <row r="230">
          <cell r="B230">
            <v>488084</v>
          </cell>
        </row>
        <row r="231">
          <cell r="B231">
            <v>495427</v>
          </cell>
        </row>
        <row r="232">
          <cell r="B232">
            <v>488085</v>
          </cell>
        </row>
        <row r="233">
          <cell r="B233">
            <v>488086</v>
          </cell>
        </row>
        <row r="234">
          <cell r="B234">
            <v>488087</v>
          </cell>
        </row>
        <row r="235">
          <cell r="B235">
            <v>488088</v>
          </cell>
        </row>
        <row r="236">
          <cell r="B236">
            <v>488089</v>
          </cell>
        </row>
        <row r="237">
          <cell r="B237">
            <v>488090</v>
          </cell>
        </row>
        <row r="238">
          <cell r="B238">
            <v>502205</v>
          </cell>
        </row>
        <row r="239">
          <cell r="B239">
            <v>488091</v>
          </cell>
        </row>
        <row r="240">
          <cell r="B240">
            <v>488092</v>
          </cell>
        </row>
        <row r="241">
          <cell r="B241">
            <v>488093</v>
          </cell>
        </row>
        <row r="242">
          <cell r="B242">
            <v>509098</v>
          </cell>
        </row>
        <row r="243">
          <cell r="B243">
            <v>509754</v>
          </cell>
        </row>
        <row r="244">
          <cell r="B244">
            <v>488094</v>
          </cell>
        </row>
        <row r="245">
          <cell r="B245">
            <v>513412</v>
          </cell>
        </row>
        <row r="246">
          <cell r="B246">
            <v>515750</v>
          </cell>
        </row>
        <row r="247">
          <cell r="B247">
            <v>515755</v>
          </cell>
        </row>
        <row r="248">
          <cell r="B248">
            <v>515865</v>
          </cell>
        </row>
        <row r="249">
          <cell r="B249">
            <v>516737</v>
          </cell>
        </row>
        <row r="250">
          <cell r="B250">
            <v>488095</v>
          </cell>
        </row>
        <row r="251">
          <cell r="B251">
            <v>517539</v>
          </cell>
        </row>
        <row r="252">
          <cell r="B252">
            <v>517736</v>
          </cell>
        </row>
        <row r="253">
          <cell r="B253">
            <v>518049</v>
          </cell>
        </row>
        <row r="254">
          <cell r="B254">
            <v>519796</v>
          </cell>
        </row>
        <row r="255">
          <cell r="B255">
            <v>520349</v>
          </cell>
        </row>
        <row r="256">
          <cell r="B256">
            <v>413078</v>
          </cell>
        </row>
        <row r="257">
          <cell r="B257">
            <v>416605</v>
          </cell>
        </row>
        <row r="258">
          <cell r="B258">
            <v>416606</v>
          </cell>
        </row>
        <row r="259">
          <cell r="B259">
            <v>418198</v>
          </cell>
        </row>
        <row r="260">
          <cell r="B260">
            <v>418209</v>
          </cell>
        </row>
        <row r="261">
          <cell r="B261">
            <v>418356</v>
          </cell>
        </row>
        <row r="262">
          <cell r="B262">
            <v>418847</v>
          </cell>
        </row>
        <row r="263">
          <cell r="B263">
            <v>424169</v>
          </cell>
        </row>
        <row r="264">
          <cell r="B264">
            <v>424752</v>
          </cell>
        </row>
        <row r="265">
          <cell r="B265">
            <v>432080</v>
          </cell>
        </row>
        <row r="266">
          <cell r="B266">
            <v>488096</v>
          </cell>
        </row>
        <row r="267">
          <cell r="B267">
            <v>443251</v>
          </cell>
        </row>
        <row r="268">
          <cell r="B268">
            <v>445706</v>
          </cell>
        </row>
        <row r="269">
          <cell r="B269">
            <v>445783</v>
          </cell>
        </row>
        <row r="270">
          <cell r="B270">
            <v>446973</v>
          </cell>
        </row>
        <row r="271">
          <cell r="B271">
            <v>453534</v>
          </cell>
        </row>
        <row r="272">
          <cell r="B272">
            <v>463313</v>
          </cell>
        </row>
        <row r="273">
          <cell r="B273">
            <v>465316</v>
          </cell>
        </row>
        <row r="274">
          <cell r="B274">
            <v>465921</v>
          </cell>
        </row>
        <row r="275">
          <cell r="B275">
            <v>474895</v>
          </cell>
        </row>
        <row r="276">
          <cell r="B276">
            <v>474898</v>
          </cell>
        </row>
        <row r="277">
          <cell r="B277">
            <v>474985</v>
          </cell>
        </row>
        <row r="278">
          <cell r="B278">
            <v>475291</v>
          </cell>
        </row>
        <row r="279">
          <cell r="B279">
            <v>488097</v>
          </cell>
        </row>
        <row r="280">
          <cell r="B280">
            <v>488098</v>
          </cell>
        </row>
        <row r="281">
          <cell r="B281">
            <v>520401</v>
          </cell>
        </row>
        <row r="282">
          <cell r="B282">
            <v>521913</v>
          </cell>
        </row>
        <row r="283">
          <cell r="B283">
            <v>521914</v>
          </cell>
        </row>
        <row r="284">
          <cell r="B284">
            <v>521915</v>
          </cell>
        </row>
        <row r="285">
          <cell r="B285">
            <v>522625</v>
          </cell>
        </row>
        <row r="286">
          <cell r="B286">
            <v>524450</v>
          </cell>
        </row>
        <row r="287">
          <cell r="B287">
            <v>529442</v>
          </cell>
        </row>
        <row r="288">
          <cell r="B288">
            <v>488099</v>
          </cell>
        </row>
        <row r="289">
          <cell r="B289">
            <v>488100</v>
          </cell>
        </row>
        <row r="290">
          <cell r="B290">
            <v>488101</v>
          </cell>
        </row>
        <row r="291">
          <cell r="B291">
            <v>488102</v>
          </cell>
        </row>
        <row r="292">
          <cell r="B292">
            <v>488103</v>
          </cell>
        </row>
        <row r="293">
          <cell r="B293">
            <v>386526</v>
          </cell>
        </row>
        <row r="294">
          <cell r="B294">
            <v>403376</v>
          </cell>
        </row>
        <row r="295">
          <cell r="B295">
            <v>416604</v>
          </cell>
        </row>
        <row r="296">
          <cell r="B296">
            <v>418191</v>
          </cell>
        </row>
        <row r="297">
          <cell r="B297">
            <v>424751</v>
          </cell>
        </row>
        <row r="298">
          <cell r="B298">
            <v>427013</v>
          </cell>
        </row>
        <row r="299">
          <cell r="B299">
            <v>428395</v>
          </cell>
        </row>
        <row r="300">
          <cell r="B300">
            <v>442767</v>
          </cell>
        </row>
        <row r="301">
          <cell r="B301">
            <v>488104</v>
          </cell>
        </row>
        <row r="302">
          <cell r="B302">
            <v>488105</v>
          </cell>
        </row>
        <row r="303">
          <cell r="B303">
            <v>488106</v>
          </cell>
        </row>
        <row r="304">
          <cell r="B304">
            <v>488107</v>
          </cell>
        </row>
        <row r="305">
          <cell r="B305">
            <v>489290</v>
          </cell>
        </row>
        <row r="306">
          <cell r="B306">
            <v>491321</v>
          </cell>
        </row>
        <row r="307">
          <cell r="B307">
            <v>491747</v>
          </cell>
        </row>
        <row r="308">
          <cell r="B308">
            <v>495765</v>
          </cell>
        </row>
        <row r="309">
          <cell r="B309">
            <v>495045</v>
          </cell>
        </row>
        <row r="310">
          <cell r="B310">
            <v>491227</v>
          </cell>
        </row>
        <row r="311">
          <cell r="B311">
            <v>445668</v>
          </cell>
        </row>
        <row r="312">
          <cell r="B312">
            <v>508099</v>
          </cell>
        </row>
        <row r="313">
          <cell r="B313">
            <v>503765</v>
          </cell>
        </row>
        <row r="314">
          <cell r="B314">
            <v>503823</v>
          </cell>
        </row>
        <row r="315">
          <cell r="B315">
            <v>508887</v>
          </cell>
        </row>
        <row r="316">
          <cell r="B316">
            <v>516111</v>
          </cell>
        </row>
        <row r="317">
          <cell r="B317">
            <v>477375</v>
          </cell>
        </row>
        <row r="318">
          <cell r="B318">
            <v>494690</v>
          </cell>
        </row>
        <row r="319">
          <cell r="B319">
            <v>516132</v>
          </cell>
        </row>
        <row r="320">
          <cell r="B320">
            <v>517538</v>
          </cell>
        </row>
        <row r="321">
          <cell r="B321">
            <v>517706</v>
          </cell>
        </row>
        <row r="322">
          <cell r="B322">
            <v>519792</v>
          </cell>
        </row>
        <row r="323">
          <cell r="B323">
            <v>519912</v>
          </cell>
        </row>
        <row r="324">
          <cell r="B324">
            <v>519921</v>
          </cell>
        </row>
        <row r="325">
          <cell r="B325">
            <v>444258</v>
          </cell>
        </row>
        <row r="326">
          <cell r="B326">
            <v>445708</v>
          </cell>
        </row>
        <row r="327">
          <cell r="B327">
            <v>445774</v>
          </cell>
        </row>
        <row r="328">
          <cell r="B328">
            <v>459282</v>
          </cell>
        </row>
        <row r="329">
          <cell r="B329">
            <v>459388</v>
          </cell>
        </row>
        <row r="330">
          <cell r="B330">
            <v>466920</v>
          </cell>
        </row>
        <row r="331">
          <cell r="B331">
            <v>474905</v>
          </cell>
        </row>
        <row r="332">
          <cell r="B332">
            <v>495547</v>
          </cell>
        </row>
        <row r="333">
          <cell r="B333">
            <v>495298</v>
          </cell>
        </row>
        <row r="334">
          <cell r="B334">
            <v>509753</v>
          </cell>
        </row>
        <row r="335">
          <cell r="B335">
            <v>495768</v>
          </cell>
        </row>
        <row r="336">
          <cell r="B336">
            <v>484484</v>
          </cell>
        </row>
        <row r="337">
          <cell r="B337">
            <v>508100</v>
          </cell>
        </row>
        <row r="338">
          <cell r="B338">
            <v>474974</v>
          </cell>
        </row>
        <row r="339">
          <cell r="B339">
            <v>513401</v>
          </cell>
        </row>
        <row r="340">
          <cell r="B340">
            <v>495824</v>
          </cell>
        </row>
        <row r="341">
          <cell r="B341">
            <v>517227</v>
          </cell>
        </row>
        <row r="342">
          <cell r="B342">
            <v>494693</v>
          </cell>
        </row>
        <row r="343">
          <cell r="B343">
            <v>493476</v>
          </cell>
        </row>
        <row r="344">
          <cell r="B344">
            <v>495838</v>
          </cell>
        </row>
        <row r="345">
          <cell r="B345">
            <v>495841</v>
          </cell>
        </row>
        <row r="346">
          <cell r="B346">
            <v>494703</v>
          </cell>
        </row>
        <row r="347">
          <cell r="B347">
            <v>500133</v>
          </cell>
        </row>
        <row r="348">
          <cell r="B348">
            <v>490115</v>
          </cell>
        </row>
        <row r="349">
          <cell r="B349">
            <v>520534</v>
          </cell>
        </row>
        <row r="350">
          <cell r="B350">
            <v>521911</v>
          </cell>
        </row>
        <row r="351">
          <cell r="B351">
            <v>521916</v>
          </cell>
        </row>
        <row r="352">
          <cell r="B352">
            <v>524791</v>
          </cell>
        </row>
        <row r="353">
          <cell r="B353">
            <v>526036</v>
          </cell>
        </row>
        <row r="354">
          <cell r="B354">
            <v>529474</v>
          </cell>
        </row>
        <row r="355">
          <cell r="B355">
            <v>507161</v>
          </cell>
        </row>
        <row r="356">
          <cell r="B356">
            <v>496503</v>
          </cell>
        </row>
        <row r="357">
          <cell r="B357">
            <v>509739</v>
          </cell>
        </row>
        <row r="358">
          <cell r="B358">
            <v>510667</v>
          </cell>
        </row>
        <row r="359">
          <cell r="B359">
            <v>496504</v>
          </cell>
        </row>
        <row r="360">
          <cell r="B360">
            <v>517703</v>
          </cell>
        </row>
        <row r="361">
          <cell r="B361">
            <v>517822</v>
          </cell>
        </row>
        <row r="362">
          <cell r="B362">
            <v>517830</v>
          </cell>
        </row>
        <row r="363">
          <cell r="B363">
            <v>518150</v>
          </cell>
        </row>
        <row r="364">
          <cell r="B364">
            <v>518153</v>
          </cell>
        </row>
        <row r="365">
          <cell r="B365">
            <v>518164</v>
          </cell>
        </row>
        <row r="366">
          <cell r="B366">
            <v>519790</v>
          </cell>
        </row>
        <row r="367">
          <cell r="B367">
            <v>519797</v>
          </cell>
        </row>
        <row r="368">
          <cell r="B368">
            <v>519909</v>
          </cell>
        </row>
        <row r="369">
          <cell r="B369">
            <v>519962</v>
          </cell>
        </row>
        <row r="370">
          <cell r="B370">
            <v>520345</v>
          </cell>
        </row>
        <row r="371">
          <cell r="B371">
            <v>521619</v>
          </cell>
        </row>
        <row r="372">
          <cell r="B372">
            <v>521909</v>
          </cell>
        </row>
        <row r="373">
          <cell r="B373">
            <v>521917</v>
          </cell>
        </row>
        <row r="374">
          <cell r="B374">
            <v>522036</v>
          </cell>
        </row>
        <row r="375">
          <cell r="B375">
            <v>526668</v>
          </cell>
        </row>
        <row r="376">
          <cell r="B376">
            <v>526693</v>
          </cell>
        </row>
        <row r="377">
          <cell r="B377">
            <v>526818</v>
          </cell>
        </row>
        <row r="378">
          <cell r="B378">
            <v>526819</v>
          </cell>
        </row>
        <row r="379">
          <cell r="B379">
            <v>419664</v>
          </cell>
        </row>
        <row r="380">
          <cell r="B380">
            <v>435344</v>
          </cell>
        </row>
        <row r="381">
          <cell r="B381">
            <v>496505</v>
          </cell>
        </row>
        <row r="382">
          <cell r="B382">
            <v>445662</v>
          </cell>
        </row>
        <row r="383">
          <cell r="B383">
            <v>445707</v>
          </cell>
        </row>
        <row r="384">
          <cell r="B384">
            <v>460982</v>
          </cell>
        </row>
        <row r="385">
          <cell r="B385">
            <v>465158</v>
          </cell>
        </row>
        <row r="386">
          <cell r="B386">
            <v>465170</v>
          </cell>
        </row>
        <row r="387">
          <cell r="B387">
            <v>498208</v>
          </cell>
        </row>
        <row r="388">
          <cell r="B388">
            <v>475138</v>
          </cell>
        </row>
        <row r="389">
          <cell r="B389">
            <v>476546</v>
          </cell>
        </row>
        <row r="390">
          <cell r="B390">
            <v>498244</v>
          </cell>
        </row>
        <row r="391">
          <cell r="B391">
            <v>504684</v>
          </cell>
        </row>
        <row r="392">
          <cell r="B392">
            <v>478414</v>
          </cell>
        </row>
        <row r="393">
          <cell r="B393">
            <v>505191</v>
          </cell>
        </row>
        <row r="394">
          <cell r="B394">
            <v>505195</v>
          </cell>
        </row>
        <row r="395">
          <cell r="B395">
            <v>508030</v>
          </cell>
        </row>
        <row r="396">
          <cell r="B396">
            <v>494687</v>
          </cell>
        </row>
        <row r="397">
          <cell r="B397">
            <v>494554</v>
          </cell>
        </row>
        <row r="398">
          <cell r="B398">
            <v>495173</v>
          </cell>
        </row>
        <row r="399">
          <cell r="B399">
            <v>478633</v>
          </cell>
        </row>
        <row r="400">
          <cell r="B400">
            <v>512451</v>
          </cell>
        </row>
        <row r="401">
          <cell r="B401">
            <v>445661</v>
          </cell>
        </row>
        <row r="402">
          <cell r="B402">
            <v>515048</v>
          </cell>
        </row>
        <row r="403">
          <cell r="B403">
            <v>495737</v>
          </cell>
        </row>
        <row r="404">
          <cell r="B404">
            <v>495172</v>
          </cell>
        </row>
        <row r="405">
          <cell r="B405">
            <v>515754</v>
          </cell>
        </row>
        <row r="406">
          <cell r="B406">
            <v>515407</v>
          </cell>
        </row>
        <row r="407">
          <cell r="B407">
            <v>515345</v>
          </cell>
        </row>
        <row r="408">
          <cell r="B408">
            <v>496043</v>
          </cell>
        </row>
        <row r="409">
          <cell r="B409">
            <v>442212</v>
          </cell>
        </row>
        <row r="410">
          <cell r="B410">
            <v>516914</v>
          </cell>
        </row>
        <row r="411">
          <cell r="B411">
            <v>489287</v>
          </cell>
        </row>
        <row r="412">
          <cell r="B412">
            <v>491746</v>
          </cell>
        </row>
        <row r="413">
          <cell r="B413">
            <v>494696</v>
          </cell>
        </row>
        <row r="414">
          <cell r="B414">
            <v>516916</v>
          </cell>
        </row>
        <row r="415">
          <cell r="B415">
            <v>517054</v>
          </cell>
        </row>
        <row r="416">
          <cell r="B416">
            <v>501428</v>
          </cell>
        </row>
        <row r="417">
          <cell r="B417">
            <v>501429</v>
          </cell>
        </row>
        <row r="418">
          <cell r="B418">
            <v>502877</v>
          </cell>
        </row>
        <row r="419">
          <cell r="B419">
            <v>503761</v>
          </cell>
        </row>
        <row r="420">
          <cell r="B420">
            <v>517055</v>
          </cell>
        </row>
        <row r="421">
          <cell r="B421">
            <v>509744</v>
          </cell>
        </row>
        <row r="422">
          <cell r="B422">
            <v>513307</v>
          </cell>
        </row>
        <row r="423">
          <cell r="B423">
            <v>513385</v>
          </cell>
        </row>
        <row r="424">
          <cell r="B424">
            <v>513392</v>
          </cell>
        </row>
        <row r="425">
          <cell r="B425">
            <v>517056</v>
          </cell>
        </row>
        <row r="426">
          <cell r="B426">
            <v>517057</v>
          </cell>
        </row>
        <row r="427">
          <cell r="B427">
            <v>517058</v>
          </cell>
        </row>
        <row r="428">
          <cell r="B428">
            <v>517059</v>
          </cell>
        </row>
      </sheetData>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DS QA"/>
      <sheetName val="Control"/>
      <sheetName val="IGR"/>
      <sheetName val="Stored_Proc"/>
      <sheetName val="Bus Manufacturer"/>
      <sheetName val="SES Fleet"/>
      <sheetName val="Summary"/>
      <sheetName val="Sheet3"/>
      <sheetName val="Largest Risks"/>
      <sheetName val="tbl_IGRCessionsToFIBL"/>
      <sheetName val="Change Narrative (Proton Flare)"/>
      <sheetName val="Change Narrative (Space Weathe)"/>
      <sheetName val="Change Narrative (Gen Defect)"/>
      <sheetName val="Change Narrative (Max Risk)"/>
      <sheetName val="Change Narrative (Space Debris)"/>
      <sheetName val="Outwards_RI"/>
      <sheetName val="From_PQ"/>
      <sheetName val="SQL"/>
    </sheetNames>
    <sheetDataSet>
      <sheetData sheetId="0"/>
      <sheetData sheetId="1"/>
      <sheetData sheetId="2"/>
      <sheetData sheetId="3"/>
      <sheetData sheetId="4">
        <row r="13">
          <cell r="C13" t="str">
            <v>OHB-SYSTEM AG (HQ)</v>
          </cell>
        </row>
      </sheetData>
      <sheetData sheetId="5">
        <row r="20">
          <cell r="C20">
            <v>10882962.780014742</v>
          </cell>
        </row>
      </sheetData>
      <sheetData sheetId="6">
        <row r="5">
          <cell r="G5">
            <v>38827917.360788934</v>
          </cell>
        </row>
      </sheetData>
      <sheetData sheetId="7"/>
      <sheetData sheetId="8"/>
      <sheetData sheetId="9"/>
      <sheetData sheetId="10">
        <row r="9">
          <cell r="D9">
            <v>48534896.700986162</v>
          </cell>
        </row>
      </sheetData>
      <sheetData sheetId="11">
        <row r="10">
          <cell r="D10">
            <v>213207694.70148873</v>
          </cell>
        </row>
      </sheetData>
      <sheetData sheetId="12">
        <row r="10">
          <cell r="D10">
            <v>147153955.28816319</v>
          </cell>
        </row>
      </sheetData>
      <sheetData sheetId="13">
        <row r="10">
          <cell r="D10">
            <v>51324440.677925102</v>
          </cell>
        </row>
      </sheetData>
      <sheetData sheetId="14">
        <row r="9">
          <cell r="D9">
            <v>87251903.339516535</v>
          </cell>
        </row>
      </sheetData>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DS QA"/>
      <sheetName val="Control"/>
      <sheetName val="Input Data"/>
      <sheetName val="Multiline XOL Check"/>
      <sheetName val="IG Equity Share"/>
      <sheetName val="Sheet1"/>
      <sheetName val="Sheet3"/>
      <sheetName val="Largest Risks"/>
      <sheetName val="IGR XoL"/>
      <sheetName val="Changes"/>
      <sheetName val="IGR QS"/>
      <sheetName val="Bus Manufacturer"/>
      <sheetName val="Summary"/>
      <sheetName val="Change Narrative (Proton Flare)"/>
      <sheetName val="Change Narrative (Space Weathe)"/>
      <sheetName val="Change Narrative (Gen Defect)"/>
      <sheetName val="Sheet2"/>
      <sheetName val="Change Narrative (Max Risk)"/>
      <sheetName val="Change Narrative (Space Debris)"/>
      <sheetName val="Outwards_RI"/>
      <sheetName val="From_PQ"/>
      <sheetName val="SQL"/>
    </sheetNames>
    <sheetDataSet>
      <sheetData sheetId="0"/>
      <sheetData sheetId="1"/>
      <sheetData sheetId="2"/>
      <sheetData sheetId="3"/>
      <sheetData sheetId="4"/>
      <sheetData sheetId="5"/>
      <sheetData sheetId="6"/>
      <sheetData sheetId="7"/>
      <sheetData sheetId="8"/>
      <sheetData sheetId="9">
        <row r="12">
          <cell r="X12">
            <v>625745786.86490965</v>
          </cell>
          <cell r="Y12">
            <v>74689085.574417815</v>
          </cell>
          <cell r="Z12">
            <v>700434872.43932748</v>
          </cell>
          <cell r="AA12">
            <v>61162923.573012613</v>
          </cell>
          <cell r="AD12">
            <v>189469809.46871975</v>
          </cell>
          <cell r="AE12">
            <v>20195219.890385699</v>
          </cell>
          <cell r="AF12">
            <v>209665029.35910544</v>
          </cell>
        </row>
        <row r="13">
          <cell r="X13">
            <v>366236433.36088371</v>
          </cell>
          <cell r="Y13">
            <v>53863377.704392038</v>
          </cell>
          <cell r="Z13">
            <v>420099811.06527573</v>
          </cell>
          <cell r="AA13">
            <v>39857172.749801002</v>
          </cell>
          <cell r="AD13">
            <v>87483802.91410847</v>
          </cell>
          <cell r="AE13">
            <v>12529586.249115696</v>
          </cell>
          <cell r="AF13">
            <v>100013389.16322416</v>
          </cell>
        </row>
        <row r="14">
          <cell r="X14">
            <v>991982220.22579336</v>
          </cell>
          <cell r="Y14">
            <v>128552463.27880985</v>
          </cell>
          <cell r="Z14">
            <v>1120534683.5046031</v>
          </cell>
          <cell r="AA14">
            <v>101020096.32281362</v>
          </cell>
          <cell r="AD14">
            <v>276953612.38282824</v>
          </cell>
          <cell r="AE14">
            <v>32724806.139501393</v>
          </cell>
          <cell r="AF14">
            <v>309678418.52232957</v>
          </cell>
        </row>
        <row r="17">
          <cell r="T17">
            <v>1120534683.5046039</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DS QA"/>
      <sheetName val="Control"/>
      <sheetName val="Input Data"/>
      <sheetName val="Multiline XOL Check"/>
      <sheetName val="IG Equity Share"/>
      <sheetName val="S3123 Consortium Share"/>
      <sheetName val="S3123 QS"/>
      <sheetName val="Consortium Shares"/>
      <sheetName val="Sheet1"/>
      <sheetName val="Sheet3"/>
      <sheetName val="Largest Risks"/>
      <sheetName val="IGR XoL"/>
      <sheetName val="Changes"/>
      <sheetName val="IGR QS"/>
      <sheetName val="Summary"/>
      <sheetName val="Bus Manufacturer"/>
      <sheetName val="Spacecraft"/>
      <sheetName val="Change Narrative (Proton Flare)"/>
      <sheetName val="Change Narrative (Space Weathe)"/>
      <sheetName val="Change Narrative (Gen Defect)"/>
      <sheetName val="Sheet2"/>
      <sheetName val="Change Narrative (Max Risk)"/>
      <sheetName val="Change Narrative (Space Debris)"/>
      <sheetName val="Outwards_RI"/>
      <sheetName val="From_PQ"/>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1">
          <cell r="D41">
            <v>4032879.4695264916</v>
          </cell>
        </row>
        <row r="42">
          <cell r="D42">
            <v>22629126.154447231</v>
          </cell>
        </row>
        <row r="43">
          <cell r="D43">
            <v>11341640.757610556</v>
          </cell>
        </row>
        <row r="44">
          <cell r="D44">
            <v>9474546.6832236573</v>
          </cell>
        </row>
      </sheetData>
      <sheetData sheetId="15"/>
      <sheetData sheetId="16"/>
      <sheetData sheetId="17">
        <row r="17">
          <cell r="G17">
            <v>2131080.2293539941</v>
          </cell>
        </row>
        <row r="18">
          <cell r="G18">
            <v>-1494405.1036175862</v>
          </cell>
        </row>
        <row r="19">
          <cell r="G19">
            <v>3226640.8394524157</v>
          </cell>
        </row>
        <row r="20">
          <cell r="G20">
            <v>-397736.78727453202</v>
          </cell>
        </row>
      </sheetData>
      <sheetData sheetId="18">
        <row r="17">
          <cell r="G17">
            <v>18097439.531359136</v>
          </cell>
        </row>
        <row r="18">
          <cell r="G18">
            <v>619115.99999991059</v>
          </cell>
        </row>
        <row r="19">
          <cell r="G19">
            <v>20064228.590123713</v>
          </cell>
        </row>
        <row r="20">
          <cell r="G20">
            <v>-5668519.8769339025</v>
          </cell>
        </row>
      </sheetData>
      <sheetData sheetId="19">
        <row r="17">
          <cell r="G17">
            <v>6278644.6751083136</v>
          </cell>
        </row>
        <row r="18">
          <cell r="G18">
            <v>-1597879.7218166143</v>
          </cell>
        </row>
        <row r="19">
          <cell r="G19">
            <v>8790120.2070629895</v>
          </cell>
        </row>
        <row r="20">
          <cell r="G20">
            <v>-3529575.4339522794</v>
          </cell>
        </row>
      </sheetData>
      <sheetData sheetId="20"/>
      <sheetData sheetId="21"/>
      <sheetData sheetId="22">
        <row r="18">
          <cell r="G18">
            <v>18151063.65280807</v>
          </cell>
        </row>
        <row r="19">
          <cell r="G19">
            <v>14178231.917658836</v>
          </cell>
        </row>
        <row r="20">
          <cell r="G20">
            <v>13532294.328039639</v>
          </cell>
        </row>
        <row r="21">
          <cell r="G21">
            <v>-10426650.155708928</v>
          </cell>
        </row>
      </sheetData>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person displayName="Jones, Edward" id="{22974AFB-CB56-4FE8-8624-377922032B12}" userId="S::Edward.Jones@fidelisinsurance.com::a5b019e0-7620-4781-955e-a48a1617cdf5" providerId="AD"/>
  <person displayName="Jaiyen, Julie" id="{AF294B03-9C16-4CF2-9E2F-AF68A9CD2D06}" userId="S::Julie.Jaiyen@fidelisinsurance.com::4898db69-20d2-4b50-a70e-63e3ef211c0e" providerId="AD"/>
  <person displayName="McGuinness, John" id="{8E40BAB5-BDF7-4903-8A75-83BC335070CB}" userId="S::John.McGuinness@fidelisinsurance.com::c60bd240-c6f6-4413-83a5-c6460a04a4f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62AB6-E4F7-492E-A446-6DD7CFD5F1DF}" name="Table1" displayName="Table1" ref="F3:H6" totalsRowShown="0">
  <autoFilter ref="F3:H6" xr:uid="{C2562AB6-E4F7-492E-A446-6DD7CFD5F1DF}"/>
  <tableColumns count="3">
    <tableColumn id="3" xr3:uid="{0AFFD49F-3F26-4C59-B881-77C354A50E35}" name="Excluded Spacecraft ID"/>
    <tableColumn id="1" xr3:uid="{CE64CAA3-3B76-4FF4-8644-CFB835D1A546}" name="Excluded Spacecraft Name"/>
    <tableColumn id="2" xr3:uid="{F6053FAC-AA7E-4656-9553-F745944AA499}" name="Match in Data">
      <calculatedColumnFormula>ISNUMBER(MATCH(Table1[[#This Row],[Excluded Spacecraft Name]],'Input Data'!$X$20:$X$188,0))</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54744A-F4BF-403B-815A-42E29BF3B589}" name="Table2" displayName="Table2" ref="B3:D4" totalsRowShown="0">
  <autoFilter ref="B3:D4" xr:uid="{F954744A-F4BF-403B-815A-42E29BF3B589}"/>
  <tableColumns count="3">
    <tableColumn id="1" xr3:uid="{D496283A-FD93-4417-8911-5864E59E4759}" name="Date From" dataDxfId="8"/>
    <tableColumn id="2" xr3:uid="{9B2AE3AC-1853-4A7D-AD66-465EC4A0A2F9}" name="Date To" dataDxfId="7"/>
    <tableColumn id="3" xr3:uid="{1D9A357D-73FF-4AFC-92FB-B08DB73A4473}" name="Cession" dataDxfId="6"/>
  </tableColumns>
  <tableStyleInfo name="TableStyleLight1" showFirstColumn="0" showLastColumn="0" showRowStripes="0" showColumnStripes="0"/>
</table>
</file>

<file path=xl/theme/theme1.xml><?xml version="1.0" encoding="utf-8"?>
<a:theme xmlns:a="http://schemas.openxmlformats.org/drawingml/2006/main" name="Fidelis_Default">
  <a:themeElements>
    <a:clrScheme name="Custom 649">
      <a:dk1>
        <a:sysClr val="windowText" lastClr="000000"/>
      </a:dk1>
      <a:lt1>
        <a:sysClr val="window" lastClr="FFFFFF"/>
      </a:lt1>
      <a:dk2>
        <a:srgbClr val="1D1D1B"/>
      </a:dk2>
      <a:lt2>
        <a:srgbClr val="CBC8C6"/>
      </a:lt2>
      <a:accent1>
        <a:srgbClr val="00A8E2"/>
      </a:accent1>
      <a:accent2>
        <a:srgbClr val="1D1D1B"/>
      </a:accent2>
      <a:accent3>
        <a:srgbClr val="F6A800"/>
      </a:accent3>
      <a:accent4>
        <a:srgbClr val="00A5B8"/>
      </a:accent4>
      <a:accent5>
        <a:srgbClr val="D93138"/>
      </a:accent5>
      <a:accent6>
        <a:srgbClr val="505760"/>
      </a:accent6>
      <a:hlink>
        <a:srgbClr val="0563C1"/>
      </a:hlink>
      <a:folHlink>
        <a:srgbClr val="954F72"/>
      </a:folHlink>
    </a:clrScheme>
    <a:fontScheme name="Custom 17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idelis_Default" id="{A87AA9C4-1B93-4C67-90C9-D23C45FB4718}" vid="{5DB85240-3B78-473E-B84E-FEE7F0EC3B4D}"/>
    </a:ext>
  </a:extLst>
</a:theme>
</file>

<file path=xl/threadedComments/threadedComment1.xml><?xml version="1.0" encoding="utf-8"?>
<ThreadedComments xmlns="http://schemas.microsoft.com/office/spreadsheetml/2018/threadedcomments" xmlns:x="http://schemas.openxmlformats.org/spreadsheetml/2006/main">
  <threadedComment ref="X85" dT="2026-04-09T14:09:22.93" personId="{AF294B03-9C16-4CF2-9E2F-AF68A9CD2D06}" id="{658A9509-8331-45DA-95DC-24B5214489F7}">
    <text>This was 2 - but this causes issues in the ‘Changes’ tab - as the one in the previous quarter was 4</text>
  </threadedComment>
  <threadedComment ref="U88" dT="2026-04-08T14:45:17.98" personId="{AF294B03-9C16-4CF2-9E2F-AF68A9CD2D06}" id="{73C7630A-390A-4D3C-BBF3-9965510ACA30}">
    <text>Doesn’t have an ID - hasn’t launched - we need to check - space craft exist (monthly launch exercise) - ask UW if launch (Sinead)</text>
  </threadedComment>
  <threadedComment ref="U128" dT="2026-04-08T14:45:47.72" personId="{AF294B03-9C16-4CF2-9E2F-AF68A9CD2D06}" id="{C8C68185-7428-45C1-8C27-67422BD0B5F6}">
    <text>Check with Sinead - or the tracker</text>
  </threadedComment>
  <threadedComment ref="U167" dT="2026-04-08T14:47:30.07" personId="{AF294B03-9C16-4CF2-9E2F-AF68A9CD2D06}" id="{9FD801BC-717C-49C0-8C00-443689FA64BA}">
    <text>Not launched</text>
  </threadedComment>
  <threadedComment ref="U178" dT="2026-04-08T14:47:20.06" personId="{AF294B03-9C16-4CF2-9E2F-AF68A9CD2D06}" id="{8F3CE814-8ACD-4F48-94E6-8CB1E53F0C41}">
    <text>Manual exclusion list</text>
  </threadedComment>
</ThreadedComments>
</file>

<file path=xl/threadedComments/threadedComment2.xml><?xml version="1.0" encoding="utf-8"?>
<ThreadedComments xmlns="http://schemas.microsoft.com/office/spreadsheetml/2018/threadedcomments" xmlns:x="http://schemas.openxmlformats.org/spreadsheetml/2006/main">
  <threadedComment ref="C6" dT="2021-07-20T07:57:28.49" personId="{22974AFB-CB56-4FE8-8624-377922032B12}" id="{04B56752-8EDA-48A5-B186-6BBE5A6FCA1F}">
    <text>Filtered on On-risk, unlike LVFO and L + 1</text>
  </threadedComment>
</ThreadedComments>
</file>

<file path=xl/threadedComments/threadedComment3.xml><?xml version="1.0" encoding="utf-8"?>
<ThreadedComments xmlns="http://schemas.microsoft.com/office/spreadsheetml/2018/threadedcomments" xmlns:x="http://schemas.openxmlformats.org/spreadsheetml/2006/main">
  <threadedComment ref="AC17" dT="2025-04-16T12:13:06.38" personId="{8E40BAB5-BDF7-4903-8A75-83BC335070CB}" id="{66396C45-C701-4B04-9066-0E21FD769EE7}">
    <text>Should Match Proton Flare Changes</text>
  </threadedComment>
  <threadedComment ref="AF17" dT="2025-07-08T09:56:33.51" personId="{8E40BAB5-BDF7-4903-8A75-83BC335070CB}" id="{BB8E37A2-A2EB-4792-8613-F62F6B74DF3C}">
    <text>Should match Space Debris RDS Gross Value Change</text>
  </threadedComment>
  <threadedComment ref="AI17" dT="2025-04-16T12:13:29.42" personId="{8E40BAB5-BDF7-4903-8A75-83BC335070CB}" id="{A227F64A-AA29-4278-9371-38221A6F6522}">
    <text>Should Match Generic Defect Changes</text>
  </threadedComment>
  <threadedComment ref="Q133" dT="2026-04-09T16:12:39.60" personId="{AF294B03-9C16-4CF2-9E2F-AF68A9CD2D06}" id="{66194A85-75E3-483A-85FA-EFFB6F6711F6}">
    <text xml:space="preserve">Splity bteween two sets because it comes from different sales channels </text>
  </threadedComment>
</ThreadedComments>
</file>

<file path=xl/threadedComments/threadedComment4.xml><?xml version="1.0" encoding="utf-8"?>
<ThreadedComments xmlns="http://schemas.microsoft.com/office/spreadsheetml/2018/threadedcomments" xmlns:x="http://schemas.openxmlformats.org/spreadsheetml/2006/main">
  <threadedComment ref="D44" dT="2026-04-22T09:13:56.28" personId="{AF294B03-9C16-4CF2-9E2F-AF68A9CD2D06}" id="{4479C011-F2FD-45AA-B170-6CDFC12D1556}">
    <text xml:space="preserve">Changed to column AE instead of P - P is used for Generic Defect - AE is used for Space Debris </text>
  </threadedComment>
  <threadedComment ref="D54" dT="2025-07-14T17:17:47.78" personId="{8E40BAB5-BDF7-4903-8A75-83BC335070CB}" id="{079D182B-B877-46F4-9172-C1E20D13ECD2}">
    <text>Should be checked to see if equity share changes max risk for FIHL</text>
  </threadedComment>
  <threadedComment ref="D55" dT="2025-07-14T17:17:47.78" personId="{8E40BAB5-BDF7-4903-8A75-83BC335070CB}" id="{F1A4DD18-D289-464B-ACA4-F7F7EA5B5A8C}">
    <text>Should be checked to see if equity share changes max risk for FIHL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hyperlink" Target="https://fidelisinsurance.sharepoint.com/:x:/s/FidelisMGUUnderwriting/IQDWD6IKNbIxR51G2H9nJYUFAXHa0Ui_it_KryCSDJXGanY?e=XVhYpw"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715C-599F-42F3-A634-166B37517902}">
  <sheetPr codeName="Sheet9">
    <tabColor rgb="FFFFFF00"/>
  </sheetPr>
  <dimension ref="B1:G31"/>
  <sheetViews>
    <sheetView workbookViewId="0">
      <selection activeCell="F24" sqref="F24"/>
    </sheetView>
  </sheetViews>
  <sheetFormatPr defaultRowHeight="14.5" x14ac:dyDescent="0.35"/>
  <cols>
    <col min="2" max="2" width="23.08984375" customWidth="1"/>
    <col min="3" max="3" width="37.08984375" customWidth="1"/>
    <col min="4" max="4" width="90.08984375" style="76" customWidth="1"/>
    <col min="5" max="5" width="17.08984375" customWidth="1"/>
    <col min="6" max="6" width="71.90625" customWidth="1"/>
    <col min="7" max="7" width="11" bestFit="1" customWidth="1"/>
  </cols>
  <sheetData>
    <row r="1" spans="2:4" x14ac:dyDescent="0.35">
      <c r="B1" s="82"/>
      <c r="C1" s="82"/>
    </row>
    <row r="2" spans="2:4" x14ac:dyDescent="0.35">
      <c r="B2" s="82"/>
      <c r="C2" s="82"/>
    </row>
    <row r="3" spans="2:4" x14ac:dyDescent="0.35">
      <c r="D3"/>
    </row>
    <row r="4" spans="2:4" x14ac:dyDescent="0.35">
      <c r="B4" t="s">
        <v>156</v>
      </c>
      <c r="D4"/>
    </row>
    <row r="5" spans="2:4" x14ac:dyDescent="0.35">
      <c r="D5"/>
    </row>
    <row r="6" spans="2:4" x14ac:dyDescent="0.35">
      <c r="D6"/>
    </row>
    <row r="7" spans="2:4" x14ac:dyDescent="0.35">
      <c r="B7" s="80" t="s">
        <v>147</v>
      </c>
      <c r="C7" s="81" t="s">
        <v>224</v>
      </c>
      <c r="D7"/>
    </row>
    <row r="8" spans="2:4" ht="30" customHeight="1" x14ac:dyDescent="0.35">
      <c r="D8"/>
    </row>
    <row r="9" spans="2:4" x14ac:dyDescent="0.35">
      <c r="B9" s="80" t="s">
        <v>148</v>
      </c>
      <c r="C9" s="83">
        <v>45490</v>
      </c>
      <c r="D9"/>
    </row>
    <row r="10" spans="2:4" x14ac:dyDescent="0.35">
      <c r="B10" s="80" t="s">
        <v>149</v>
      </c>
      <c r="C10" s="83">
        <v>45490</v>
      </c>
      <c r="D10"/>
    </row>
    <row r="11" spans="2:4" x14ac:dyDescent="0.35">
      <c r="D11" s="4"/>
    </row>
    <row r="12" spans="2:4" x14ac:dyDescent="0.35">
      <c r="D12"/>
    </row>
    <row r="13" spans="2:4" x14ac:dyDescent="0.35">
      <c r="B13" s="80" t="s">
        <v>150</v>
      </c>
      <c r="C13" s="151" t="str" cm="1">
        <f t="array" ref="C13">IF(AND(G18:G26="Passing"),"Passing","Failing")</f>
        <v>Passing</v>
      </c>
      <c r="D13"/>
    </row>
    <row r="14" spans="2:4" x14ac:dyDescent="0.35">
      <c r="D14"/>
    </row>
    <row r="15" spans="2:4" x14ac:dyDescent="0.35">
      <c r="D15"/>
    </row>
    <row r="16" spans="2:4" x14ac:dyDescent="0.35">
      <c r="D16"/>
    </row>
    <row r="17" spans="2:7" x14ac:dyDescent="0.35">
      <c r="B17" s="80" t="s">
        <v>128</v>
      </c>
      <c r="C17" s="80" t="s">
        <v>129</v>
      </c>
      <c r="D17" s="80" t="s">
        <v>152</v>
      </c>
      <c r="E17" s="84" t="s">
        <v>153</v>
      </c>
      <c r="F17" s="85" t="s">
        <v>154</v>
      </c>
      <c r="G17" s="85" t="s">
        <v>155</v>
      </c>
    </row>
    <row r="18" spans="2:7" x14ac:dyDescent="0.35">
      <c r="B18" s="452" t="s">
        <v>130</v>
      </c>
      <c r="C18" s="455" t="s">
        <v>131</v>
      </c>
      <c r="D18" s="153" t="s">
        <v>187</v>
      </c>
      <c r="E18" s="154" t="s">
        <v>151</v>
      </c>
      <c r="F18" s="155"/>
      <c r="G18" s="156" t="str">
        <f t="shared" ref="G18:G26" si="0">IF(OR(E18="y",AND(E18="n",F18&lt;&gt;"")),"Passing","Failing")</f>
        <v>Passing</v>
      </c>
    </row>
    <row r="19" spans="2:7" ht="29" x14ac:dyDescent="0.35">
      <c r="B19" s="453"/>
      <c r="C19" s="455"/>
      <c r="D19" s="157" t="s">
        <v>188</v>
      </c>
      <c r="E19" s="154" t="s">
        <v>195</v>
      </c>
      <c r="F19" s="192" t="s">
        <v>226</v>
      </c>
      <c r="G19" s="156" t="str">
        <f t="shared" si="0"/>
        <v>Passing</v>
      </c>
    </row>
    <row r="20" spans="2:7" x14ac:dyDescent="0.35">
      <c r="B20" s="453"/>
      <c r="C20" s="456" t="s">
        <v>189</v>
      </c>
      <c r="D20" s="153" t="s">
        <v>187</v>
      </c>
      <c r="E20" s="154" t="s">
        <v>151</v>
      </c>
      <c r="F20" s="155"/>
      <c r="G20" s="156" t="str">
        <f t="shared" si="0"/>
        <v>Passing</v>
      </c>
    </row>
    <row r="21" spans="2:7" ht="29" x14ac:dyDescent="0.35">
      <c r="B21" s="453"/>
      <c r="C21" s="456"/>
      <c r="D21" s="157" t="s">
        <v>188</v>
      </c>
      <c r="E21" s="154" t="s">
        <v>151</v>
      </c>
      <c r="F21" s="155"/>
      <c r="G21" s="156" t="str">
        <f t="shared" si="0"/>
        <v>Passing</v>
      </c>
    </row>
    <row r="22" spans="2:7" x14ac:dyDescent="0.35">
      <c r="B22" s="453"/>
      <c r="C22" s="456"/>
      <c r="D22" s="157" t="s">
        <v>190</v>
      </c>
      <c r="E22" s="154" t="s">
        <v>151</v>
      </c>
      <c r="F22" s="155"/>
      <c r="G22" s="156" t="str">
        <f t="shared" si="0"/>
        <v>Passing</v>
      </c>
    </row>
    <row r="23" spans="2:7" x14ac:dyDescent="0.35">
      <c r="B23" s="454"/>
      <c r="C23" s="158" t="s">
        <v>68</v>
      </c>
      <c r="D23" s="157" t="s">
        <v>191</v>
      </c>
      <c r="E23" s="154" t="s">
        <v>151</v>
      </c>
      <c r="F23" s="155"/>
      <c r="G23" s="156" t="str">
        <f t="shared" si="0"/>
        <v>Passing</v>
      </c>
    </row>
    <row r="24" spans="2:7" ht="290" x14ac:dyDescent="0.35">
      <c r="B24" s="159" t="s">
        <v>132</v>
      </c>
      <c r="C24" s="152" t="s">
        <v>133</v>
      </c>
      <c r="D24" s="153" t="s">
        <v>192</v>
      </c>
      <c r="F24" s="193" t="s">
        <v>227</v>
      </c>
      <c r="G24" s="156" t="str">
        <f>IF(F24&lt;&gt;"","Passing","Failing")</f>
        <v>Passing</v>
      </c>
    </row>
    <row r="25" spans="2:7" ht="29" x14ac:dyDescent="0.35">
      <c r="B25" s="152" t="s">
        <v>134</v>
      </c>
      <c r="C25" s="158" t="s">
        <v>135</v>
      </c>
      <c r="D25" s="153" t="s">
        <v>193</v>
      </c>
      <c r="E25" s="154" t="s">
        <v>151</v>
      </c>
      <c r="F25" s="155"/>
      <c r="G25" s="156" t="str">
        <f t="shared" si="0"/>
        <v>Passing</v>
      </c>
    </row>
    <row r="26" spans="2:7" ht="29" x14ac:dyDescent="0.35">
      <c r="B26" s="160" t="s">
        <v>136</v>
      </c>
      <c r="C26" s="152" t="s">
        <v>137</v>
      </c>
      <c r="D26" s="157" t="s">
        <v>194</v>
      </c>
      <c r="E26" s="154" t="s">
        <v>151</v>
      </c>
      <c r="F26" s="155"/>
      <c r="G26" s="156" t="str">
        <f t="shared" si="0"/>
        <v>Passing</v>
      </c>
    </row>
    <row r="31" spans="2:7" x14ac:dyDescent="0.35">
      <c r="D31" s="161"/>
    </row>
  </sheetData>
  <mergeCells count="3">
    <mergeCell ref="B18:B23"/>
    <mergeCell ref="C18:C19"/>
    <mergeCell ref="C20:C22"/>
  </mergeCells>
  <conditionalFormatting sqref="C13">
    <cfRule type="expression" dxfId="5" priority="1">
      <formula>C13="passing"</formula>
    </cfRule>
  </conditionalFormatting>
  <conditionalFormatting sqref="F18:F23 F25:F26">
    <cfRule type="expression" dxfId="4" priority="3">
      <formula>E18="n"</formula>
    </cfRule>
  </conditionalFormatting>
  <conditionalFormatting sqref="G18:G26">
    <cfRule type="expression" dxfId="3" priority="2">
      <formula>G18="passing"</formula>
    </cfRule>
  </conditionalFormatting>
  <dataValidations count="1">
    <dataValidation type="list" allowBlank="1" showInputMessage="1" showErrorMessage="1" sqref="E25:E26 E18:E23" xr:uid="{162EF917-9B15-4CC4-802E-2E9D8D107B5A}">
      <formula1>"Y,N"</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3159-BB8E-4085-B04F-B4E7F0CECC54}">
  <sheetPr codeName="Sheet10">
    <tabColor rgb="FFFFFF00"/>
  </sheetPr>
  <dimension ref="B4:M56"/>
  <sheetViews>
    <sheetView workbookViewId="0">
      <selection activeCell="E27" sqref="E27"/>
    </sheetView>
  </sheetViews>
  <sheetFormatPr defaultRowHeight="14.5" x14ac:dyDescent="0.35"/>
  <cols>
    <col min="2" max="2" width="10.54296875" customWidth="1"/>
    <col min="3" max="3" width="10.90625" bestFit="1" customWidth="1"/>
    <col min="4" max="4" width="20.08984375" bestFit="1" customWidth="1"/>
    <col min="5" max="5" width="119" bestFit="1" customWidth="1"/>
    <col min="6" max="6" width="11.36328125" bestFit="1" customWidth="1"/>
    <col min="7" max="7" width="11.08984375" bestFit="1" customWidth="1"/>
    <col min="8" max="9" width="10.453125" bestFit="1" customWidth="1"/>
    <col min="11" max="11" width="12.90625" bestFit="1" customWidth="1"/>
    <col min="12" max="12" width="13.08984375" bestFit="1" customWidth="1"/>
    <col min="13" max="13" width="40.453125" bestFit="1" customWidth="1"/>
    <col min="14" max="15" width="13.08984375" customWidth="1"/>
    <col min="16" max="16" width="20" bestFit="1" customWidth="1"/>
  </cols>
  <sheetData>
    <row r="4" spans="2:5" x14ac:dyDescent="0.35">
      <c r="B4" s="77" t="s">
        <v>138</v>
      </c>
      <c r="C4" s="77" t="s">
        <v>139</v>
      </c>
      <c r="D4" s="77" t="s">
        <v>142</v>
      </c>
      <c r="E4" s="77" t="s">
        <v>140</v>
      </c>
    </row>
    <row r="5" spans="2:5" x14ac:dyDescent="0.35">
      <c r="B5" s="7" t="s">
        <v>141</v>
      </c>
      <c r="C5" s="78">
        <v>44756</v>
      </c>
      <c r="D5" s="7" t="s">
        <v>143</v>
      </c>
      <c r="E5" s="7" t="s">
        <v>144</v>
      </c>
    </row>
    <row r="6" spans="2:5" x14ac:dyDescent="0.35">
      <c r="B6" s="7" t="s">
        <v>141</v>
      </c>
      <c r="C6" s="78">
        <v>44756</v>
      </c>
      <c r="D6" s="7" t="s">
        <v>143</v>
      </c>
      <c r="E6" s="7" t="s">
        <v>145</v>
      </c>
    </row>
    <row r="7" spans="2:5" x14ac:dyDescent="0.35">
      <c r="B7" s="7" t="s">
        <v>141</v>
      </c>
      <c r="C7" s="78">
        <v>44756</v>
      </c>
      <c r="D7" s="7" t="s">
        <v>143</v>
      </c>
      <c r="E7" s="7" t="s">
        <v>146</v>
      </c>
    </row>
    <row r="8" spans="2:5" x14ac:dyDescent="0.35">
      <c r="B8" s="7" t="s">
        <v>203</v>
      </c>
      <c r="C8" s="78">
        <v>45295</v>
      </c>
      <c r="D8" s="7" t="s">
        <v>68</v>
      </c>
      <c r="E8" s="7" t="s">
        <v>204</v>
      </c>
    </row>
    <row r="9" spans="2:5" x14ac:dyDescent="0.35">
      <c r="B9" s="7" t="s">
        <v>203</v>
      </c>
      <c r="C9" s="78">
        <v>45295</v>
      </c>
      <c r="D9" s="7" t="s">
        <v>205</v>
      </c>
      <c r="E9" s="7" t="s">
        <v>204</v>
      </c>
    </row>
    <row r="10" spans="2:5" x14ac:dyDescent="0.35">
      <c r="B10" s="7" t="s">
        <v>203</v>
      </c>
      <c r="C10" s="78">
        <v>45295</v>
      </c>
      <c r="D10" s="7" t="s">
        <v>143</v>
      </c>
      <c r="E10" s="7" t="s">
        <v>212</v>
      </c>
    </row>
    <row r="11" spans="2:5" x14ac:dyDescent="0.35">
      <c r="B11" s="7" t="s">
        <v>203</v>
      </c>
      <c r="C11" s="78">
        <v>45295</v>
      </c>
      <c r="D11" s="7" t="s">
        <v>215</v>
      </c>
      <c r="E11" s="7" t="s">
        <v>221</v>
      </c>
    </row>
    <row r="12" spans="2:5" x14ac:dyDescent="0.35">
      <c r="B12" s="7" t="s">
        <v>203</v>
      </c>
      <c r="C12" s="78">
        <v>45295</v>
      </c>
      <c r="D12" s="7" t="s">
        <v>216</v>
      </c>
      <c r="E12" s="7" t="s">
        <v>222</v>
      </c>
    </row>
    <row r="13" spans="2:5" x14ac:dyDescent="0.35">
      <c r="B13" s="7" t="s">
        <v>203</v>
      </c>
      <c r="C13" s="78">
        <v>45295</v>
      </c>
      <c r="D13" s="7" t="s">
        <v>8</v>
      </c>
      <c r="E13" s="7" t="s">
        <v>222</v>
      </c>
    </row>
    <row r="14" spans="2:5" x14ac:dyDescent="0.35">
      <c r="C14" s="2"/>
    </row>
    <row r="15" spans="2:5" x14ac:dyDescent="0.35">
      <c r="B15" s="2"/>
    </row>
    <row r="50" spans="2:13" x14ac:dyDescent="0.35">
      <c r="M50" s="33"/>
    </row>
    <row r="56" spans="2:13" x14ac:dyDescent="0.35">
      <c r="B56" s="7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45E1-75F1-446D-BC3B-E7818A4494BE}">
  <sheetPr codeName="Sheet1">
    <tabColor rgb="FFFF33CC"/>
  </sheetPr>
  <dimension ref="A1:DD193"/>
  <sheetViews>
    <sheetView topLeftCell="BA125" zoomScale="90" zoomScaleNormal="85" workbookViewId="0">
      <selection activeCell="BG20" sqref="BG20:BG188"/>
    </sheetView>
  </sheetViews>
  <sheetFormatPr defaultRowHeight="14.5" x14ac:dyDescent="0.35"/>
  <cols>
    <col min="1" max="1" width="23.36328125" customWidth="1"/>
    <col min="2" max="2" width="10.90625" bestFit="1" customWidth="1"/>
    <col min="3" max="4" width="8.90625" customWidth="1"/>
    <col min="5" max="5" width="37.08984375" customWidth="1"/>
    <col min="6" max="7" width="18.36328125" customWidth="1"/>
    <col min="8" max="8" width="16.08984375" style="2" customWidth="1"/>
    <col min="9" max="10" width="16.453125" customWidth="1"/>
    <col min="11" max="11" width="13.90625" customWidth="1"/>
    <col min="12" max="12" width="16" style="2" customWidth="1"/>
    <col min="13" max="13" width="22.08984375" style="2" customWidth="1"/>
    <col min="14" max="15" width="50.08984375" customWidth="1"/>
    <col min="16" max="16" width="24.36328125" customWidth="1"/>
    <col min="17" max="17" width="23.54296875" customWidth="1"/>
    <col min="18" max="18" width="22.36328125" customWidth="1"/>
    <col min="19" max="19" width="21.453125" customWidth="1"/>
    <col min="20" max="20" width="26.6328125" customWidth="1"/>
    <col min="21" max="21" width="107" customWidth="1"/>
    <col min="22" max="22" width="15.453125" customWidth="1"/>
    <col min="23" max="23" width="14.54296875" customWidth="1"/>
    <col min="24" max="24" width="40.6328125" customWidth="1"/>
    <col min="25" max="25" width="31.08984375" customWidth="1"/>
    <col min="26" max="26" width="20.90625" customWidth="1"/>
    <col min="27" max="27" width="24.90625" style="33" customWidth="1"/>
    <col min="28" max="28" width="15.54296875" customWidth="1"/>
    <col min="29" max="29" width="33.08984375" customWidth="1"/>
    <col min="30" max="30" width="38.453125" customWidth="1"/>
    <col min="31" max="34" width="30.6328125" customWidth="1"/>
    <col min="35" max="35" width="17.453125" customWidth="1"/>
    <col min="36" max="36" width="19.90625" style="4" customWidth="1"/>
    <col min="37" max="39" width="16.54296875" customWidth="1"/>
    <col min="40" max="40" width="17.453125" bestFit="1" customWidth="1"/>
    <col min="41" max="42" width="16.54296875" customWidth="1"/>
    <col min="43" max="45" width="11" bestFit="1" customWidth="1"/>
    <col min="46" max="46" width="11.36328125" bestFit="1" customWidth="1"/>
    <col min="47" max="51" width="27.36328125" customWidth="1"/>
    <col min="52" max="53" width="16.54296875" customWidth="1"/>
    <col min="54" max="54" width="34.453125" customWidth="1"/>
    <col min="55" max="55" width="16.54296875" style="6" customWidth="1"/>
    <col min="56" max="56" width="31.6328125" style="6" bestFit="1" customWidth="1"/>
    <col min="57" max="57" width="28.6328125" style="6" customWidth="1"/>
    <col min="58" max="58" width="42.08984375" style="6" customWidth="1"/>
    <col min="59" max="64" width="19.90625" style="6" customWidth="1"/>
    <col min="65" max="65" width="2.08984375" style="6" customWidth="1"/>
    <col min="66" max="66" width="19.90625" style="6" customWidth="1"/>
    <col min="67" max="67" width="28.36328125" style="6" customWidth="1"/>
    <col min="68" max="68" width="29.90625" style="6" customWidth="1"/>
    <col min="69" max="69" width="26.90625" style="6" customWidth="1"/>
    <col min="70" max="70" width="25.54296875" style="6" customWidth="1"/>
    <col min="71" max="71" width="19.90625" customWidth="1"/>
    <col min="72" max="72" width="17.453125" customWidth="1"/>
    <col min="73" max="73" width="16.54296875" style="6" customWidth="1"/>
    <col min="74" max="74" width="20.90625" style="6" customWidth="1"/>
    <col min="75" max="75" width="20" style="6" customWidth="1"/>
    <col min="76" max="76" width="16.54296875" style="6" customWidth="1"/>
    <col min="77" max="79" width="11" bestFit="1" customWidth="1"/>
    <col min="80" max="81" width="15.08984375" bestFit="1" customWidth="1"/>
    <col min="82" max="82" width="17.6328125" customWidth="1"/>
    <col min="86" max="86" width="50.08984375" bestFit="1" customWidth="1"/>
    <col min="87" max="87" width="13.08984375" customWidth="1"/>
    <col min="88" max="89" width="14.90625" customWidth="1"/>
    <col min="90" max="90" width="10.08984375" bestFit="1" customWidth="1"/>
    <col min="91" max="91" width="14.08984375" customWidth="1"/>
    <col min="92" max="92" width="12.453125" bestFit="1" customWidth="1"/>
    <col min="93" max="93" width="15.08984375" bestFit="1" customWidth="1"/>
    <col min="96" max="97" width="12" bestFit="1" customWidth="1"/>
    <col min="98" max="98" width="11.6328125" bestFit="1" customWidth="1"/>
    <col min="99" max="99" width="10.08984375" bestFit="1" customWidth="1"/>
    <col min="100" max="100" width="11.54296875" bestFit="1" customWidth="1"/>
    <col min="101" max="101" width="10.90625" bestFit="1" customWidth="1"/>
    <col min="103" max="104" width="11.54296875" bestFit="1" customWidth="1"/>
    <col min="105" max="105" width="10.54296875" bestFit="1" customWidth="1"/>
    <col min="106" max="106" width="10.08984375" bestFit="1" customWidth="1"/>
    <col min="107" max="107" width="11.54296875" bestFit="1" customWidth="1"/>
    <col min="108" max="108" width="10.54296875" bestFit="1" customWidth="1"/>
  </cols>
  <sheetData>
    <row r="1" spans="2:108" x14ac:dyDescent="0.35">
      <c r="H1"/>
      <c r="L1"/>
      <c r="M1"/>
      <c r="AA1"/>
      <c r="AJ1"/>
    </row>
    <row r="2" spans="2:108" x14ac:dyDescent="0.35">
      <c r="H2"/>
      <c r="L2"/>
      <c r="M2"/>
      <c r="AA2"/>
      <c r="AJ2"/>
    </row>
    <row r="5" spans="2:108" x14ac:dyDescent="0.35">
      <c r="E5" s="14"/>
      <c r="AO5" s="17">
        <v>1</v>
      </c>
      <c r="AP5" s="17">
        <v>2</v>
      </c>
      <c r="AQ5" s="17">
        <v>3</v>
      </c>
      <c r="AR5" s="17">
        <v>4</v>
      </c>
      <c r="AS5" s="17">
        <v>5</v>
      </c>
      <c r="AT5" s="17">
        <v>6</v>
      </c>
      <c r="AU5" s="17">
        <v>7</v>
      </c>
      <c r="AV5" s="17">
        <v>8</v>
      </c>
    </row>
    <row r="6" spans="2:108" x14ac:dyDescent="0.35">
      <c r="AN6" s="15" t="s">
        <v>50</v>
      </c>
      <c r="AO6" s="8">
        <v>59904</v>
      </c>
      <c r="AP6" s="8">
        <v>75074</v>
      </c>
      <c r="AQ6" s="8">
        <v>145877</v>
      </c>
      <c r="AR6" s="8">
        <v>236123</v>
      </c>
      <c r="AS6" s="8">
        <v>342090</v>
      </c>
      <c r="AT6" s="8">
        <v>383251</v>
      </c>
      <c r="AU6" s="8">
        <v>439174</v>
      </c>
      <c r="AV6" s="8"/>
      <c r="AW6" s="8"/>
      <c r="AX6" s="8"/>
      <c r="BA6" s="2"/>
      <c r="BB6" s="2"/>
    </row>
    <row r="7" spans="2:108" x14ac:dyDescent="0.35">
      <c r="X7" s="33"/>
      <c r="AN7" s="15" t="s">
        <v>52</v>
      </c>
      <c r="AO7" s="9">
        <v>43739</v>
      </c>
      <c r="AP7" s="9">
        <v>43983</v>
      </c>
      <c r="AQ7" s="9">
        <v>44105</v>
      </c>
      <c r="AR7" s="9">
        <v>44562</v>
      </c>
      <c r="AS7" s="9">
        <v>44927</v>
      </c>
      <c r="AT7" s="9">
        <v>45292</v>
      </c>
      <c r="AU7" s="9">
        <v>45658</v>
      </c>
      <c r="AV7" s="9">
        <v>46023</v>
      </c>
      <c r="AW7" s="9"/>
      <c r="AX7" s="9"/>
    </row>
    <row r="8" spans="2:108" x14ac:dyDescent="0.35">
      <c r="X8" s="33"/>
      <c r="AN8" s="15" t="s">
        <v>51</v>
      </c>
      <c r="AO8" s="9">
        <v>43982</v>
      </c>
      <c r="AP8" s="9">
        <v>44104</v>
      </c>
      <c r="AQ8" s="9">
        <v>44561</v>
      </c>
      <c r="AR8" s="9">
        <v>44926</v>
      </c>
      <c r="AS8" s="9">
        <v>45291</v>
      </c>
      <c r="AT8" s="9">
        <v>45657</v>
      </c>
      <c r="AU8" s="9">
        <v>46022</v>
      </c>
      <c r="AV8" s="9">
        <v>46387</v>
      </c>
      <c r="AW8" s="9"/>
      <c r="AX8" s="9"/>
    </row>
    <row r="9" spans="2:108" x14ac:dyDescent="0.35">
      <c r="O9" s="143" t="s">
        <v>182</v>
      </c>
      <c r="P9" s="40" t="s">
        <v>183</v>
      </c>
      <c r="AG9" s="13" cm="1">
        <f t="array" ref="AG9">(SUMPRODUCT('Input Data'!$AK:$AK,'Input Data'!$P:$P,--('Input Data'!$K:$K="GEO-GSO"),--('Input Data'!$Q:$Q=1),--('Input Data'!$AL:$AL="FIID"))+SUMPRODUCT('Input Data'!$AK:$AK,'Input Data'!$P:$P,--('Input Data'!$K:$K="MEO"),--('Input Data'!$Q:$Q=1),--('Input Data'!$AL:$AL="FIID")))*Generic_Defect_Loss</f>
        <v>40212326.023101956</v>
      </c>
      <c r="AN9" s="15" t="s">
        <v>54</v>
      </c>
      <c r="AO9" s="8" t="s">
        <v>59</v>
      </c>
      <c r="AP9" s="8" t="s">
        <v>59</v>
      </c>
      <c r="AQ9" s="8" t="s">
        <v>59</v>
      </c>
      <c r="AR9" s="8" t="s">
        <v>59</v>
      </c>
      <c r="AS9" s="8" t="s">
        <v>59</v>
      </c>
      <c r="AT9" s="8" t="s">
        <v>59</v>
      </c>
      <c r="AU9" s="8" t="s">
        <v>59</v>
      </c>
      <c r="AV9" s="8" t="s">
        <v>59</v>
      </c>
      <c r="AW9" s="8"/>
      <c r="AX9" s="8"/>
    </row>
    <row r="10" spans="2:108" x14ac:dyDescent="0.35">
      <c r="O10" s="41">
        <v>0</v>
      </c>
      <c r="P10" s="144">
        <v>0.2</v>
      </c>
      <c r="AN10" s="15" t="s">
        <v>57</v>
      </c>
      <c r="AO10" s="8" t="s">
        <v>58</v>
      </c>
      <c r="AP10" s="8" t="s">
        <v>58</v>
      </c>
      <c r="AQ10" s="8" t="s">
        <v>58</v>
      </c>
      <c r="AR10" s="8" t="s">
        <v>58</v>
      </c>
      <c r="AS10" s="8" t="s">
        <v>58</v>
      </c>
      <c r="AT10" s="8" t="s">
        <v>58</v>
      </c>
      <c r="AU10" s="8" t="s">
        <v>58</v>
      </c>
      <c r="AV10" s="8" t="s">
        <v>58</v>
      </c>
      <c r="AW10" s="8"/>
      <c r="AX10" s="8"/>
    </row>
    <row r="11" spans="2:108" ht="43.5" x14ac:dyDescent="0.35">
      <c r="B11" s="286"/>
      <c r="C11" t="s">
        <v>544</v>
      </c>
      <c r="O11" s="41">
        <v>6</v>
      </c>
      <c r="P11" s="144">
        <v>0.4</v>
      </c>
      <c r="AC11" s="287" t="s">
        <v>528</v>
      </c>
      <c r="AD11" s="281" t="s">
        <v>529</v>
      </c>
      <c r="AE11" s="287" t="s">
        <v>573</v>
      </c>
      <c r="AN11" s="15" t="s">
        <v>53</v>
      </c>
      <c r="AO11" s="10">
        <v>0.1176471</v>
      </c>
      <c r="AP11" s="10">
        <v>3.8461000000000002E-2</v>
      </c>
      <c r="AQ11" s="10">
        <v>0.2</v>
      </c>
      <c r="AR11" s="10">
        <v>0.2</v>
      </c>
      <c r="AS11" s="10">
        <v>0.2</v>
      </c>
      <c r="AT11" s="10">
        <v>0.2</v>
      </c>
      <c r="AU11" s="10">
        <v>0.2</v>
      </c>
      <c r="AV11" s="10">
        <v>0.2</v>
      </c>
      <c r="AW11" s="10"/>
      <c r="AX11" s="10"/>
    </row>
    <row r="12" spans="2:108" x14ac:dyDescent="0.35">
      <c r="O12" s="41">
        <v>12</v>
      </c>
      <c r="P12" s="144">
        <v>0.6</v>
      </c>
      <c r="AC12">
        <f>YEAR(AC15)</f>
        <v>2026</v>
      </c>
      <c r="AN12" s="15" t="s">
        <v>55</v>
      </c>
      <c r="AO12" s="8"/>
      <c r="AP12" s="8"/>
      <c r="AQ12" s="8"/>
      <c r="AR12" s="8"/>
      <c r="AS12" s="8"/>
      <c r="AT12" s="8"/>
      <c r="AU12" s="8" t="s">
        <v>13</v>
      </c>
      <c r="AV12" s="8"/>
      <c r="AW12" s="8"/>
      <c r="AX12" s="8"/>
      <c r="BL12" s="118"/>
    </row>
    <row r="13" spans="2:108" x14ac:dyDescent="0.35">
      <c r="O13" s="42">
        <v>18</v>
      </c>
      <c r="P13" s="145">
        <v>0.8</v>
      </c>
      <c r="AI13" s="257" cm="1">
        <f t="array" ref="AI13">(SUMPRODUCT('Input Data'!$AK:$AK,'Input Data'!$AE:$AE,--('Input Data'!$K:$K="GEO-GSO"),--('Input Data'!$Q:$Q=1))+SUMPRODUCT('Input Data'!$AK:$AK,'Input Data'!$AE:$AE,--('Input Data'!$K:$K="MEO"),--('Input Data'!$Q:$Q=1))+SUMPRODUCT('Input Data'!$AK:$AK,'Input Data'!$AE:$AE,--('Input Data'!$K:$K="LEO"),--('Input Data'!$Q:$Q=1)))*Space_Debris_Loss</f>
        <v>108771647.68476349</v>
      </c>
      <c r="AN13" s="15" t="s">
        <v>56</v>
      </c>
      <c r="AO13" s="8"/>
      <c r="AP13" s="8"/>
      <c r="AQ13" s="8"/>
      <c r="AR13" s="8"/>
      <c r="AS13" s="8"/>
      <c r="AT13" s="8"/>
      <c r="AU13" s="8" t="s">
        <v>13</v>
      </c>
      <c r="AV13" s="8"/>
      <c r="AW13" s="8"/>
      <c r="AX13" s="8"/>
      <c r="BL13" s="118"/>
    </row>
    <row r="14" spans="2:108" x14ac:dyDescent="0.35">
      <c r="O14" s="146">
        <v>999</v>
      </c>
      <c r="P14" s="147">
        <v>1</v>
      </c>
      <c r="AK14" s="281" t="s">
        <v>539</v>
      </c>
      <c r="AN14" s="15" t="s">
        <v>60</v>
      </c>
      <c r="AO14" s="17" t="s">
        <v>225</v>
      </c>
      <c r="AP14" s="17" t="s">
        <v>225</v>
      </c>
      <c r="AQ14" s="17" t="s">
        <v>174</v>
      </c>
      <c r="AR14" s="17" t="s">
        <v>174</v>
      </c>
      <c r="AS14" s="17" t="s">
        <v>174</v>
      </c>
      <c r="AT14" s="17" t="s">
        <v>174</v>
      </c>
      <c r="AU14" s="14" t="s">
        <v>174</v>
      </c>
      <c r="AV14" s="14" t="s">
        <v>174</v>
      </c>
      <c r="AW14" s="14"/>
      <c r="AX14" s="14"/>
      <c r="BH14" s="21"/>
      <c r="BI14" s="21"/>
      <c r="BJ14" s="21"/>
      <c r="BK14" s="21"/>
      <c r="BL14" s="117"/>
      <c r="BY14">
        <f>Proton_Flare_InsLoss</f>
        <v>0.05</v>
      </c>
      <c r="CI14" s="298">
        <f>SUM(CI$20:CI$46)</f>
        <v>952339897.42395103</v>
      </c>
      <c r="CJ14" s="298">
        <f>SUM(CJ$20:CJ$46)</f>
        <v>594058199.80855811</v>
      </c>
      <c r="CK14" s="257">
        <f>SUM(CK$20:CK$46)</f>
        <v>358281697.61539304</v>
      </c>
      <c r="CM14" s="294">
        <f>SUM(CM20:CM46)</f>
        <v>475254837.42189038</v>
      </c>
      <c r="CN14" s="4">
        <f>SUM(CN20:CN39)</f>
        <v>0</v>
      </c>
      <c r="CO14" s="4"/>
      <c r="CT14" s="148"/>
      <c r="CU14" s="148"/>
    </row>
    <row r="15" spans="2:108" ht="130.5" x14ac:dyDescent="0.35">
      <c r="G15" s="2"/>
      <c r="P15" s="288" t="s">
        <v>527</v>
      </c>
      <c r="Q15" s="287" t="s">
        <v>524</v>
      </c>
      <c r="R15" s="287" t="s">
        <v>569</v>
      </c>
      <c r="S15" s="287" t="s">
        <v>525</v>
      </c>
      <c r="T15" s="287" t="s">
        <v>526</v>
      </c>
      <c r="AB15" s="5" t="s">
        <v>103</v>
      </c>
      <c r="AC15" s="58">
        <v>46113</v>
      </c>
      <c r="AH15" s="287" t="s">
        <v>530</v>
      </c>
      <c r="AI15" s="287" t="s">
        <v>531</v>
      </c>
      <c r="AK15" s="293">
        <f>SUMPRODUCT(AK20:AK157,AE20:AE157)</f>
        <v>88845984.700238913</v>
      </c>
      <c r="BC15" s="296" t="s">
        <v>532</v>
      </c>
      <c r="BD15" s="408"/>
      <c r="BL15" s="118"/>
      <c r="BO15" s="296" t="s">
        <v>533</v>
      </c>
      <c r="BT15" s="280" t="s">
        <v>534</v>
      </c>
      <c r="BY15" s="297" t="s">
        <v>536</v>
      </c>
      <c r="CC15" s="280" t="s">
        <v>537</v>
      </c>
      <c r="CD15" s="287" t="s">
        <v>538</v>
      </c>
      <c r="CI15" s="298">
        <f>SUMIFS($AK:$AK,$Q:$Q,1,$K:$K,"GEO-GSO")</f>
        <v>954139382.40795124</v>
      </c>
      <c r="CJ15" s="298">
        <f>SUMIFS($AK:$AK,$Q:$Q,1,$K:$K,"GEO-GSO",$AL:$AL,CJ$19)</f>
        <v>595857684.79255795</v>
      </c>
      <c r="CK15" s="257">
        <f>SUMIFS($AK:$AK,$Q:$Q,1,$K:$K,"GEO-GSO",$AL:$AL,CK$19)</f>
        <v>358281697.6153931</v>
      </c>
      <c r="CM15" s="287" t="s">
        <v>540</v>
      </c>
      <c r="CN15" s="287" t="s">
        <v>538</v>
      </c>
      <c r="CY15" s="287" t="s">
        <v>541</v>
      </c>
    </row>
    <row r="16" spans="2:108" x14ac:dyDescent="0.35">
      <c r="P16" s="3" t="s">
        <v>186</v>
      </c>
      <c r="Q16" s="3"/>
      <c r="Y16" s="204"/>
      <c r="AK16" s="294">
        <f>AK17-[3]Stored_Proc!$AG$17</f>
        <v>171301336.819947</v>
      </c>
      <c r="AL16" s="295">
        <f>AK16*0.05</f>
        <v>8565066.8409973513</v>
      </c>
      <c r="BK16" s="21"/>
      <c r="BY16" s="294">
        <f t="shared" ref="BY16:CC16" si="0">SUM(BY20:BY134)</f>
        <v>39350459.348758936</v>
      </c>
      <c r="BZ16" s="294">
        <f t="shared" si="0"/>
        <v>21554022.467989303</v>
      </c>
      <c r="CA16" s="294">
        <f t="shared" si="0"/>
        <v>17796436.880769651</v>
      </c>
      <c r="CB16" s="294">
        <f t="shared" si="0"/>
        <v>0</v>
      </c>
      <c r="CC16" s="294">
        <f t="shared" si="0"/>
        <v>25903982.582648847</v>
      </c>
      <c r="CD16" s="294">
        <f>SUM(CD20:CD134)</f>
        <v>0</v>
      </c>
      <c r="CE16" s="281" t="s">
        <v>535</v>
      </c>
      <c r="CH16" t="s">
        <v>85</v>
      </c>
      <c r="CI16" s="3" t="b">
        <f>ABS(SUM(CI$20:CI$46)-SUMIFS($AK:$AK,$Q:$Q,1,$K:$K,"GEO-GSO"))&lt;1</f>
        <v>0</v>
      </c>
      <c r="CJ16" s="3" t="b">
        <f>ABS(SUM(CJ$20:CJ$46)-SUMIFS($AK:$AK,$Q:$Q,1,$K:$K,"GEO-GSO",$AL:$AL,CJ$19))&lt;1</f>
        <v>0</v>
      </c>
      <c r="CK16" s="3" t="b">
        <f>ABS(SUM(CK$20:CK$46)-SUMIFS($AK:$AK,$Q:$Q,1,$K:$K,"GEO-GSO",$AL:$AL,CK$19))&lt;1</f>
        <v>1</v>
      </c>
      <c r="CR16" s="294">
        <f t="shared" ref="CR16:CW16" si="1">SUM(CR20:CR161)</f>
        <v>119963223.02265264</v>
      </c>
      <c r="CS16" s="294">
        <f t="shared" si="1"/>
        <v>80221488.999550655</v>
      </c>
      <c r="CT16" s="294">
        <f t="shared" si="1"/>
        <v>39741734.023101956</v>
      </c>
      <c r="CU16" s="294">
        <f t="shared" si="1"/>
        <v>0</v>
      </c>
      <c r="CV16" s="294">
        <f t="shared" si="1"/>
        <v>73891218.419411957</v>
      </c>
      <c r="CW16" s="294">
        <f t="shared" si="1"/>
        <v>0</v>
      </c>
      <c r="CY16" s="294">
        <f t="shared" ref="CY16:DD16" si="2">SUM(CY20:CY161)</f>
        <v>43360438.117149375</v>
      </c>
      <c r="CZ16" s="294">
        <f t="shared" si="2"/>
        <v>25564001.236379758</v>
      </c>
      <c r="DA16" s="294">
        <f t="shared" si="2"/>
        <v>17796436.880769651</v>
      </c>
      <c r="DB16" s="294">
        <f t="shared" si="2"/>
        <v>0</v>
      </c>
      <c r="DC16" s="294">
        <f t="shared" si="2"/>
        <v>27908971.966844067</v>
      </c>
      <c r="DD16" s="294">
        <f t="shared" si="2"/>
        <v>0</v>
      </c>
    </row>
    <row r="17" spans="1:108" x14ac:dyDescent="0.35">
      <c r="P17" s="149" t="s">
        <v>185</v>
      </c>
      <c r="Q17" s="3"/>
      <c r="R17" s="3"/>
      <c r="S17" s="3"/>
      <c r="T17" s="3"/>
      <c r="AA17" s="33">
        <f>SUM(AA20:AA955)</f>
        <v>1106801078.818866</v>
      </c>
      <c r="AJ17" s="294">
        <f>SUMIFS($AA:$AA,$K:$K,"GEO-GSO",$Q:$Q,1)</f>
        <v>954139382.40795124</v>
      </c>
      <c r="AK17" s="294">
        <f>SUMIFS(AA:AA,K:K,"geo-gso",Q:Q,1)</f>
        <v>954139382.40795124</v>
      </c>
      <c r="AY17" s="294">
        <f>SUM(AY20:AY188)</f>
        <v>221360215.76377296</v>
      </c>
      <c r="BF17" s="21">
        <f>SUM(BF20:BF753)</f>
        <v>885440863.05509174</v>
      </c>
      <c r="BG17" s="21"/>
      <c r="BH17" s="21"/>
      <c r="BI17" s="21"/>
      <c r="BJ17" s="21"/>
      <c r="BK17" s="21"/>
      <c r="BL17" s="21"/>
    </row>
    <row r="18" spans="1:108" x14ac:dyDescent="0.35">
      <c r="A18" s="284" t="s">
        <v>518</v>
      </c>
      <c r="N18" s="148"/>
      <c r="P18" s="284" t="s">
        <v>184</v>
      </c>
      <c r="AC18" s="148" t="s">
        <v>354</v>
      </c>
      <c r="AH18" t="s">
        <v>491</v>
      </c>
      <c r="AO18" s="16" t="s">
        <v>61</v>
      </c>
      <c r="AP18" s="16"/>
      <c r="AQ18" s="16"/>
      <c r="AR18" s="16"/>
      <c r="AS18" s="16"/>
      <c r="AT18" s="16"/>
      <c r="AU18" s="16"/>
      <c r="AV18" s="16"/>
      <c r="AW18" s="16"/>
      <c r="AX18" s="16"/>
      <c r="BE18" s="446" t="s">
        <v>621</v>
      </c>
      <c r="BO18" s="12" t="s">
        <v>29</v>
      </c>
      <c r="BP18" s="12" t="s">
        <v>31</v>
      </c>
      <c r="BY18" s="457" t="s">
        <v>36</v>
      </c>
      <c r="BZ18" s="458"/>
      <c r="CA18" s="458"/>
      <c r="CB18" s="458"/>
      <c r="CC18" s="458"/>
      <c r="CD18" s="459"/>
      <c r="CI18" s="460" t="s">
        <v>38</v>
      </c>
      <c r="CJ18" s="460"/>
      <c r="CK18" s="460"/>
      <c r="CL18" s="460"/>
      <c r="CM18" s="460"/>
      <c r="CN18" s="460"/>
      <c r="CR18" s="460" t="s">
        <v>39</v>
      </c>
      <c r="CS18" s="460"/>
      <c r="CT18" s="460"/>
      <c r="CU18" s="460"/>
      <c r="CV18" s="460"/>
      <c r="CW18" s="460"/>
      <c r="CY18" s="460" t="s">
        <v>40</v>
      </c>
      <c r="CZ18" s="460"/>
      <c r="DA18" s="460"/>
      <c r="DB18" s="460"/>
      <c r="DC18" s="460"/>
      <c r="DD18" s="460"/>
    </row>
    <row r="19" spans="1:108" s="5" customFormat="1" x14ac:dyDescent="0.35">
      <c r="A19" s="285"/>
      <c r="B19" s="12" t="s">
        <v>115</v>
      </c>
      <c r="C19" s="12" t="s">
        <v>116</v>
      </c>
      <c r="D19" s="12"/>
      <c r="E19" s="12" t="s">
        <v>1</v>
      </c>
      <c r="F19" s="12" t="s">
        <v>117</v>
      </c>
      <c r="G19" s="12" t="s">
        <v>118</v>
      </c>
      <c r="H19" s="32" t="s">
        <v>2</v>
      </c>
      <c r="I19" s="12" t="s">
        <v>3</v>
      </c>
      <c r="J19" s="12" t="s">
        <v>4</v>
      </c>
      <c r="K19" s="12" t="s">
        <v>5</v>
      </c>
      <c r="L19" s="32" t="s">
        <v>6</v>
      </c>
      <c r="M19" s="32" t="s">
        <v>7</v>
      </c>
      <c r="N19" s="12" t="s">
        <v>8</v>
      </c>
      <c r="O19" s="12" t="s">
        <v>9</v>
      </c>
      <c r="P19" s="285" t="s">
        <v>10</v>
      </c>
      <c r="Q19" s="12" t="s">
        <v>11</v>
      </c>
      <c r="R19" s="12" t="s">
        <v>223</v>
      </c>
      <c r="S19" s="12" t="s">
        <v>119</v>
      </c>
      <c r="T19" s="12" t="s">
        <v>21</v>
      </c>
      <c r="U19" s="12" t="s">
        <v>120</v>
      </c>
      <c r="V19" s="12" t="s">
        <v>37</v>
      </c>
      <c r="W19" s="12" t="s">
        <v>121</v>
      </c>
      <c r="X19" s="12" t="s">
        <v>122</v>
      </c>
      <c r="Y19" s="12" t="s">
        <v>123</v>
      </c>
      <c r="Z19" s="12" t="s">
        <v>124</v>
      </c>
      <c r="AA19" s="34" t="s">
        <v>125</v>
      </c>
      <c r="AB19" s="11"/>
      <c r="AC19" s="11" t="s">
        <v>104</v>
      </c>
      <c r="AD19" s="11" t="s">
        <v>105</v>
      </c>
      <c r="AE19" s="11"/>
      <c r="AF19" s="11" t="s">
        <v>392</v>
      </c>
      <c r="AG19" s="11" t="s">
        <v>393</v>
      </c>
      <c r="AH19" s="11" t="s">
        <v>395</v>
      </c>
      <c r="AI19" s="292" t="s">
        <v>27</v>
      </c>
      <c r="AJ19" s="18" t="s">
        <v>26</v>
      </c>
      <c r="AK19" s="12" t="s">
        <v>28</v>
      </c>
      <c r="AL19" s="12" t="s">
        <v>37</v>
      </c>
      <c r="AM19" s="12" t="s">
        <v>101</v>
      </c>
      <c r="AO19" s="12">
        <v>1</v>
      </c>
      <c r="AP19" s="12">
        <v>2</v>
      </c>
      <c r="AQ19" s="12">
        <v>3</v>
      </c>
      <c r="AR19" s="12">
        <v>4</v>
      </c>
      <c r="AS19" s="12">
        <v>5</v>
      </c>
      <c r="AT19" s="12">
        <v>6</v>
      </c>
      <c r="AU19" s="12">
        <v>7</v>
      </c>
      <c r="AV19" s="12">
        <v>8</v>
      </c>
      <c r="AW19" s="12">
        <v>9</v>
      </c>
      <c r="AX19" s="12">
        <v>10</v>
      </c>
      <c r="AY19" s="12" t="s">
        <v>174</v>
      </c>
      <c r="AZ19" s="12" t="s">
        <v>61</v>
      </c>
      <c r="BA19" s="11"/>
      <c r="BB19" s="15" t="s">
        <v>175</v>
      </c>
      <c r="BC19" s="12" t="s">
        <v>61</v>
      </c>
      <c r="BD19" s="12" t="s">
        <v>619</v>
      </c>
      <c r="BE19" s="12" t="s">
        <v>620</v>
      </c>
      <c r="BF19" s="12" t="s">
        <v>176</v>
      </c>
      <c r="BG19" s="12" t="s">
        <v>211</v>
      </c>
      <c r="BH19" s="12" t="s">
        <v>206</v>
      </c>
      <c r="BI19" s="12" t="s">
        <v>208</v>
      </c>
      <c r="BJ19" s="12" t="s">
        <v>207</v>
      </c>
      <c r="BK19" s="12" t="s">
        <v>210</v>
      </c>
      <c r="BL19" s="12" t="s">
        <v>209</v>
      </c>
      <c r="BM19" s="11"/>
      <c r="BN19" s="12" t="s">
        <v>73</v>
      </c>
      <c r="BO19" s="12" t="s">
        <v>88</v>
      </c>
      <c r="BP19" s="12" t="s">
        <v>86</v>
      </c>
      <c r="BQ19" s="12" t="s">
        <v>74</v>
      </c>
      <c r="BR19" s="12" t="s">
        <v>75</v>
      </c>
      <c r="BS19"/>
      <c r="BT19" s="12" t="s">
        <v>161</v>
      </c>
      <c r="BU19" s="12" t="s">
        <v>69</v>
      </c>
      <c r="BV19" s="12" t="s">
        <v>72</v>
      </c>
      <c r="BW19" s="12" t="s">
        <v>76</v>
      </c>
      <c r="BX19" s="12"/>
      <c r="BY19" s="12" t="s">
        <v>32</v>
      </c>
      <c r="BZ19" s="12" t="s">
        <v>29</v>
      </c>
      <c r="CA19" s="12" t="s">
        <v>31</v>
      </c>
      <c r="CB19" s="12" t="s">
        <v>30</v>
      </c>
      <c r="CC19" s="12" t="s">
        <v>34</v>
      </c>
      <c r="CD19" s="12" t="s">
        <v>35</v>
      </c>
      <c r="CH19" s="15"/>
      <c r="CI19" s="15" t="s">
        <v>32</v>
      </c>
      <c r="CJ19" s="15" t="s">
        <v>29</v>
      </c>
      <c r="CK19" s="15" t="s">
        <v>31</v>
      </c>
      <c r="CL19" s="15" t="s">
        <v>30</v>
      </c>
      <c r="CM19" s="15" t="s">
        <v>34</v>
      </c>
      <c r="CN19" s="15" t="s">
        <v>35</v>
      </c>
      <c r="CR19" s="15" t="s">
        <v>32</v>
      </c>
      <c r="CS19" s="15" t="s">
        <v>29</v>
      </c>
      <c r="CT19" s="15" t="s">
        <v>31</v>
      </c>
      <c r="CU19" s="15" t="s">
        <v>30</v>
      </c>
      <c r="CV19" s="15" t="s">
        <v>34</v>
      </c>
      <c r="CW19" s="15" t="s">
        <v>35</v>
      </c>
      <c r="CY19" s="15" t="s">
        <v>32</v>
      </c>
      <c r="CZ19" s="15" t="s">
        <v>29</v>
      </c>
      <c r="DA19" s="15" t="s">
        <v>31</v>
      </c>
      <c r="DB19" s="15" t="s">
        <v>30</v>
      </c>
      <c r="DC19" s="15" t="s">
        <v>34</v>
      </c>
      <c r="DD19" s="15" t="s">
        <v>35</v>
      </c>
    </row>
    <row r="20" spans="1:108" ht="15.65" customHeight="1" x14ac:dyDescent="0.35">
      <c r="A20" t="str">
        <f>B20&amp;"_"&amp;C20</f>
        <v>344664_1</v>
      </c>
      <c r="B20" s="319">
        <v>344664</v>
      </c>
      <c r="C20" s="319">
        <v>1</v>
      </c>
      <c r="D20" s="319" t="str">
        <f>IFERROR(MATCH(C20,'[4]Custom Earning Pattern Not Popu'!$B$5:$B$428,0),"NA")</f>
        <v>NA</v>
      </c>
      <c r="E20" s="319" t="s">
        <v>17</v>
      </c>
      <c r="F20" s="319">
        <v>12</v>
      </c>
      <c r="G20" s="319">
        <v>15153</v>
      </c>
      <c r="H20" s="320">
        <v>45011</v>
      </c>
      <c r="I20" s="305">
        <v>45839</v>
      </c>
      <c r="J20" s="305">
        <v>46203</v>
      </c>
      <c r="K20" s="302" t="s">
        <v>113</v>
      </c>
      <c r="L20" s="305">
        <v>45839</v>
      </c>
      <c r="M20" s="305">
        <v>46203</v>
      </c>
      <c r="N20" s="302" t="s">
        <v>231</v>
      </c>
      <c r="O20" s="302" t="s">
        <v>230</v>
      </c>
      <c r="P20" s="284">
        <f>IFERROR(INDEX($P$10:$P$14,MATCH(DATEDIF($AC$15,M20,"M"),$O$10:$O$14,1)),0)</f>
        <v>0.2</v>
      </c>
      <c r="Q20" s="281">
        <v>1</v>
      </c>
      <c r="R20" s="281">
        <v>0</v>
      </c>
      <c r="S20" s="281" t="str">
        <f>E20</f>
        <v>Orbit</v>
      </c>
      <c r="T20" s="281" t="s">
        <v>13</v>
      </c>
      <c r="U20" s="302" t="s">
        <v>247</v>
      </c>
      <c r="V20" s="302" t="s">
        <v>29</v>
      </c>
      <c r="W20" s="302" t="s">
        <v>78</v>
      </c>
      <c r="X20" s="302" t="s">
        <v>251</v>
      </c>
      <c r="Y20" s="302" t="s">
        <v>315</v>
      </c>
      <c r="Z20" s="302" t="s">
        <v>13</v>
      </c>
      <c r="AA20" s="307">
        <v>25242749.444031801</v>
      </c>
      <c r="AC20" s="290">
        <f>IF(IF(K20="LEO",ROUNDUP(((M20-$AC$15)/30.5),0)*Q20,0)&lt;0,0,IF(K20="LEO",ROUNDUP(((M20-$AC$15)/30.5),0)*Q20,0))</f>
        <v>0</v>
      </c>
      <c r="AD20" s="88" cm="1">
        <f t="array" ref="AD20">IF(AC20=0,0,INDEX(Summary!$S$4:$S$7,MATCH(AC20,Summary!$R$4:$R$7)+1))</f>
        <v>0</v>
      </c>
      <c r="AE20" s="88">
        <f>IFERROR(INDEX(Summary!$Y$4:$Y$6,MATCH('Input Data'!K20,Summary!$U$4:$U$6,0)),0)</f>
        <v>0.05</v>
      </c>
      <c r="AF20" s="88" t="b">
        <f>IF(I20&gt;=DATE(2024,7,1),TRUE,FALSE)</f>
        <v>1</v>
      </c>
      <c r="AG20" s="89">
        <f>IF(AF20,INDEX('IG Equity Share'!$B:$B,MATCH(YEAR(I20),'IG Equity Share'!$A:$A,0)),0)</f>
        <v>7.4999999999999997E-2</v>
      </c>
      <c r="AH20" s="383">
        <f>AJ20*AG20*_xlfn.XLOOKUP(I20,'S3123 Consortium Share'!$A$3:$A$5,'S3123 Consortium Share'!$F$3:$F$5,,-1)</f>
        <v>788835.92012599378</v>
      </c>
      <c r="AI20" s="14">
        <v>1</v>
      </c>
      <c r="AJ20" s="13">
        <f>AA20</f>
        <v>25242749.444031801</v>
      </c>
      <c r="AK20" s="13">
        <f>AJ20/AI20*Q20</f>
        <v>25242749.444031801</v>
      </c>
      <c r="AL20" s="13" t="str">
        <f t="shared" ref="AL20:AL51" si="3">V20</f>
        <v>FUL</v>
      </c>
      <c r="AM20" s="52">
        <f t="shared" ref="AM20:AM51" si="4">YEAR(I20)</f>
        <v>2025</v>
      </c>
      <c r="AN20" s="4">
        <f>INDEX('[2]Input Data'!$AH:$AH,MATCH(A20,'[2]Input Data'!$A:$A,0),1)-AH20</f>
        <v>0</v>
      </c>
      <c r="AO20" s="13">
        <f t="shared" ref="AO20:AU29" si="5">+IF(AND($I20&lt;=AO$8,$I20&gt;=AO$7),$AK20*AO$11,0)</f>
        <v>0</v>
      </c>
      <c r="AP20" s="13">
        <f t="shared" si="5"/>
        <v>0</v>
      </c>
      <c r="AQ20" s="13">
        <f t="shared" si="5"/>
        <v>0</v>
      </c>
      <c r="AR20" s="13">
        <f t="shared" si="5"/>
        <v>0</v>
      </c>
      <c r="AS20" s="13">
        <f t="shared" si="5"/>
        <v>0</v>
      </c>
      <c r="AT20" s="13">
        <f t="shared" si="5"/>
        <v>0</v>
      </c>
      <c r="AU20" s="13">
        <f>+IF(AND($I20&lt;=AU$8,$I20&gt;=AU$7),$AK20*AU$11,0)</f>
        <v>5048549.8888063608</v>
      </c>
      <c r="AV20" s="13">
        <f t="shared" ref="AV20:AV52" si="6">+IF(AND($I20&lt;=AV$8,$I20&gt;=AV$7),$AK20*AV$11,0)</f>
        <v>0</v>
      </c>
      <c r="AW20" s="13"/>
      <c r="AX20" s="13"/>
      <c r="AY20" s="13">
        <f>SUM(AO20:AX20)</f>
        <v>5048549.8888063608</v>
      </c>
      <c r="AZ20" s="13">
        <f>+AO20+AP20</f>
        <v>0</v>
      </c>
      <c r="BA20" s="74"/>
      <c r="BB20" s="25">
        <f>+AK20-AY20</f>
        <v>20194199.555225439</v>
      </c>
      <c r="BC20" s="13">
        <f>SUM(AO20)</f>
        <v>0</v>
      </c>
      <c r="BD20" s="13" t="b">
        <f>AND(AF20,NOT(ISNUMBER(MATCH(G20,Table1[Excluded Spacecraft ID],0))))</f>
        <v>1</v>
      </c>
      <c r="BE20" s="13">
        <f>BD20*AK20*_xlfn.XLOOKUP(I20,Table2[Date From],Table2[Cession],"Error",-1)*_xlfn.XLOOKUP(I20,'S3123 Consortium Share'!$A$3:$A$5,'S3123 Consortium Share'!$F$3:$F$5,,-1)</f>
        <v>2103562.4536693171</v>
      </c>
      <c r="BF20" s="13">
        <f>+BB20-BC20</f>
        <v>20194199.555225439</v>
      </c>
      <c r="BG20" s="89" cm="1">
        <f t="array" ref="BG20">IF(V20="FIBL",0,INDEX('IGR QS'!$A$1:$D$570,MATCH('Input Data'!V20&amp;'Input Data'!W20&amp;'Input Data'!AM20,'IGR QS'!A:A&amp;'IGR QS'!B:B&amp;'IGR QS'!C:C,0),4))</f>
        <v>0.5</v>
      </c>
      <c r="BH20" s="13">
        <f>+BF20*BG20</f>
        <v>10097099.77761272</v>
      </c>
      <c r="BI20" s="13">
        <f>+BF20-BH20</f>
        <v>10097099.77761272</v>
      </c>
      <c r="BJ20" s="13">
        <f t="shared" ref="BJ20:BJ51" si="7">IF(AND(V20=FIID,(BI20&gt;FIID_Deductible)),MIN(BI20-FIID_Deductible,FIID_Limit),IF(AND(V20=FUL,(BI20&gt;FUL_Deductible)),MIN(BI20-FUL_Deductible,FUL_Limit),0))</f>
        <v>0</v>
      </c>
      <c r="BK20" s="13">
        <f>BH20+BJ20</f>
        <v>10097099.77761272</v>
      </c>
      <c r="BL20" s="13">
        <f>+BI20-BJ20</f>
        <v>10097099.77761272</v>
      </c>
      <c r="BM20" s="21"/>
      <c r="BN20" s="13">
        <f t="shared" ref="BN20:BN51" si="8">SUMIFS($BL:$BL,$N:$N,$N20,$Q:$Q,1)</f>
        <v>17510967.098857567</v>
      </c>
      <c r="BO20" s="13">
        <f t="shared" ref="BO20:BO51" si="9">SUMIFS($BL:$BL,$N:$N,$N20,$Q:$Q,1,$AL:$AL,$BO$18)</f>
        <v>14332947.228239156</v>
      </c>
      <c r="BP20" s="13">
        <f t="shared" ref="BP20:BP51" si="10">SUMIFS($BL:$BL,$N:$N,$N20,$V:$V,BP$18)</f>
        <v>3178019.8706184095</v>
      </c>
      <c r="BQ20" s="13">
        <f t="shared" ref="BQ20:BQ51" si="11">SUMIFS($BK:$BK,$N:$N,$N20)</f>
        <v>32341726.495076805</v>
      </c>
      <c r="BR20" s="13">
        <f t="shared" ref="BR20:BR51" si="12">SUMIFS($AY:$AY,$N:$N,$N20)</f>
        <v>12463173.398483593</v>
      </c>
      <c r="BT20" s="13">
        <f t="shared" ref="BT20:BT51" si="13">SUMIFS($BF:$BF,$C:$C,$C20)</f>
        <v>42889946.503245682</v>
      </c>
      <c r="BU20" s="13">
        <f t="shared" ref="BU20:BU51" si="14">SUMIFS($BL:$BL,$C:$C,$C20)</f>
        <v>15281915.425095754</v>
      </c>
      <c r="BV20" s="13">
        <f t="shared" ref="BV20:BV51" si="15">SUMIFS($BK:$BK,$C:$C,$C20)</f>
        <v>27608031.078149922</v>
      </c>
      <c r="BW20" s="13">
        <f t="shared" ref="BW20:BW51" si="16">SUMIFS($AY:$AY,$C:$C,$C20)</f>
        <v>10722486.62581142</v>
      </c>
      <c r="BX20" s="13"/>
      <c r="BY20" s="25">
        <f t="shared" ref="BY20:BY51" si="17">IF($K20="GEO-GSO",$AK20*Proton_Flare_InsLoss,0)*Q20</f>
        <v>1262137.4722015902</v>
      </c>
      <c r="BZ20" s="25">
        <f t="shared" ref="BZ20:BZ51" si="18">IF(AND($K20="GEO-GSO",AL20="FUL"),$AK20*Proton_Flare_InsLoss,0)*$Q20</f>
        <v>1262137.4722015902</v>
      </c>
      <c r="CA20" s="25">
        <f t="shared" ref="CA20:CA51" si="19">IF(AND($K20="GEO-GSO",AL20="FIID"),$AK20*Proton_Flare_InsLoss,0)*$Q20</f>
        <v>0</v>
      </c>
      <c r="CB20" s="25">
        <f t="shared" ref="CB20:CB51" si="20">IF(AND($K20="GEO-GSO",AL20="FIBL"),$AK20*Proton_Flare_InsLoss,0)*$Q20</f>
        <v>0</v>
      </c>
      <c r="CC20" s="25">
        <f t="shared" ref="CC20:CC51" si="21">IF($K20="GEO-GSO",(AK20*BG20-BJ20)*Proton_Flare_InsLoss,0)*Q20</f>
        <v>631068.7361007951</v>
      </c>
      <c r="CD20" s="384">
        <f t="shared" ref="CD20:CD51" si="22">IF($K20="GEO-GSO",$AK20*Proton_Flare_InsLoss,0)*$Q20*$R20*0.2</f>
        <v>0</v>
      </c>
      <c r="CH20" s="7" t="str" cm="1">
        <f t="array" ref="CH20:CH48">_xlfn.UNIQUE($N$20:$N701)</f>
        <v>Astrium Satellites SAS (Toulouse) (Part of EADS)</v>
      </c>
      <c r="CI20" s="25">
        <f t="shared" ref="CI20:CI46" si="23">SUMIFS($AK:$AK,$K:$K,"GEO-GSO",$N:$N,$CH20,$Q:$Q,1)</f>
        <v>62315866.992417961</v>
      </c>
      <c r="CJ20" s="25">
        <f t="shared" ref="CJ20:CK46" si="24">SUMIFS($AK:$AK,$K:$K,"GEO-GSO",$N:$N,$CH20,$Q:$Q,1,$AL:$AL,CJ$19)</f>
        <v>35832368.070597887</v>
      </c>
      <c r="CK20" s="25">
        <f t="shared" si="24"/>
        <v>26483498.921820067</v>
      </c>
      <c r="CL20" s="25">
        <f>SUMIFS($AK:$AK,$K:$K,"GEO-GSO",$N:$N,$CH20,$Q:$Q,1,$AL:$AL,"FIBL")</f>
        <v>0</v>
      </c>
      <c r="CM20" s="25">
        <f>SUMIFS($BK:$BK,$K:$K,"GEO-GSO",$N:$N,CH20,$Q:$Q,1)</f>
        <v>32341726.495076805</v>
      </c>
      <c r="CN20" s="25">
        <f>SUMIFS($AK:$AK,$K:$K,"GEO-GSO",$N:$N,$CH20,$Q:$Q,1,$R:$R,1)*0.2</f>
        <v>0</v>
      </c>
      <c r="CO20" s="90"/>
      <c r="CP20" s="75"/>
      <c r="CR20" s="25">
        <f t="shared" ref="CR20:CR51" si="25">IF(OR($K20="GEO-GSO",$K20="MEO"),$AK20*Generic_Defect_Loss,0)*$Q20*$P20</f>
        <v>2524274.9444031804</v>
      </c>
      <c r="CS20" s="25">
        <f t="shared" ref="CS20:CT39" si="26">IF(AND(OR($K20="GEO-GSO",$K20="MEO"),$AL20=CS$19),$AK20*Generic_Defect_Loss,0)*$Q20*$P20</f>
        <v>2524274.9444031804</v>
      </c>
      <c r="CT20" s="25">
        <f t="shared" si="26"/>
        <v>0</v>
      </c>
      <c r="CU20" s="25">
        <f t="shared" ref="CU20:CU51" si="27">IF(AND(OR($K20="GEO-GSO",$K20="MEO"),$AL20="FIBL"),$AK20*Generic_Defect_Loss,0)*$Q20*$P20</f>
        <v>0</v>
      </c>
      <c r="CV20" s="25">
        <f t="shared" ref="CV20:CV51" si="28">IF(OR($K20="GEO-GSO",$K20="MEO"),($AK20*BG20-BJ20)*Generic_Defect_Loss,0)*$Q20*$P20</f>
        <v>1262137.4722015902</v>
      </c>
      <c r="CW20" s="25">
        <f t="shared" ref="CW20:CW51" si="29">IF(OR($K20="GEO-GSO",$K20="MEO"),$AK20*Generic_Defect_Loss,0)*$Q20*$P20*$R20*0.2</f>
        <v>0</v>
      </c>
      <c r="CY20" s="25">
        <f t="shared" ref="CY20:CY51" si="30">IF(OR($K20="GEO-GSO",$K20="MEO"),$AK20*Space_Debris_Loss,0)*$Q20*$AE20</f>
        <v>1262137.4722015902</v>
      </c>
      <c r="CZ20" s="25">
        <f t="shared" ref="CZ20:CZ51" si="31">IF(AND(OR($K20="GEO-GSO",$K20="MEO"),$AL20=CZ$19),$AK20*Space_Debris_Loss,0)*$Q20*$AE20</f>
        <v>1262137.4722015902</v>
      </c>
      <c r="DA20" s="25">
        <f t="shared" ref="DA20:DA25" si="32">IF(AND(OR($K20="GEO-GSO",$K20="MEO",$K20="LEO"),$AL20=DA$19),$AK20*Space_Debris_Loss,0)*$Q20*$AE20</f>
        <v>0</v>
      </c>
      <c r="DB20" s="25">
        <f t="shared" ref="DB20:DB51" si="33">IF(AND(OR($K20="GEO-GSO",$K20="MEO"),$AL20="FIBL"),$AK20*Space_Debris_Loss,0)*$Q20*$AE20</f>
        <v>0</v>
      </c>
      <c r="DC20" s="25">
        <f t="shared" ref="DC20:DC51" si="34">IF(OR($K20="GEO-GSO",$K20="MEO"),($AK20*BG20-BJ20)*Space_Debris_Loss,0)*$Q20*$AE20</f>
        <v>631068.7361007951</v>
      </c>
      <c r="DD20" s="25">
        <f t="shared" ref="DD20:DD51" si="35">IF(OR($K20="GEO-GSO",$K20="MEO"),$AK20*1,0)*$Q20*$AE20*$R20*0.2</f>
        <v>0</v>
      </c>
    </row>
    <row r="21" spans="1:108" x14ac:dyDescent="0.35">
      <c r="A21" s="282" t="str">
        <f t="shared" ref="A21:A84" si="36">B21&amp;"_"&amp;C21</f>
        <v>344664_2</v>
      </c>
      <c r="B21" s="303">
        <v>344664</v>
      </c>
      <c r="C21" s="303">
        <v>2</v>
      </c>
      <c r="D21" s="319" t="str">
        <f>IFERROR(MATCH(C21,'[4]Custom Earning Pattern Not Popu'!$B$5:$B$428,0),"NA")</f>
        <v>NA</v>
      </c>
      <c r="E21" s="303" t="s">
        <v>17</v>
      </c>
      <c r="F21" s="303">
        <v>12</v>
      </c>
      <c r="G21" s="303">
        <v>8249</v>
      </c>
      <c r="H21" s="306">
        <v>43566</v>
      </c>
      <c r="I21" s="306">
        <v>45839</v>
      </c>
      <c r="J21" s="306">
        <v>45869</v>
      </c>
      <c r="K21" s="303" t="s">
        <v>113</v>
      </c>
      <c r="L21" s="306">
        <v>45839</v>
      </c>
      <c r="M21" s="306">
        <v>46203</v>
      </c>
      <c r="N21" s="303" t="s">
        <v>231</v>
      </c>
      <c r="O21" s="303" t="s">
        <v>231</v>
      </c>
      <c r="P21" s="148">
        <f t="shared" ref="P21:P84" si="37">IFERROR(INDEX($P$10:$P$14,MATCH(DATEDIF($AC$15,M21,"M"),$O$10:$O$14,1)),0)</f>
        <v>0.2</v>
      </c>
      <c r="Q21" s="282">
        <v>1</v>
      </c>
      <c r="R21" s="282">
        <v>0</v>
      </c>
      <c r="S21" s="282" t="str">
        <f>E21</f>
        <v>Orbit</v>
      </c>
      <c r="T21" s="282" t="s">
        <v>13</v>
      </c>
      <c r="U21" s="303" t="s">
        <v>247</v>
      </c>
      <c r="V21" s="303" t="s">
        <v>29</v>
      </c>
      <c r="W21" s="303" t="s">
        <v>78</v>
      </c>
      <c r="X21" s="303" t="s">
        <v>252</v>
      </c>
      <c r="Y21" s="303" t="s">
        <v>315</v>
      </c>
      <c r="Z21" s="303" t="s">
        <v>13</v>
      </c>
      <c r="AA21" s="308">
        <v>102523.91331881699</v>
      </c>
      <c r="AC21" s="289">
        <f t="shared" ref="AC21:AC84" si="38">IF(IF(K21="LEO",ROUNDUP(((M21-$AC$15)/30.5),0)*Q21,0)&lt;0,0,IF(K21="LEO",ROUNDUP(((M21-$AC$15)/30.5),0)*Q21,0))</f>
        <v>0</v>
      </c>
      <c r="AD21" s="88" cm="1">
        <f t="array" ref="AD21">IF(AC21=0,0,INDEX(Summary!$S$4:$S$7,MATCH(AC21,Summary!$R$4:$R$7)+1))</f>
        <v>0</v>
      </c>
      <c r="AE21" s="88">
        <f>IFERROR(INDEX(Summary!$Y$4:$Y$6,MATCH('Input Data'!K21,Summary!$U$4:$U$6,0)),0)</f>
        <v>0.05</v>
      </c>
      <c r="AF21" s="88" t="b">
        <f t="shared" ref="AF21:AF51" si="39">IF(I21&gt;=DATE(2024,7,1),TRUE,FALSE)</f>
        <v>1</v>
      </c>
      <c r="AG21" s="89">
        <f>IF(AF21,INDEX('IG Equity Share'!$B:$B,MATCH(YEAR(I21),'IG Equity Share'!$A:$A,0)),0)</f>
        <v>7.4999999999999997E-2</v>
      </c>
      <c r="AH21" s="383">
        <f>AJ21*AG21*_xlfn.XLOOKUP(I21,'S3123 Consortium Share'!$A$3:$A$5,'S3123 Consortium Share'!$F$3:$F$5,,-1)</f>
        <v>3203.8722912130311</v>
      </c>
      <c r="AI21" s="14">
        <v>1</v>
      </c>
      <c r="AJ21" s="13">
        <f t="shared" ref="AJ21:AJ51" si="40">AA21</f>
        <v>102523.91331881699</v>
      </c>
      <c r="AK21" s="13">
        <f t="shared" ref="AK21:AK51" si="41">AJ21/AI21*Q21</f>
        <v>102523.91331881699</v>
      </c>
      <c r="AL21" s="13" t="str">
        <f t="shared" si="3"/>
        <v>FUL</v>
      </c>
      <c r="AM21" s="52">
        <f t="shared" si="4"/>
        <v>2025</v>
      </c>
      <c r="AN21" s="4"/>
      <c r="AO21" s="13">
        <f t="shared" si="5"/>
        <v>0</v>
      </c>
      <c r="AP21" s="13">
        <f t="shared" si="5"/>
        <v>0</v>
      </c>
      <c r="AQ21" s="13">
        <f t="shared" si="5"/>
        <v>0</v>
      </c>
      <c r="AR21" s="13">
        <f t="shared" si="5"/>
        <v>0</v>
      </c>
      <c r="AS21" s="13">
        <f t="shared" si="5"/>
        <v>0</v>
      </c>
      <c r="AT21" s="13">
        <f t="shared" si="5"/>
        <v>0</v>
      </c>
      <c r="AU21" s="13">
        <f t="shared" si="5"/>
        <v>20504.782663763399</v>
      </c>
      <c r="AV21" s="13">
        <f t="shared" si="6"/>
        <v>0</v>
      </c>
      <c r="AW21" s="13"/>
      <c r="AX21" s="13"/>
      <c r="AY21" s="13">
        <f t="shared" ref="AY21:AY84" si="42">SUM(AO21:AX21)</f>
        <v>20504.782663763399</v>
      </c>
      <c r="AZ21" s="13">
        <f t="shared" ref="AZ21:AZ39" si="43">+AO21+AP21</f>
        <v>0</v>
      </c>
      <c r="BA21" s="74"/>
      <c r="BB21" s="25">
        <f>+AK21-AY21</f>
        <v>82019.130655053596</v>
      </c>
      <c r="BC21" s="13">
        <f t="shared" ref="BC21:BC39" si="44">SUM(AO21)</f>
        <v>0</v>
      </c>
      <c r="BD21" s="13" t="b">
        <f>AND(AF21,NOT(ISNUMBER(MATCH(G21,Table1[Excluded Spacecraft ID],0))))</f>
        <v>1</v>
      </c>
      <c r="BE21" s="13">
        <f>BD21*AK21*_xlfn.XLOOKUP(I21,Table2[Date From],Table2[Cession],"Error",-1)*_xlfn.XLOOKUP(I21,'S3123 Consortium Share'!$A$3:$A$5,'S3123 Consortium Share'!$F$3:$F$5,,-1)</f>
        <v>8543.6594432347501</v>
      </c>
      <c r="BF21" s="13">
        <f t="shared" ref="BF21:BF39" si="45">+BB21-BC21</f>
        <v>82019.130655053596</v>
      </c>
      <c r="BG21" s="89" cm="1">
        <f t="array" ref="BG21">IF(V21="FIBL",0,INDEX('IGR QS'!$A$1:$D$570,MATCH('Input Data'!V21&amp;'Input Data'!W21&amp;'Input Data'!AM21,'IGR QS'!A:A&amp;'IGR QS'!B:B&amp;'IGR QS'!C:C,0),4))</f>
        <v>0.5</v>
      </c>
      <c r="BH21" s="13">
        <f>+BF21*BG21</f>
        <v>41009.565327526798</v>
      </c>
      <c r="BI21" s="13">
        <f t="shared" ref="BI21:BI39" si="46">+BF21-BH21</f>
        <v>41009.565327526798</v>
      </c>
      <c r="BJ21" s="13">
        <f t="shared" si="7"/>
        <v>0</v>
      </c>
      <c r="BK21" s="13">
        <f t="shared" ref="BK21:BK39" si="47">BH21+BJ21</f>
        <v>41009.565327526798</v>
      </c>
      <c r="BL21" s="13">
        <f t="shared" ref="BL21:BL39" si="48">+BI21-BJ21</f>
        <v>41009.565327526798</v>
      </c>
      <c r="BM21" s="21"/>
      <c r="BN21" s="13">
        <f t="shared" si="8"/>
        <v>17510967.098857567</v>
      </c>
      <c r="BO21" s="13">
        <f t="shared" si="9"/>
        <v>14332947.228239156</v>
      </c>
      <c r="BP21" s="13">
        <f t="shared" si="10"/>
        <v>3178019.8706184095</v>
      </c>
      <c r="BQ21" s="13">
        <f t="shared" si="11"/>
        <v>32341726.495076805</v>
      </c>
      <c r="BR21" s="13">
        <f t="shared" si="12"/>
        <v>12463173.398483593</v>
      </c>
      <c r="BT21" s="13">
        <f t="shared" si="13"/>
        <v>7958953.6734820129</v>
      </c>
      <c r="BU21" s="13">
        <f t="shared" si="14"/>
        <v>2365642.5283515682</v>
      </c>
      <c r="BV21" s="13">
        <f t="shared" si="15"/>
        <v>5593311.1451304462</v>
      </c>
      <c r="BW21" s="13">
        <f t="shared" si="16"/>
        <v>1989738.4183705035</v>
      </c>
      <c r="BX21" s="13"/>
      <c r="BY21" s="25">
        <f t="shared" si="17"/>
        <v>5126.1956659408497</v>
      </c>
      <c r="BZ21" s="25">
        <f t="shared" si="18"/>
        <v>5126.1956659408497</v>
      </c>
      <c r="CA21" s="25">
        <f t="shared" si="19"/>
        <v>0</v>
      </c>
      <c r="CB21" s="25">
        <f t="shared" si="20"/>
        <v>0</v>
      </c>
      <c r="CC21" s="25">
        <f t="shared" si="21"/>
        <v>2563.0978329704249</v>
      </c>
      <c r="CD21" s="384">
        <f t="shared" si="22"/>
        <v>0</v>
      </c>
      <c r="CH21" s="7" t="str">
        <v>Airbus Defence and Space (Toulouse)</v>
      </c>
      <c r="CI21" s="25">
        <f t="shared" si="23"/>
        <v>249055777.94112059</v>
      </c>
      <c r="CJ21" s="25">
        <f t="shared" si="24"/>
        <v>122607729.29155537</v>
      </c>
      <c r="CK21" s="25">
        <f t="shared" si="24"/>
        <v>126448048.64956525</v>
      </c>
      <c r="CL21" s="25">
        <f t="shared" ref="CL21:CL46" si="49">SUMIFS($AK:$AK,$K:$K,"GEO-GSO",$N:$N,$CH21,$Q:$Q,1,$AL:$AL,"FIBL")</f>
        <v>0</v>
      </c>
      <c r="CM21" s="25">
        <f t="shared" ref="CM21:CM46" si="50">SUMIFS($BK:$BK,$K:$K,"GEO-GSO",$N:$N,CH21,$Q:$Q,1)</f>
        <v>135027764.79832649</v>
      </c>
      <c r="CN21" s="25">
        <f t="shared" ref="CN21:CN46" si="51">SUMIFS($AK:$AK,$K:$K,"GEO-GSO",$N:$N,$CH21,$Q:$Q,1,$R:$R,1)*0.2</f>
        <v>0</v>
      </c>
      <c r="CO21" s="90"/>
      <c r="CP21" s="75"/>
      <c r="CR21" s="25">
        <f t="shared" si="25"/>
        <v>10252.391331881699</v>
      </c>
      <c r="CS21" s="25">
        <f t="shared" si="26"/>
        <v>10252.391331881699</v>
      </c>
      <c r="CT21" s="25">
        <f t="shared" si="26"/>
        <v>0</v>
      </c>
      <c r="CU21" s="25">
        <f t="shared" si="27"/>
        <v>0</v>
      </c>
      <c r="CV21" s="25">
        <f t="shared" si="28"/>
        <v>5126.1956659408497</v>
      </c>
      <c r="CW21" s="25">
        <f t="shared" si="29"/>
        <v>0</v>
      </c>
      <c r="CY21" s="25">
        <f t="shared" si="30"/>
        <v>5126.1956659408497</v>
      </c>
      <c r="CZ21" s="25">
        <f t="shared" si="31"/>
        <v>5126.1956659408497</v>
      </c>
      <c r="DA21" s="25">
        <f t="shared" si="32"/>
        <v>0</v>
      </c>
      <c r="DB21" s="25">
        <f t="shared" si="33"/>
        <v>0</v>
      </c>
      <c r="DC21" s="25">
        <f t="shared" si="34"/>
        <v>2563.0978329704249</v>
      </c>
      <c r="DD21" s="25">
        <f t="shared" si="35"/>
        <v>0</v>
      </c>
    </row>
    <row r="22" spans="1:108" x14ac:dyDescent="0.35">
      <c r="A22" s="282" t="str">
        <f t="shared" si="36"/>
        <v>344664_3</v>
      </c>
      <c r="B22" s="303">
        <v>344664</v>
      </c>
      <c r="C22" s="303">
        <v>3</v>
      </c>
      <c r="D22" s="319" t="str">
        <f>IFERROR(MATCH(C22,'[4]Custom Earning Pattern Not Popu'!$B$5:$B$428,0),"NA")</f>
        <v>NA</v>
      </c>
      <c r="E22" s="303" t="s">
        <v>17</v>
      </c>
      <c r="F22" s="303">
        <v>12</v>
      </c>
      <c r="G22" s="303">
        <v>8250</v>
      </c>
      <c r="H22" s="306">
        <v>41223</v>
      </c>
      <c r="I22" s="306">
        <v>45839</v>
      </c>
      <c r="J22" s="306">
        <v>46203</v>
      </c>
      <c r="K22" s="303" t="s">
        <v>113</v>
      </c>
      <c r="L22" s="306">
        <v>45839</v>
      </c>
      <c r="M22" s="306">
        <v>46203</v>
      </c>
      <c r="N22" s="303" t="s">
        <v>231</v>
      </c>
      <c r="O22" s="303" t="s">
        <v>231</v>
      </c>
      <c r="P22" s="148">
        <f t="shared" si="37"/>
        <v>0.2</v>
      </c>
      <c r="Q22" s="282">
        <v>1</v>
      </c>
      <c r="R22" s="282">
        <v>0</v>
      </c>
      <c r="S22" s="282" t="str">
        <f t="shared" ref="S22:S85" si="52">E22</f>
        <v>Orbit</v>
      </c>
      <c r="T22" s="282" t="s">
        <v>13</v>
      </c>
      <c r="U22" s="303" t="s">
        <v>247</v>
      </c>
      <c r="V22" s="303" t="s">
        <v>29</v>
      </c>
      <c r="W22" s="303" t="s">
        <v>78</v>
      </c>
      <c r="X22" s="303" t="s">
        <v>253</v>
      </c>
      <c r="Y22" s="303" t="s">
        <v>315</v>
      </c>
      <c r="Z22" s="303" t="s">
        <v>13</v>
      </c>
      <c r="AA22" s="308">
        <v>5146207.4986625696</v>
      </c>
      <c r="AC22" s="289">
        <f t="shared" si="38"/>
        <v>0</v>
      </c>
      <c r="AD22" s="88" cm="1">
        <f t="array" ref="AD22">IF(AC22=0,0,INDEX(Summary!$S$4:$S$7,MATCH(AC22,Summary!$R$4:$R$7)+1))</f>
        <v>0</v>
      </c>
      <c r="AE22" s="88">
        <f>IFERROR(INDEX(Summary!$Y$4:$Y$6,MATCH('Input Data'!K22,Summary!$U$4:$U$6,0)),0)</f>
        <v>0.05</v>
      </c>
      <c r="AF22" s="88" t="b">
        <f t="shared" si="39"/>
        <v>1</v>
      </c>
      <c r="AG22" s="89">
        <f>IF(AF22,INDEX('IG Equity Share'!$B:$B,MATCH(YEAR(I22),'IG Equity Share'!$A:$A,0)),0)</f>
        <v>7.4999999999999997E-2</v>
      </c>
      <c r="AH22" s="383">
        <f>AJ22*AG22*_xlfn.XLOOKUP(I22,'S3123 Consortium Share'!$A$3:$A$5,'S3123 Consortium Share'!$F$3:$F$5,,-1)</f>
        <v>160818.9843332053</v>
      </c>
      <c r="AI22" s="14">
        <v>1</v>
      </c>
      <c r="AJ22" s="13">
        <f t="shared" si="40"/>
        <v>5146207.4986625696</v>
      </c>
      <c r="AK22" s="13">
        <f t="shared" si="41"/>
        <v>5146207.4986625696</v>
      </c>
      <c r="AL22" s="13" t="str">
        <f t="shared" si="3"/>
        <v>FUL</v>
      </c>
      <c r="AM22" s="52">
        <f t="shared" si="4"/>
        <v>2025</v>
      </c>
      <c r="AN22" s="4"/>
      <c r="AO22" s="13">
        <f t="shared" si="5"/>
        <v>0</v>
      </c>
      <c r="AP22" s="13">
        <f t="shared" si="5"/>
        <v>0</v>
      </c>
      <c r="AQ22" s="13">
        <f t="shared" si="5"/>
        <v>0</v>
      </c>
      <c r="AR22" s="13">
        <f t="shared" si="5"/>
        <v>0</v>
      </c>
      <c r="AS22" s="13">
        <f t="shared" si="5"/>
        <v>0</v>
      </c>
      <c r="AT22" s="13">
        <f t="shared" si="5"/>
        <v>0</v>
      </c>
      <c r="AU22" s="13">
        <f t="shared" si="5"/>
        <v>1029241.4997325139</v>
      </c>
      <c r="AV22" s="13">
        <f t="shared" si="6"/>
        <v>0</v>
      </c>
      <c r="AW22" s="13"/>
      <c r="AX22" s="13"/>
      <c r="AY22" s="13">
        <f t="shared" si="42"/>
        <v>1029241.4997325139</v>
      </c>
      <c r="AZ22" s="13">
        <f t="shared" si="43"/>
        <v>0</v>
      </c>
      <c r="BA22" s="74"/>
      <c r="BB22" s="25">
        <f>+AK22-AY22</f>
        <v>4116965.9989300556</v>
      </c>
      <c r="BC22" s="13">
        <f t="shared" si="44"/>
        <v>0</v>
      </c>
      <c r="BD22" s="13" t="b">
        <f>AND(AF22,NOT(ISNUMBER(MATCH(G22,Table1[Excluded Spacecraft ID],0))))</f>
        <v>1</v>
      </c>
      <c r="BE22" s="13">
        <f>BD22*AK22*_xlfn.XLOOKUP(I22,Table2[Date From],Table2[Cession],"Error",-1)*_xlfn.XLOOKUP(I22,'S3123 Consortium Share'!$A$3:$A$5,'S3123 Consortium Share'!$F$3:$F$5,,-1)</f>
        <v>428850.62488854746</v>
      </c>
      <c r="BF22" s="13">
        <f>+BB22-BC22</f>
        <v>4116965.9989300556</v>
      </c>
      <c r="BG22" s="89" cm="1">
        <f t="array" ref="BG22">IF(V22="FIBL",0,INDEX('IGR QS'!$A$1:$D$570,MATCH('Input Data'!V22&amp;'Input Data'!W22&amp;'Input Data'!AM22,'IGR QS'!A:A&amp;'IGR QS'!B:B&amp;'IGR QS'!C:C,0),4))</f>
        <v>0.5</v>
      </c>
      <c r="BH22" s="13">
        <f t="shared" ref="BH22:BH39" si="53">+BF22*BG22</f>
        <v>2058482.9994650278</v>
      </c>
      <c r="BI22" s="13">
        <f t="shared" si="46"/>
        <v>2058482.9994650278</v>
      </c>
      <c r="BJ22" s="13">
        <f t="shared" si="7"/>
        <v>0</v>
      </c>
      <c r="BK22" s="13">
        <f t="shared" si="47"/>
        <v>2058482.9994650278</v>
      </c>
      <c r="BL22" s="13">
        <f t="shared" si="48"/>
        <v>2058482.9994650278</v>
      </c>
      <c r="BM22" s="21"/>
      <c r="BN22" s="13">
        <f t="shared" si="8"/>
        <v>17510967.098857567</v>
      </c>
      <c r="BO22" s="13">
        <f t="shared" si="9"/>
        <v>14332947.228239156</v>
      </c>
      <c r="BP22" s="13">
        <f t="shared" si="10"/>
        <v>3178019.8706184095</v>
      </c>
      <c r="BQ22" s="13">
        <f t="shared" si="11"/>
        <v>32341726.495076805</v>
      </c>
      <c r="BR22" s="13">
        <f t="shared" si="12"/>
        <v>12463173.398483593</v>
      </c>
      <c r="BT22" s="13">
        <f t="shared" si="13"/>
        <v>14303554.350748904</v>
      </c>
      <c r="BU22" s="13">
        <f t="shared" si="14"/>
        <v>5429275.3728778558</v>
      </c>
      <c r="BV22" s="13">
        <f t="shared" si="15"/>
        <v>8874278.9778710492</v>
      </c>
      <c r="BW22" s="13">
        <f t="shared" si="16"/>
        <v>3575888.587687226</v>
      </c>
      <c r="BX22" s="13"/>
      <c r="BY22" s="25">
        <f t="shared" si="17"/>
        <v>257310.37493312848</v>
      </c>
      <c r="BZ22" s="25">
        <f t="shared" si="18"/>
        <v>257310.37493312848</v>
      </c>
      <c r="CA22" s="25">
        <f t="shared" si="19"/>
        <v>0</v>
      </c>
      <c r="CB22" s="25">
        <f t="shared" si="20"/>
        <v>0</v>
      </c>
      <c r="CC22" s="25">
        <f t="shared" si="21"/>
        <v>128655.18746656424</v>
      </c>
      <c r="CD22" s="384">
        <f t="shared" si="22"/>
        <v>0</v>
      </c>
      <c r="CH22" s="7" t="str">
        <v>Lockheed Martin Commercial Space Systems</v>
      </c>
      <c r="CI22" s="25">
        <f t="shared" si="23"/>
        <v>36786707.201652616</v>
      </c>
      <c r="CJ22" s="25">
        <f t="shared" si="24"/>
        <v>36786707.201652616</v>
      </c>
      <c r="CK22" s="25">
        <f t="shared" si="24"/>
        <v>0</v>
      </c>
      <c r="CL22" s="25">
        <f t="shared" si="49"/>
        <v>0</v>
      </c>
      <c r="CM22" s="25">
        <f t="shared" si="50"/>
        <v>14714682.880661048</v>
      </c>
      <c r="CN22" s="25">
        <f t="shared" si="51"/>
        <v>0</v>
      </c>
      <c r="CO22" s="90"/>
      <c r="CP22" s="75"/>
      <c r="CR22" s="25">
        <f t="shared" si="25"/>
        <v>514620.74986625696</v>
      </c>
      <c r="CS22" s="25">
        <f t="shared" si="26"/>
        <v>514620.74986625696</v>
      </c>
      <c r="CT22" s="25">
        <f t="shared" si="26"/>
        <v>0</v>
      </c>
      <c r="CU22" s="25">
        <f t="shared" si="27"/>
        <v>0</v>
      </c>
      <c r="CV22" s="25">
        <f t="shared" si="28"/>
        <v>257310.37493312848</v>
      </c>
      <c r="CW22" s="25">
        <f t="shared" si="29"/>
        <v>0</v>
      </c>
      <c r="CY22" s="25">
        <f t="shared" si="30"/>
        <v>257310.37493312848</v>
      </c>
      <c r="CZ22" s="25">
        <f t="shared" si="31"/>
        <v>257310.37493312848</v>
      </c>
      <c r="DA22" s="25">
        <f t="shared" si="32"/>
        <v>0</v>
      </c>
      <c r="DB22" s="25">
        <f t="shared" si="33"/>
        <v>0</v>
      </c>
      <c r="DC22" s="25">
        <f t="shared" si="34"/>
        <v>128655.18746656424</v>
      </c>
      <c r="DD22" s="25">
        <f t="shared" si="35"/>
        <v>0</v>
      </c>
    </row>
    <row r="23" spans="1:108" x14ac:dyDescent="0.35">
      <c r="A23" s="282" t="str">
        <f t="shared" si="36"/>
        <v>344664_4</v>
      </c>
      <c r="B23" s="303">
        <v>344664</v>
      </c>
      <c r="C23" s="303">
        <v>4</v>
      </c>
      <c r="D23" s="319" t="str">
        <f>IFERROR(MATCH(C23,'[4]Custom Earning Pattern Not Popu'!$B$5:$B$428,0),"NA")</f>
        <v>NA</v>
      </c>
      <c r="E23" s="303" t="s">
        <v>17</v>
      </c>
      <c r="F23" s="303">
        <v>12</v>
      </c>
      <c r="G23" s="303">
        <v>8785</v>
      </c>
      <c r="H23" s="306">
        <v>41246</v>
      </c>
      <c r="I23" s="306">
        <v>45839</v>
      </c>
      <c r="J23" s="306">
        <v>46203</v>
      </c>
      <c r="K23" s="303" t="s">
        <v>113</v>
      </c>
      <c r="L23" s="306">
        <v>45839</v>
      </c>
      <c r="M23" s="306">
        <v>46203</v>
      </c>
      <c r="N23" s="303" t="s">
        <v>231</v>
      </c>
      <c r="O23" s="303" t="s">
        <v>231</v>
      </c>
      <c r="P23" s="148">
        <f t="shared" si="37"/>
        <v>0.2</v>
      </c>
      <c r="Q23" s="282">
        <v>1</v>
      </c>
      <c r="R23" s="282">
        <v>0</v>
      </c>
      <c r="S23" s="282" t="str">
        <f t="shared" si="52"/>
        <v>Orbit</v>
      </c>
      <c r="T23" s="282" t="s">
        <v>13</v>
      </c>
      <c r="U23" s="303" t="s">
        <v>247</v>
      </c>
      <c r="V23" s="303" t="s">
        <v>29</v>
      </c>
      <c r="W23" s="303" t="s">
        <v>78</v>
      </c>
      <c r="X23" s="303" t="s">
        <v>254</v>
      </c>
      <c r="Y23" s="303" t="s">
        <v>315</v>
      </c>
      <c r="Z23" s="303" t="s">
        <v>13</v>
      </c>
      <c r="AA23" s="308">
        <v>819140.00562610605</v>
      </c>
      <c r="AC23" s="289">
        <f t="shared" si="38"/>
        <v>0</v>
      </c>
      <c r="AD23" s="88" cm="1">
        <f t="array" ref="AD23">IF(AC23=0,0,INDEX(Summary!$S$4:$S$7,MATCH(AC23,Summary!$R$4:$R$7)+1))</f>
        <v>0</v>
      </c>
      <c r="AE23" s="88">
        <f>IFERROR(INDEX(Summary!$Y$4:$Y$6,MATCH('Input Data'!K23,Summary!$U$4:$U$6,0)),0)</f>
        <v>0.05</v>
      </c>
      <c r="AF23" s="88" t="b">
        <f t="shared" si="39"/>
        <v>1</v>
      </c>
      <c r="AG23" s="89">
        <f>IF(AF23,INDEX('IG Equity Share'!$B:$B,MATCH(YEAR(I23),'IG Equity Share'!$A:$A,0)),0)</f>
        <v>7.4999999999999997E-2</v>
      </c>
      <c r="AH23" s="383">
        <f>AJ23*AG23*_xlfn.XLOOKUP(I23,'S3123 Consortium Share'!$A$3:$A$5,'S3123 Consortium Share'!$F$3:$F$5,,-1)</f>
        <v>25598.125175815814</v>
      </c>
      <c r="AI23" s="14">
        <v>1</v>
      </c>
      <c r="AJ23" s="13">
        <f t="shared" si="40"/>
        <v>819140.00562610605</v>
      </c>
      <c r="AK23" s="13">
        <f t="shared" si="41"/>
        <v>819140.00562610605</v>
      </c>
      <c r="AL23" s="13" t="str">
        <f t="shared" si="3"/>
        <v>FUL</v>
      </c>
      <c r="AM23" s="52">
        <f t="shared" si="4"/>
        <v>2025</v>
      </c>
      <c r="AN23" s="4"/>
      <c r="AO23" s="13">
        <f t="shared" si="5"/>
        <v>0</v>
      </c>
      <c r="AP23" s="13">
        <f t="shared" si="5"/>
        <v>0</v>
      </c>
      <c r="AQ23" s="13">
        <f t="shared" si="5"/>
        <v>0</v>
      </c>
      <c r="AR23" s="13">
        <f t="shared" si="5"/>
        <v>0</v>
      </c>
      <c r="AS23" s="13">
        <f t="shared" si="5"/>
        <v>0</v>
      </c>
      <c r="AT23" s="13">
        <f t="shared" si="5"/>
        <v>0</v>
      </c>
      <c r="AU23" s="13">
        <f t="shared" si="5"/>
        <v>163828.00112522123</v>
      </c>
      <c r="AV23" s="13">
        <f t="shared" si="6"/>
        <v>0</v>
      </c>
      <c r="AW23" s="13"/>
      <c r="AX23" s="13"/>
      <c r="AY23" s="13">
        <f t="shared" si="42"/>
        <v>163828.00112522123</v>
      </c>
      <c r="AZ23" s="13">
        <f t="shared" si="43"/>
        <v>0</v>
      </c>
      <c r="BA23" s="74"/>
      <c r="BB23" s="25">
        <f>+AK23-AY23</f>
        <v>655312.0045008848</v>
      </c>
      <c r="BC23" s="13">
        <f t="shared" si="44"/>
        <v>0</v>
      </c>
      <c r="BD23" s="13" t="b">
        <f>AND(AF23,NOT(ISNUMBER(MATCH(G23,Table1[Excluded Spacecraft ID],0))))</f>
        <v>1</v>
      </c>
      <c r="BE23" s="13">
        <f>BD23*AK23*_xlfn.XLOOKUP(I23,Table2[Date From],Table2[Cession],"Error",-1)*_xlfn.XLOOKUP(I23,'S3123 Consortium Share'!$A$3:$A$5,'S3123 Consortium Share'!$F$3:$F$5,,-1)</f>
        <v>68261.667135508847</v>
      </c>
      <c r="BF23" s="13">
        <f>+BB23-BC23</f>
        <v>655312.0045008848</v>
      </c>
      <c r="BG23" s="89" cm="1">
        <f t="array" ref="BG23">IF(V23="FIBL",0,INDEX('IGR QS'!$A$1:$D$570,MATCH('Input Data'!V23&amp;'Input Data'!W23&amp;'Input Data'!AM23,'IGR QS'!A:A&amp;'IGR QS'!B:B&amp;'IGR QS'!C:C,0),4))</f>
        <v>0.5</v>
      </c>
      <c r="BH23" s="13">
        <f t="shared" si="53"/>
        <v>327656.0022504424</v>
      </c>
      <c r="BI23" s="13">
        <f t="shared" si="46"/>
        <v>327656.0022504424</v>
      </c>
      <c r="BJ23" s="13">
        <f t="shared" si="7"/>
        <v>0</v>
      </c>
      <c r="BK23" s="13">
        <f t="shared" si="47"/>
        <v>327656.0022504424</v>
      </c>
      <c r="BL23" s="13">
        <f t="shared" si="48"/>
        <v>327656.0022504424</v>
      </c>
      <c r="BM23" s="21"/>
      <c r="BN23" s="13">
        <f t="shared" si="8"/>
        <v>17510967.098857567</v>
      </c>
      <c r="BO23" s="13">
        <f t="shared" si="9"/>
        <v>14332947.228239156</v>
      </c>
      <c r="BP23" s="13">
        <f t="shared" si="10"/>
        <v>3178019.8706184095</v>
      </c>
      <c r="BQ23" s="13">
        <f t="shared" si="11"/>
        <v>32341726.495076805</v>
      </c>
      <c r="BR23" s="13">
        <f t="shared" si="12"/>
        <v>12463173.398483593</v>
      </c>
      <c r="BT23" s="13">
        <f t="shared" si="13"/>
        <v>15269337.018879766</v>
      </c>
      <c r="BU23" s="13">
        <f t="shared" si="14"/>
        <v>3749450.4740072717</v>
      </c>
      <c r="BV23" s="13">
        <f t="shared" si="15"/>
        <v>11519886.544872493</v>
      </c>
      <c r="BW23" s="13">
        <f t="shared" si="16"/>
        <v>3817334.2547199414</v>
      </c>
      <c r="BX23" s="13"/>
      <c r="BY23" s="25">
        <f t="shared" si="17"/>
        <v>40957.000281305307</v>
      </c>
      <c r="BZ23" s="25">
        <f t="shared" si="18"/>
        <v>40957.000281305307</v>
      </c>
      <c r="CA23" s="25">
        <f t="shared" si="19"/>
        <v>0</v>
      </c>
      <c r="CB23" s="25">
        <f t="shared" si="20"/>
        <v>0</v>
      </c>
      <c r="CC23" s="25">
        <f t="shared" si="21"/>
        <v>20478.500140652653</v>
      </c>
      <c r="CD23" s="384">
        <f t="shared" si="22"/>
        <v>0</v>
      </c>
      <c r="CH23" s="7" t="str">
        <v>Airbus Defence and Space</v>
      </c>
      <c r="CI23" s="25">
        <f t="shared" si="23"/>
        <v>19814782.423728701</v>
      </c>
      <c r="CJ23" s="25">
        <f t="shared" si="24"/>
        <v>0</v>
      </c>
      <c r="CK23" s="25">
        <f t="shared" si="24"/>
        <v>19814782.423728701</v>
      </c>
      <c r="CL23" s="25">
        <f t="shared" si="49"/>
        <v>0</v>
      </c>
      <c r="CM23" s="25">
        <f t="shared" si="50"/>
        <v>13474052.048135515</v>
      </c>
      <c r="CN23" s="25">
        <f t="shared" si="51"/>
        <v>0</v>
      </c>
      <c r="CO23" s="90"/>
      <c r="CP23" s="75"/>
      <c r="CR23" s="25">
        <f t="shared" si="25"/>
        <v>81914.000562610614</v>
      </c>
      <c r="CS23" s="25">
        <f t="shared" si="26"/>
        <v>81914.000562610614</v>
      </c>
      <c r="CT23" s="25">
        <f t="shared" si="26"/>
        <v>0</v>
      </c>
      <c r="CU23" s="25">
        <f t="shared" si="27"/>
        <v>0</v>
      </c>
      <c r="CV23" s="25">
        <f t="shared" si="28"/>
        <v>40957.000281305307</v>
      </c>
      <c r="CW23" s="25">
        <f t="shared" si="29"/>
        <v>0</v>
      </c>
      <c r="CY23" s="25">
        <f t="shared" si="30"/>
        <v>40957.000281305307</v>
      </c>
      <c r="CZ23" s="25">
        <f t="shared" si="31"/>
        <v>40957.000281305307</v>
      </c>
      <c r="DA23" s="25">
        <f t="shared" si="32"/>
        <v>0</v>
      </c>
      <c r="DB23" s="25">
        <f t="shared" si="33"/>
        <v>0</v>
      </c>
      <c r="DC23" s="25">
        <f t="shared" si="34"/>
        <v>20478.500140652653</v>
      </c>
      <c r="DD23" s="25">
        <f t="shared" si="35"/>
        <v>0</v>
      </c>
    </row>
    <row r="24" spans="1:108" x14ac:dyDescent="0.35">
      <c r="A24" s="282" t="str">
        <f t="shared" si="36"/>
        <v>344664_5</v>
      </c>
      <c r="B24" s="303">
        <v>344664</v>
      </c>
      <c r="C24" s="303">
        <v>5</v>
      </c>
      <c r="D24" s="319" t="str">
        <f>IFERROR(MATCH(C24,'[4]Custom Earning Pattern Not Popu'!$B$5:$B$428,0),"NA")</f>
        <v>NA</v>
      </c>
      <c r="E24" s="303" t="s">
        <v>17</v>
      </c>
      <c r="F24" s="303">
        <v>12</v>
      </c>
      <c r="G24" s="303">
        <v>8786</v>
      </c>
      <c r="H24" s="306">
        <v>41408</v>
      </c>
      <c r="I24" s="306">
        <v>45839</v>
      </c>
      <c r="J24" s="306">
        <v>46203</v>
      </c>
      <c r="K24" s="303" t="s">
        <v>113</v>
      </c>
      <c r="L24" s="306">
        <v>45839</v>
      </c>
      <c r="M24" s="306">
        <v>46203</v>
      </c>
      <c r="N24" s="303" t="s">
        <v>230</v>
      </c>
      <c r="O24" s="303" t="s">
        <v>230</v>
      </c>
      <c r="P24" s="148">
        <f t="shared" si="37"/>
        <v>0.2</v>
      </c>
      <c r="Q24" s="282">
        <v>1</v>
      </c>
      <c r="R24" s="282">
        <v>0</v>
      </c>
      <c r="S24" s="282" t="str">
        <f t="shared" si="52"/>
        <v>Orbit</v>
      </c>
      <c r="T24" s="282" t="s">
        <v>13</v>
      </c>
      <c r="U24" s="303" t="s">
        <v>247</v>
      </c>
      <c r="V24" s="303" t="s">
        <v>29</v>
      </c>
      <c r="W24" s="303" t="s">
        <v>78</v>
      </c>
      <c r="X24" s="303" t="s">
        <v>255</v>
      </c>
      <c r="Y24" s="303" t="s">
        <v>315</v>
      </c>
      <c r="Z24" s="303" t="s">
        <v>13</v>
      </c>
      <c r="AA24" s="308">
        <v>9517167.3330825903</v>
      </c>
      <c r="AC24" s="289">
        <f t="shared" si="38"/>
        <v>0</v>
      </c>
      <c r="AD24" s="88" cm="1">
        <f t="array" ref="AD24">IF(AC24=0,0,INDEX(Summary!$S$4:$S$7,MATCH(AC24,Summary!$R$4:$R$7)+1))</f>
        <v>0</v>
      </c>
      <c r="AE24" s="88">
        <f>IFERROR(INDEX(Summary!$Y$4:$Y$6,MATCH('Input Data'!K24,Summary!$U$4:$U$6,0)),0)</f>
        <v>0.05</v>
      </c>
      <c r="AF24" s="88" t="b">
        <f t="shared" si="39"/>
        <v>1</v>
      </c>
      <c r="AG24" s="89">
        <f>IF(AF24,INDEX('IG Equity Share'!$B:$B,MATCH(YEAR(I24),'IG Equity Share'!$A:$A,0)),0)</f>
        <v>7.4999999999999997E-2</v>
      </c>
      <c r="AH24" s="383">
        <f>AJ24*AG24*_xlfn.XLOOKUP(I24,'S3123 Consortium Share'!$A$3:$A$5,'S3123 Consortium Share'!$F$3:$F$5,,-1)</f>
        <v>297411.47915883095</v>
      </c>
      <c r="AI24" s="14">
        <v>1</v>
      </c>
      <c r="AJ24" s="13">
        <f t="shared" si="40"/>
        <v>9517167.3330825903</v>
      </c>
      <c r="AK24" s="13">
        <f t="shared" si="41"/>
        <v>9517167.3330825903</v>
      </c>
      <c r="AL24" s="13" t="str">
        <f t="shared" si="3"/>
        <v>FUL</v>
      </c>
      <c r="AM24" s="52">
        <f t="shared" si="4"/>
        <v>2025</v>
      </c>
      <c r="AN24" s="4"/>
      <c r="AO24" s="13">
        <f t="shared" si="5"/>
        <v>0</v>
      </c>
      <c r="AP24" s="13">
        <f t="shared" si="5"/>
        <v>0</v>
      </c>
      <c r="AQ24" s="13">
        <f t="shared" si="5"/>
        <v>0</v>
      </c>
      <c r="AR24" s="13">
        <f t="shared" si="5"/>
        <v>0</v>
      </c>
      <c r="AS24" s="13">
        <f t="shared" si="5"/>
        <v>0</v>
      </c>
      <c r="AT24" s="13">
        <f t="shared" si="5"/>
        <v>0</v>
      </c>
      <c r="AU24" s="13">
        <f t="shared" si="5"/>
        <v>1903433.4666165181</v>
      </c>
      <c r="AV24" s="13">
        <f t="shared" si="6"/>
        <v>0</v>
      </c>
      <c r="AW24" s="13"/>
      <c r="AX24" s="13"/>
      <c r="AY24" s="13">
        <f t="shared" si="42"/>
        <v>1903433.4666165181</v>
      </c>
      <c r="AZ24" s="13">
        <f t="shared" si="43"/>
        <v>0</v>
      </c>
      <c r="BA24" s="74"/>
      <c r="BB24" s="25">
        <f t="shared" ref="BB24:BB39" si="54">+AK24-AY24</f>
        <v>7613733.8664660724</v>
      </c>
      <c r="BC24" s="13">
        <f t="shared" si="44"/>
        <v>0</v>
      </c>
      <c r="BD24" s="13" t="b">
        <f>AND(AF24,NOT(ISNUMBER(MATCH(G24,Table1[Excluded Spacecraft ID],0))))</f>
        <v>1</v>
      </c>
      <c r="BE24" s="13">
        <f>BD24*AK24*_xlfn.XLOOKUP(I24,Table2[Date From],Table2[Cession],"Error",-1)*_xlfn.XLOOKUP(I24,'S3123 Consortium Share'!$A$3:$A$5,'S3123 Consortium Share'!$F$3:$F$5,,-1)</f>
        <v>793097.2777568826</v>
      </c>
      <c r="BF24" s="13">
        <f t="shared" si="45"/>
        <v>7613733.8664660724</v>
      </c>
      <c r="BG24" s="89" cm="1">
        <f t="array" ref="BG24">IF(V24="FIBL",0,INDEX('IGR QS'!$A$1:$D$570,MATCH('Input Data'!V24&amp;'Input Data'!W24&amp;'Input Data'!AM24,'IGR QS'!A:A&amp;'IGR QS'!B:B&amp;'IGR QS'!C:C,0),4))</f>
        <v>0.5</v>
      </c>
      <c r="BH24" s="13">
        <f t="shared" si="53"/>
        <v>3806866.9332330362</v>
      </c>
      <c r="BI24" s="13">
        <f t="shared" si="46"/>
        <v>3806866.9332330362</v>
      </c>
      <c r="BJ24" s="13">
        <f t="shared" si="7"/>
        <v>0</v>
      </c>
      <c r="BK24" s="13">
        <f t="shared" si="47"/>
        <v>3806866.9332330362</v>
      </c>
      <c r="BL24" s="13">
        <f t="shared" si="48"/>
        <v>3806866.9332330362</v>
      </c>
      <c r="BM24" s="21"/>
      <c r="BN24" s="13">
        <f t="shared" si="8"/>
        <v>66471396.42403952</v>
      </c>
      <c r="BO24" s="13">
        <f t="shared" si="9"/>
        <v>49043091.716622137</v>
      </c>
      <c r="BP24" s="13">
        <f t="shared" si="10"/>
        <v>17428304.707417384</v>
      </c>
      <c r="BQ24" s="13">
        <f t="shared" si="11"/>
        <v>147803485.05865392</v>
      </c>
      <c r="BR24" s="13">
        <f t="shared" si="12"/>
        <v>53568720.370673373</v>
      </c>
      <c r="BT24" s="13">
        <f t="shared" si="13"/>
        <v>24656652.101783186</v>
      </c>
      <c r="BU24" s="13">
        <f t="shared" si="14"/>
        <v>8989906.7260086015</v>
      </c>
      <c r="BV24" s="13">
        <f t="shared" si="15"/>
        <v>15666745.375774585</v>
      </c>
      <c r="BW24" s="13">
        <f t="shared" si="16"/>
        <v>6164163.0254457965</v>
      </c>
      <c r="BX24" s="13"/>
      <c r="BY24" s="25">
        <f t="shared" si="17"/>
        <v>475858.36665412952</v>
      </c>
      <c r="BZ24" s="25">
        <f t="shared" si="18"/>
        <v>475858.36665412952</v>
      </c>
      <c r="CA24" s="25">
        <f t="shared" si="19"/>
        <v>0</v>
      </c>
      <c r="CB24" s="25">
        <f t="shared" si="20"/>
        <v>0</v>
      </c>
      <c r="CC24" s="25">
        <f t="shared" si="21"/>
        <v>237929.18332706476</v>
      </c>
      <c r="CD24" s="384">
        <f t="shared" si="22"/>
        <v>0</v>
      </c>
      <c r="CH24" s="7" t="str">
        <v>Alcatel Alenia Space (Cannes)</v>
      </c>
      <c r="CI24" s="25">
        <f t="shared" si="23"/>
        <v>3567555.5732371002</v>
      </c>
      <c r="CJ24" s="25">
        <f t="shared" si="24"/>
        <v>0</v>
      </c>
      <c r="CK24" s="25">
        <f t="shared" si="24"/>
        <v>3567555.5732371002</v>
      </c>
      <c r="CL24" s="25">
        <f t="shared" si="49"/>
        <v>0</v>
      </c>
      <c r="CM24" s="25">
        <f t="shared" si="50"/>
        <v>2425937.7898012279</v>
      </c>
      <c r="CN24" s="25">
        <f t="shared" si="51"/>
        <v>0</v>
      </c>
      <c r="CO24" s="90"/>
      <c r="CP24" s="75"/>
      <c r="CR24" s="25">
        <f t="shared" si="25"/>
        <v>951716.73330825905</v>
      </c>
      <c r="CS24" s="25">
        <f t="shared" si="26"/>
        <v>951716.73330825905</v>
      </c>
      <c r="CT24" s="25">
        <f t="shared" si="26"/>
        <v>0</v>
      </c>
      <c r="CU24" s="25">
        <f t="shared" si="27"/>
        <v>0</v>
      </c>
      <c r="CV24" s="25">
        <f t="shared" si="28"/>
        <v>475858.36665412952</v>
      </c>
      <c r="CW24" s="25">
        <f t="shared" si="29"/>
        <v>0</v>
      </c>
      <c r="CY24" s="25">
        <f t="shared" si="30"/>
        <v>475858.36665412952</v>
      </c>
      <c r="CZ24" s="25">
        <f t="shared" si="31"/>
        <v>475858.36665412952</v>
      </c>
      <c r="DA24" s="25">
        <f t="shared" si="32"/>
        <v>0</v>
      </c>
      <c r="DB24" s="25">
        <f t="shared" si="33"/>
        <v>0</v>
      </c>
      <c r="DC24" s="25">
        <f t="shared" si="34"/>
        <v>237929.18332706476</v>
      </c>
      <c r="DD24" s="25">
        <f t="shared" si="35"/>
        <v>0</v>
      </c>
    </row>
    <row r="25" spans="1:108" x14ac:dyDescent="0.35">
      <c r="A25" s="282" t="str">
        <f t="shared" si="36"/>
        <v>344664_6</v>
      </c>
      <c r="B25" s="303">
        <v>344664</v>
      </c>
      <c r="C25" s="303">
        <v>6</v>
      </c>
      <c r="D25" s="319" t="str">
        <f>IFERROR(MATCH(C25,'[4]Custom Earning Pattern Not Popu'!$B$5:$B$428,0),"NA")</f>
        <v>NA</v>
      </c>
      <c r="E25" s="303" t="s">
        <v>17</v>
      </c>
      <c r="F25" s="303">
        <v>12</v>
      </c>
      <c r="G25" s="303">
        <v>9559</v>
      </c>
      <c r="H25" s="306">
        <v>41785</v>
      </c>
      <c r="I25" s="306">
        <v>45839</v>
      </c>
      <c r="J25" s="306">
        <v>46203</v>
      </c>
      <c r="K25" s="303" t="s">
        <v>113</v>
      </c>
      <c r="L25" s="306">
        <v>45839</v>
      </c>
      <c r="M25" s="306">
        <v>46203</v>
      </c>
      <c r="N25" s="303" t="s">
        <v>232</v>
      </c>
      <c r="O25" s="303" t="s">
        <v>232</v>
      </c>
      <c r="P25" s="148">
        <f t="shared" si="37"/>
        <v>0.2</v>
      </c>
      <c r="Q25" s="282">
        <v>1</v>
      </c>
      <c r="R25" s="282">
        <v>0</v>
      </c>
      <c r="S25" s="282" t="str">
        <f t="shared" si="52"/>
        <v>Orbit</v>
      </c>
      <c r="T25" s="282" t="s">
        <v>13</v>
      </c>
      <c r="U25" s="303" t="s">
        <v>247</v>
      </c>
      <c r="V25" s="303" t="s">
        <v>29</v>
      </c>
      <c r="W25" s="303" t="s">
        <v>78</v>
      </c>
      <c r="X25" s="303" t="s">
        <v>256</v>
      </c>
      <c r="Y25" s="303" t="s">
        <v>316</v>
      </c>
      <c r="Z25" s="303" t="s">
        <v>13</v>
      </c>
      <c r="AA25" s="308">
        <v>14528089.8904595</v>
      </c>
      <c r="AC25" s="289">
        <f t="shared" si="38"/>
        <v>0</v>
      </c>
      <c r="AD25" s="88" cm="1">
        <f t="array" ref="AD25">IF(AC25=0,0,INDEX(Summary!$S$4:$S$7,MATCH(AC25,Summary!$R$4:$R$7)+1))</f>
        <v>0</v>
      </c>
      <c r="AE25" s="88">
        <f>IFERROR(INDEX(Summary!$Y$4:$Y$6,MATCH('Input Data'!K25,Summary!$U$4:$U$6,0)),0)</f>
        <v>0.05</v>
      </c>
      <c r="AF25" s="88" t="b">
        <f t="shared" si="39"/>
        <v>1</v>
      </c>
      <c r="AG25" s="89">
        <f>IF(AF25,INDEX('IG Equity Share'!$B:$B,MATCH(YEAR(I25),'IG Equity Share'!$A:$A,0)),0)</f>
        <v>7.4999999999999997E-2</v>
      </c>
      <c r="AH25" s="383">
        <f>AJ25*AG25*_xlfn.XLOOKUP(I25,'S3123 Consortium Share'!$A$3:$A$5,'S3123 Consortium Share'!$F$3:$F$5,,-1)</f>
        <v>454002.80907685938</v>
      </c>
      <c r="AI25" s="14">
        <v>1</v>
      </c>
      <c r="AJ25" s="13">
        <f t="shared" si="40"/>
        <v>14528089.8904595</v>
      </c>
      <c r="AK25" s="13">
        <f t="shared" si="41"/>
        <v>14528089.8904595</v>
      </c>
      <c r="AL25" s="13" t="str">
        <f t="shared" si="3"/>
        <v>FUL</v>
      </c>
      <c r="AM25" s="52">
        <f t="shared" si="4"/>
        <v>2025</v>
      </c>
      <c r="AN25" s="4">
        <f>INDEX('[2]Input Data'!$AH:$AH,MATCH(A25,'[2]Input Data'!$A:$A,0),1)-AH25</f>
        <v>0</v>
      </c>
      <c r="AO25" s="13">
        <f t="shared" si="5"/>
        <v>0</v>
      </c>
      <c r="AP25" s="13">
        <f t="shared" si="5"/>
        <v>0</v>
      </c>
      <c r="AQ25" s="13">
        <f t="shared" si="5"/>
        <v>0</v>
      </c>
      <c r="AR25" s="13">
        <f t="shared" si="5"/>
        <v>0</v>
      </c>
      <c r="AS25" s="13">
        <f t="shared" si="5"/>
        <v>0</v>
      </c>
      <c r="AT25" s="13">
        <f t="shared" si="5"/>
        <v>0</v>
      </c>
      <c r="AU25" s="13">
        <f t="shared" si="5"/>
        <v>2905617.9780919002</v>
      </c>
      <c r="AV25" s="13">
        <f t="shared" si="6"/>
        <v>0</v>
      </c>
      <c r="AW25" s="13"/>
      <c r="AX25" s="13"/>
      <c r="AY25" s="13">
        <f t="shared" si="42"/>
        <v>2905617.9780919002</v>
      </c>
      <c r="AZ25" s="13">
        <f t="shared" si="43"/>
        <v>0</v>
      </c>
      <c r="BA25" s="74"/>
      <c r="BB25" s="25">
        <f t="shared" si="54"/>
        <v>11622471.912367601</v>
      </c>
      <c r="BC25" s="13">
        <f t="shared" si="44"/>
        <v>0</v>
      </c>
      <c r="BD25" s="13" t="b">
        <f>AND(AF25,NOT(ISNUMBER(MATCH(G25,Table1[Excluded Spacecraft ID],0))))</f>
        <v>1</v>
      </c>
      <c r="BE25" s="13">
        <f>BD25*AK25*_xlfn.XLOOKUP(I25,Table2[Date From],Table2[Cession],"Error",-1)*_xlfn.XLOOKUP(I25,'S3123 Consortium Share'!$A$3:$A$5,'S3123 Consortium Share'!$F$3:$F$5,,-1)</f>
        <v>1210674.1575382918</v>
      </c>
      <c r="BF25" s="13">
        <f t="shared" si="45"/>
        <v>11622471.912367601</v>
      </c>
      <c r="BG25" s="89" cm="1">
        <f t="array" ref="BG25">IF(V25="FIBL",0,INDEX('IGR QS'!$A$1:$D$570,MATCH('Input Data'!V25&amp;'Input Data'!W25&amp;'Input Data'!AM25,'IGR QS'!A:A&amp;'IGR QS'!B:B&amp;'IGR QS'!C:C,0),4))</f>
        <v>0.5</v>
      </c>
      <c r="BH25" s="13">
        <f t="shared" si="53"/>
        <v>5811235.9561838005</v>
      </c>
      <c r="BI25" s="13">
        <f t="shared" si="46"/>
        <v>5811235.9561838005</v>
      </c>
      <c r="BJ25" s="13">
        <f t="shared" si="7"/>
        <v>0</v>
      </c>
      <c r="BK25" s="13">
        <f t="shared" si="47"/>
        <v>5811235.9561838005</v>
      </c>
      <c r="BL25" s="13">
        <f t="shared" si="48"/>
        <v>5811235.9561838005</v>
      </c>
      <c r="BM25" s="21"/>
      <c r="BN25" s="13">
        <f t="shared" si="8"/>
        <v>14714682.880661048</v>
      </c>
      <c r="BO25" s="13">
        <f t="shared" si="9"/>
        <v>14714682.880661048</v>
      </c>
      <c r="BP25" s="13">
        <f t="shared" si="10"/>
        <v>0</v>
      </c>
      <c r="BQ25" s="13">
        <f t="shared" si="11"/>
        <v>14714682.880661048</v>
      </c>
      <c r="BR25" s="13">
        <f t="shared" si="12"/>
        <v>7357341.440330524</v>
      </c>
      <c r="BT25" s="13">
        <f t="shared" si="13"/>
        <v>16735239.141291298</v>
      </c>
      <c r="BU25" s="13">
        <f t="shared" si="14"/>
        <v>6578151.0405223547</v>
      </c>
      <c r="BV25" s="13">
        <f t="shared" si="15"/>
        <v>10157088.100768942</v>
      </c>
      <c r="BW25" s="13">
        <f t="shared" si="16"/>
        <v>4183809.7853228245</v>
      </c>
      <c r="BX25" s="13"/>
      <c r="BY25" s="25">
        <f t="shared" si="17"/>
        <v>726404.49452297506</v>
      </c>
      <c r="BZ25" s="25">
        <f t="shared" si="18"/>
        <v>726404.49452297506</v>
      </c>
      <c r="CA25" s="25">
        <f t="shared" si="19"/>
        <v>0</v>
      </c>
      <c r="CB25" s="25">
        <f t="shared" si="20"/>
        <v>0</v>
      </c>
      <c r="CC25" s="25">
        <f t="shared" si="21"/>
        <v>363202.24726148753</v>
      </c>
      <c r="CD25" s="384">
        <f t="shared" si="22"/>
        <v>0</v>
      </c>
      <c r="CH25" s="7" t="str">
        <v>Boeing Satellite Systems Inc.</v>
      </c>
      <c r="CI25" s="25">
        <f t="shared" si="23"/>
        <v>112711435.42521639</v>
      </c>
      <c r="CJ25" s="25">
        <f t="shared" si="24"/>
        <v>104367467.22039588</v>
      </c>
      <c r="CK25" s="25">
        <f t="shared" si="24"/>
        <v>8343968.20482051</v>
      </c>
      <c r="CL25" s="25">
        <f t="shared" si="49"/>
        <v>0</v>
      </c>
      <c r="CM25" s="25">
        <f t="shared" si="50"/>
        <v>44620885.187436298</v>
      </c>
      <c r="CN25" s="25">
        <f t="shared" si="51"/>
        <v>0</v>
      </c>
      <c r="CO25" s="90"/>
      <c r="CP25" s="75"/>
      <c r="CR25" s="25">
        <f t="shared" si="25"/>
        <v>1452808.9890459501</v>
      </c>
      <c r="CS25" s="25">
        <f t="shared" si="26"/>
        <v>1452808.9890459501</v>
      </c>
      <c r="CT25" s="25">
        <f t="shared" si="26"/>
        <v>0</v>
      </c>
      <c r="CU25" s="25">
        <f t="shared" si="27"/>
        <v>0</v>
      </c>
      <c r="CV25" s="25">
        <f t="shared" si="28"/>
        <v>726404.49452297506</v>
      </c>
      <c r="CW25" s="25">
        <f t="shared" si="29"/>
        <v>0</v>
      </c>
      <c r="CY25" s="25">
        <f t="shared" si="30"/>
        <v>726404.49452297506</v>
      </c>
      <c r="CZ25" s="25">
        <f t="shared" si="31"/>
        <v>726404.49452297506</v>
      </c>
      <c r="DA25" s="25">
        <f t="shared" si="32"/>
        <v>0</v>
      </c>
      <c r="DB25" s="25">
        <f t="shared" si="33"/>
        <v>0</v>
      </c>
      <c r="DC25" s="25">
        <f t="shared" si="34"/>
        <v>363202.24726148753</v>
      </c>
      <c r="DD25" s="25">
        <f t="shared" si="35"/>
        <v>0</v>
      </c>
    </row>
    <row r="26" spans="1:108" s="282" customFormat="1" x14ac:dyDescent="0.35">
      <c r="A26" s="282" t="str">
        <f t="shared" si="36"/>
        <v>344558_1</v>
      </c>
      <c r="B26" s="282">
        <v>344558</v>
      </c>
      <c r="C26" s="282">
        <v>1</v>
      </c>
      <c r="D26" s="319" t="str">
        <f>IFERROR(MATCH(C26,'[4]Custom Earning Pattern Not Popu'!$B$5:$B$428,0),"NA")</f>
        <v>NA</v>
      </c>
      <c r="E26" s="282" t="s">
        <v>17</v>
      </c>
      <c r="F26" s="282">
        <v>12</v>
      </c>
      <c r="G26" s="282">
        <v>16310</v>
      </c>
      <c r="H26" s="283">
        <v>44407</v>
      </c>
      <c r="I26" s="283">
        <v>45839</v>
      </c>
      <c r="J26" s="283">
        <v>46203</v>
      </c>
      <c r="K26" s="282" t="s">
        <v>113</v>
      </c>
      <c r="L26" s="283">
        <v>45839</v>
      </c>
      <c r="M26" s="283">
        <v>46203</v>
      </c>
      <c r="N26" s="282" t="s">
        <v>346</v>
      </c>
      <c r="O26" s="282" t="s">
        <v>346</v>
      </c>
      <c r="P26" s="321">
        <f t="shared" si="37"/>
        <v>0.2</v>
      </c>
      <c r="Q26" s="282">
        <v>1</v>
      </c>
      <c r="R26" s="282">
        <v>0</v>
      </c>
      <c r="S26" s="282" t="str">
        <f t="shared" si="52"/>
        <v>Orbit</v>
      </c>
      <c r="T26" s="282" t="s">
        <v>13</v>
      </c>
      <c r="U26" s="282" t="s">
        <v>248</v>
      </c>
      <c r="V26" s="282" t="s">
        <v>31</v>
      </c>
      <c r="W26" s="282" t="s">
        <v>78</v>
      </c>
      <c r="X26" s="282" t="s">
        <v>305</v>
      </c>
      <c r="Y26" s="282" t="s">
        <v>322</v>
      </c>
      <c r="Z26" s="282" t="s">
        <v>13</v>
      </c>
      <c r="AA26" s="304">
        <v>19814782.423728701</v>
      </c>
      <c r="AC26" s="322">
        <f t="shared" si="38"/>
        <v>0</v>
      </c>
      <c r="AD26" s="323" cm="1">
        <f t="array" ref="AD26">IF(AC26=0,0,INDEX(Summary!$S$4:$S$7,MATCH(AC26,Summary!$R$4:$R$7)+1))</f>
        <v>0</v>
      </c>
      <c r="AE26" s="88">
        <f>IFERROR(INDEX(Summary!$Y$4:$Y$6,MATCH('Input Data'!K26,Summary!$U$4:$U$6,0)),0)</f>
        <v>0.05</v>
      </c>
      <c r="AF26" s="323" t="b">
        <f t="shared" si="39"/>
        <v>1</v>
      </c>
      <c r="AG26" s="324">
        <f>IF(AF26,INDEX('IG Equity Share'!$B:$B,MATCH(YEAR(I26),'IG Equity Share'!$A:$A,0)),0)</f>
        <v>7.4999999999999997E-2</v>
      </c>
      <c r="AH26" s="383">
        <f>AJ26*AG26*_xlfn.XLOOKUP(I26,'S3123 Consortium Share'!$A$3:$A$5,'S3123 Consortium Share'!$F$3:$F$5,,-1)</f>
        <v>619211.9507415219</v>
      </c>
      <c r="AI26" s="325">
        <v>1</v>
      </c>
      <c r="AJ26" s="326">
        <f t="shared" si="40"/>
        <v>19814782.423728701</v>
      </c>
      <c r="AK26" s="326">
        <f t="shared" si="41"/>
        <v>19814782.423728701</v>
      </c>
      <c r="AL26" s="326" t="str">
        <f t="shared" si="3"/>
        <v>FIID</v>
      </c>
      <c r="AM26" s="327">
        <f t="shared" si="4"/>
        <v>2025</v>
      </c>
      <c r="AN26" s="4">
        <f>INDEX('[2]Input Data'!$AH:$AH,MATCH(A26,'[2]Input Data'!$A:$A,0),1)-AH26</f>
        <v>0</v>
      </c>
      <c r="AO26" s="326">
        <f t="shared" si="5"/>
        <v>0</v>
      </c>
      <c r="AP26" s="326">
        <f t="shared" si="5"/>
        <v>0</v>
      </c>
      <c r="AQ26" s="326">
        <f t="shared" si="5"/>
        <v>0</v>
      </c>
      <c r="AR26" s="326">
        <f t="shared" si="5"/>
        <v>0</v>
      </c>
      <c r="AS26" s="326">
        <f t="shared" si="5"/>
        <v>0</v>
      </c>
      <c r="AT26" s="326">
        <f t="shared" si="5"/>
        <v>0</v>
      </c>
      <c r="AU26" s="326">
        <f t="shared" si="5"/>
        <v>3962956.4847457404</v>
      </c>
      <c r="AV26" s="326">
        <f t="shared" si="6"/>
        <v>0</v>
      </c>
      <c r="AW26" s="326"/>
      <c r="AX26" s="326"/>
      <c r="AY26" s="13">
        <f t="shared" si="42"/>
        <v>3962956.4847457404</v>
      </c>
      <c r="AZ26" s="326">
        <f t="shared" si="43"/>
        <v>0</v>
      </c>
      <c r="BA26" s="328"/>
      <c r="BB26" s="329">
        <f t="shared" si="54"/>
        <v>15851825.93898296</v>
      </c>
      <c r="BC26" s="326">
        <f t="shared" si="44"/>
        <v>0</v>
      </c>
      <c r="BD26" s="13" t="b">
        <f>AND(AF26,NOT(ISNUMBER(MATCH(G26,Table1[Excluded Spacecraft ID],0))))</f>
        <v>1</v>
      </c>
      <c r="BE26" s="13">
        <f>BD26*AK26*_xlfn.XLOOKUP(I26,Table2[Date From],Table2[Cession],"Error",-1)*_xlfn.XLOOKUP(I26,'S3123 Consortium Share'!$A$3:$A$5,'S3123 Consortium Share'!$F$3:$F$5,,-1)</f>
        <v>1651231.8686440585</v>
      </c>
      <c r="BF26" s="326">
        <f t="shared" si="45"/>
        <v>15851825.93898296</v>
      </c>
      <c r="BG26" s="324" cm="1">
        <f t="array" ref="BG26">IF(V26="FIBL",0,INDEX('IGR QS'!$A$1:$D$570,MATCH('Input Data'!V26&amp;'Input Data'!W26&amp;'Input Data'!AM26,'IGR QS'!A:A&amp;'IGR QS'!B:B&amp;'IGR QS'!C:C,0),4))</f>
        <v>0.85</v>
      </c>
      <c r="BH26" s="326">
        <f t="shared" si="53"/>
        <v>13474052.048135515</v>
      </c>
      <c r="BI26" s="326">
        <f t="shared" si="46"/>
        <v>2377773.8908474445</v>
      </c>
      <c r="BJ26" s="326">
        <f t="shared" si="7"/>
        <v>0</v>
      </c>
      <c r="BK26" s="326">
        <f t="shared" si="47"/>
        <v>13474052.048135515</v>
      </c>
      <c r="BL26" s="326">
        <f t="shared" si="48"/>
        <v>2377773.8908474445</v>
      </c>
      <c r="BM26" s="330"/>
      <c r="BN26" s="326">
        <f t="shared" si="8"/>
        <v>2377773.8908474445</v>
      </c>
      <c r="BO26" s="326">
        <f t="shared" si="9"/>
        <v>0</v>
      </c>
      <c r="BP26" s="326">
        <f t="shared" si="10"/>
        <v>2377773.8908474445</v>
      </c>
      <c r="BQ26" s="326">
        <f t="shared" si="11"/>
        <v>13474052.048135515</v>
      </c>
      <c r="BR26" s="326">
        <f t="shared" si="12"/>
        <v>3962956.4847457404</v>
      </c>
      <c r="BT26" s="326">
        <f t="shared" si="13"/>
        <v>42889946.503245682</v>
      </c>
      <c r="BU26" s="326">
        <f t="shared" si="14"/>
        <v>15281915.425095754</v>
      </c>
      <c r="BV26" s="326">
        <f t="shared" si="15"/>
        <v>27608031.078149922</v>
      </c>
      <c r="BW26" s="326">
        <f t="shared" si="16"/>
        <v>10722486.62581142</v>
      </c>
      <c r="BX26" s="326"/>
      <c r="BY26" s="329">
        <f t="shared" si="17"/>
        <v>990739.12118643511</v>
      </c>
      <c r="BZ26" s="329">
        <f t="shared" si="18"/>
        <v>0</v>
      </c>
      <c r="CA26" s="329">
        <f t="shared" si="19"/>
        <v>990739.12118643511</v>
      </c>
      <c r="CB26" s="329">
        <f t="shared" si="20"/>
        <v>0</v>
      </c>
      <c r="CC26" s="329">
        <f t="shared" si="21"/>
        <v>842128.25300846982</v>
      </c>
      <c r="CD26" s="385">
        <f t="shared" si="22"/>
        <v>0</v>
      </c>
      <c r="CH26" s="331" t="str">
        <v>Thales Alenia Space France (Cannes)</v>
      </c>
      <c r="CI26" s="329">
        <f t="shared" si="23"/>
        <v>166285857.4571926</v>
      </c>
      <c r="CJ26" s="329">
        <f t="shared" si="24"/>
        <v>50028573.120283104</v>
      </c>
      <c r="CK26" s="329">
        <f t="shared" si="24"/>
        <v>116257284.3369095</v>
      </c>
      <c r="CL26" s="329">
        <f t="shared" si="49"/>
        <v>0</v>
      </c>
      <c r="CM26" s="25">
        <f t="shared" si="50"/>
        <v>99066382.597211704</v>
      </c>
      <c r="CN26" s="329">
        <f t="shared" si="51"/>
        <v>0</v>
      </c>
      <c r="CO26" s="332"/>
      <c r="CP26" s="333"/>
      <c r="CR26" s="329">
        <f t="shared" si="25"/>
        <v>1981478.2423728702</v>
      </c>
      <c r="CS26" s="329">
        <f t="shared" si="26"/>
        <v>0</v>
      </c>
      <c r="CT26" s="329">
        <f t="shared" si="26"/>
        <v>1981478.2423728702</v>
      </c>
      <c r="CU26" s="329">
        <f t="shared" si="27"/>
        <v>0</v>
      </c>
      <c r="CV26" s="329">
        <f t="shared" si="28"/>
        <v>1684256.5060169396</v>
      </c>
      <c r="CW26" s="329">
        <f t="shared" si="29"/>
        <v>0</v>
      </c>
      <c r="CY26" s="329">
        <f t="shared" si="30"/>
        <v>990739.12118643511</v>
      </c>
      <c r="CZ26" s="329">
        <f t="shared" si="31"/>
        <v>0</v>
      </c>
      <c r="DA26" s="329">
        <f t="shared" ref="DA26:DA57" si="55">IF(AND(OR($K26="GEO-GSO",$K26="MEO"),$AL26=DA$19),$AK26*Space_Debris_Loss,0)*$Q26*$AE26</f>
        <v>990739.12118643511</v>
      </c>
      <c r="DB26" s="329">
        <f t="shared" si="33"/>
        <v>0</v>
      </c>
      <c r="DC26" s="329">
        <f t="shared" si="34"/>
        <v>842128.25300846982</v>
      </c>
      <c r="DD26" s="329">
        <f t="shared" si="35"/>
        <v>0</v>
      </c>
    </row>
    <row r="27" spans="1:108" x14ac:dyDescent="0.35">
      <c r="A27" s="282" t="str">
        <f t="shared" si="36"/>
        <v>344558_2</v>
      </c>
      <c r="B27" s="303">
        <v>344558</v>
      </c>
      <c r="C27" s="303">
        <v>2</v>
      </c>
      <c r="D27" s="319" t="str">
        <f>IFERROR(MATCH(C27,'[4]Custom Earning Pattern Not Popu'!$B$5:$B$428,0),"NA")</f>
        <v>NA</v>
      </c>
      <c r="E27" s="303" t="s">
        <v>17</v>
      </c>
      <c r="F27" s="303">
        <v>12</v>
      </c>
      <c r="G27" s="303">
        <v>8137</v>
      </c>
      <c r="H27" s="306">
        <v>43636</v>
      </c>
      <c r="I27" s="306">
        <v>45839</v>
      </c>
      <c r="J27" s="306">
        <v>46203</v>
      </c>
      <c r="K27" s="303" t="s">
        <v>113</v>
      </c>
      <c r="L27" s="306">
        <v>45839</v>
      </c>
      <c r="M27" s="306">
        <v>46203</v>
      </c>
      <c r="N27" s="303" t="s">
        <v>370</v>
      </c>
      <c r="O27" s="303" t="s">
        <v>370</v>
      </c>
      <c r="P27" s="148">
        <f t="shared" si="37"/>
        <v>0.2</v>
      </c>
      <c r="Q27" s="282">
        <v>1</v>
      </c>
      <c r="R27" s="282">
        <v>0</v>
      </c>
      <c r="S27" s="282" t="str">
        <f t="shared" si="52"/>
        <v>Orbit</v>
      </c>
      <c r="T27" s="282" t="s">
        <v>13</v>
      </c>
      <c r="U27" s="303" t="s">
        <v>248</v>
      </c>
      <c r="V27" s="303" t="s">
        <v>31</v>
      </c>
      <c r="W27" s="303" t="s">
        <v>78</v>
      </c>
      <c r="X27" s="303" t="s">
        <v>377</v>
      </c>
      <c r="Y27" s="303" t="s">
        <v>317</v>
      </c>
      <c r="Z27" s="303" t="s">
        <v>13</v>
      </c>
      <c r="AA27" s="308">
        <v>3567555.5732371002</v>
      </c>
      <c r="AC27" s="289">
        <f t="shared" si="38"/>
        <v>0</v>
      </c>
      <c r="AD27" s="88" cm="1">
        <f t="array" ref="AD27">IF(AC27=0,0,INDEX(Summary!$S$4:$S$7,MATCH(AC27,Summary!$R$4:$R$7)+1))</f>
        <v>0</v>
      </c>
      <c r="AE27" s="88">
        <f>IFERROR(INDEX(Summary!$Y$4:$Y$6,MATCH('Input Data'!K27,Summary!$U$4:$U$6,0)),0)</f>
        <v>0.05</v>
      </c>
      <c r="AF27" s="88" t="b">
        <f t="shared" si="39"/>
        <v>1</v>
      </c>
      <c r="AG27" s="89">
        <f>IF(AF27,INDEX('IG Equity Share'!$B:$B,MATCH(YEAR(I27),'IG Equity Share'!$A:$A,0)),0)</f>
        <v>7.4999999999999997E-2</v>
      </c>
      <c r="AH27" s="383">
        <f>AJ27*AG27*_xlfn.XLOOKUP(I27,'S3123 Consortium Share'!$A$3:$A$5,'S3123 Consortium Share'!$F$3:$F$5,,-1)</f>
        <v>111486.11166365938</v>
      </c>
      <c r="AI27" s="14">
        <v>1</v>
      </c>
      <c r="AJ27" s="13">
        <f t="shared" si="40"/>
        <v>3567555.5732371002</v>
      </c>
      <c r="AK27" s="13">
        <f t="shared" si="41"/>
        <v>3567555.5732371002</v>
      </c>
      <c r="AL27" s="13" t="str">
        <f t="shared" si="3"/>
        <v>FIID</v>
      </c>
      <c r="AM27" s="52">
        <f t="shared" si="4"/>
        <v>2025</v>
      </c>
      <c r="AN27" s="4"/>
      <c r="AO27" s="13">
        <f t="shared" si="5"/>
        <v>0</v>
      </c>
      <c r="AP27" s="13">
        <f t="shared" si="5"/>
        <v>0</v>
      </c>
      <c r="AQ27" s="13">
        <f t="shared" si="5"/>
        <v>0</v>
      </c>
      <c r="AR27" s="13">
        <f t="shared" si="5"/>
        <v>0</v>
      </c>
      <c r="AS27" s="13">
        <f t="shared" si="5"/>
        <v>0</v>
      </c>
      <c r="AT27" s="13">
        <f t="shared" si="5"/>
        <v>0</v>
      </c>
      <c r="AU27" s="13">
        <f t="shared" si="5"/>
        <v>713511.11464742012</v>
      </c>
      <c r="AV27" s="13">
        <f t="shared" si="6"/>
        <v>0</v>
      </c>
      <c r="AW27" s="13"/>
      <c r="AX27" s="13"/>
      <c r="AY27" s="13">
        <f t="shared" si="42"/>
        <v>713511.11464742012</v>
      </c>
      <c r="AZ27" s="13">
        <f t="shared" si="43"/>
        <v>0</v>
      </c>
      <c r="BA27" s="74"/>
      <c r="BB27" s="25">
        <f t="shared" si="54"/>
        <v>2854044.45858968</v>
      </c>
      <c r="BC27" s="13">
        <f t="shared" si="44"/>
        <v>0</v>
      </c>
      <c r="BD27" s="13" t="b">
        <f>AND(AF27,NOT(ISNUMBER(MATCH(G27,Table1[Excluded Spacecraft ID],0))))</f>
        <v>1</v>
      </c>
      <c r="BE27" s="13">
        <f>BD27*AK27*_xlfn.XLOOKUP(I27,Table2[Date From],Table2[Cession],"Error",-1)*_xlfn.XLOOKUP(I27,'S3123 Consortium Share'!$A$3:$A$5,'S3123 Consortium Share'!$F$3:$F$5,,-1)</f>
        <v>297296.29776975838</v>
      </c>
      <c r="BF27" s="13">
        <f t="shared" si="45"/>
        <v>2854044.45858968</v>
      </c>
      <c r="BG27" s="89" cm="1">
        <f t="array" ref="BG27">IF(V27="FIBL",0,INDEX('IGR QS'!$A$1:$D$570,MATCH('Input Data'!V27&amp;'Input Data'!W27&amp;'Input Data'!AM27,'IGR QS'!A:A&amp;'IGR QS'!B:B&amp;'IGR QS'!C:C,0),4))</f>
        <v>0.85</v>
      </c>
      <c r="BH27" s="13">
        <f t="shared" si="53"/>
        <v>2425937.7898012279</v>
      </c>
      <c r="BI27" s="13">
        <f t="shared" si="46"/>
        <v>428106.66878845217</v>
      </c>
      <c r="BJ27" s="13">
        <f t="shared" si="7"/>
        <v>0</v>
      </c>
      <c r="BK27" s="13">
        <f t="shared" si="47"/>
        <v>2425937.7898012279</v>
      </c>
      <c r="BL27" s="13">
        <f t="shared" si="48"/>
        <v>428106.66878845217</v>
      </c>
      <c r="BM27" s="21"/>
      <c r="BN27" s="13">
        <f t="shared" si="8"/>
        <v>428106.66878845217</v>
      </c>
      <c r="BO27" s="13">
        <f t="shared" si="9"/>
        <v>0</v>
      </c>
      <c r="BP27" s="13">
        <f t="shared" si="10"/>
        <v>428106.66878845217</v>
      </c>
      <c r="BQ27" s="13">
        <f t="shared" si="11"/>
        <v>2425937.7898012279</v>
      </c>
      <c r="BR27" s="13">
        <f t="shared" si="12"/>
        <v>713511.11464742012</v>
      </c>
      <c r="BT27" s="13">
        <f t="shared" si="13"/>
        <v>7958953.6734820129</v>
      </c>
      <c r="BU27" s="13">
        <f t="shared" si="14"/>
        <v>2365642.5283515682</v>
      </c>
      <c r="BV27" s="13">
        <f t="shared" si="15"/>
        <v>5593311.1451304462</v>
      </c>
      <c r="BW27" s="13">
        <f t="shared" si="16"/>
        <v>1989738.4183705035</v>
      </c>
      <c r="BX27" s="13"/>
      <c r="BY27" s="25">
        <f t="shared" si="17"/>
        <v>178377.77866185503</v>
      </c>
      <c r="BZ27" s="25">
        <f t="shared" si="18"/>
        <v>0</v>
      </c>
      <c r="CA27" s="25">
        <f t="shared" si="19"/>
        <v>178377.77866185503</v>
      </c>
      <c r="CB27" s="25">
        <f t="shared" si="20"/>
        <v>0</v>
      </c>
      <c r="CC27" s="25">
        <f t="shared" si="21"/>
        <v>151621.11186257677</v>
      </c>
      <c r="CD27" s="384">
        <f t="shared" si="22"/>
        <v>0</v>
      </c>
      <c r="CH27" s="7" t="str">
        <v>SSL (Space Systems/Loral - Part of Maxar)</v>
      </c>
      <c r="CI27" s="25">
        <f t="shared" si="23"/>
        <v>45814677.578121722</v>
      </c>
      <c r="CJ27" s="25">
        <f t="shared" si="24"/>
        <v>30795154.58784996</v>
      </c>
      <c r="CK27" s="25">
        <f t="shared" si="24"/>
        <v>15019522.99027176</v>
      </c>
      <c r="CL27" s="25">
        <f t="shared" si="49"/>
        <v>0</v>
      </c>
      <c r="CM27" s="25">
        <f t="shared" si="50"/>
        <v>22531337.46852478</v>
      </c>
      <c r="CN27" s="25">
        <f t="shared" si="51"/>
        <v>0</v>
      </c>
      <c r="CO27" s="90"/>
      <c r="CP27" s="75"/>
      <c r="CR27" s="25">
        <f t="shared" si="25"/>
        <v>356755.55732371006</v>
      </c>
      <c r="CS27" s="25">
        <f t="shared" si="26"/>
        <v>0</v>
      </c>
      <c r="CT27" s="25">
        <f t="shared" si="26"/>
        <v>356755.55732371006</v>
      </c>
      <c r="CU27" s="25">
        <f t="shared" si="27"/>
        <v>0</v>
      </c>
      <c r="CV27" s="25">
        <f t="shared" si="28"/>
        <v>303242.22372515354</v>
      </c>
      <c r="CW27" s="25">
        <f t="shared" si="29"/>
        <v>0</v>
      </c>
      <c r="CY27" s="25">
        <f t="shared" si="30"/>
        <v>178377.77866185503</v>
      </c>
      <c r="CZ27" s="25">
        <f t="shared" si="31"/>
        <v>0</v>
      </c>
      <c r="DA27" s="25">
        <f t="shared" si="55"/>
        <v>178377.77866185503</v>
      </c>
      <c r="DB27" s="25">
        <f t="shared" si="33"/>
        <v>0</v>
      </c>
      <c r="DC27" s="25">
        <f t="shared" si="34"/>
        <v>151621.11186257677</v>
      </c>
      <c r="DD27" s="25">
        <f t="shared" si="35"/>
        <v>0</v>
      </c>
    </row>
    <row r="28" spans="1:108" x14ac:dyDescent="0.35">
      <c r="A28" s="282" t="str">
        <f t="shared" si="36"/>
        <v>344558_3</v>
      </c>
      <c r="B28" s="303">
        <v>344558</v>
      </c>
      <c r="C28" s="303">
        <v>3</v>
      </c>
      <c r="D28" s="319" t="str">
        <f>IFERROR(MATCH(C28,'[4]Custom Earning Pattern Not Popu'!$B$5:$B$428,0),"NA")</f>
        <v>NA</v>
      </c>
      <c r="E28" s="303" t="s">
        <v>17</v>
      </c>
      <c r="F28" s="303">
        <v>12</v>
      </c>
      <c r="G28" s="303">
        <v>8692</v>
      </c>
      <c r="H28" s="306">
        <v>43846</v>
      </c>
      <c r="I28" s="306">
        <v>45839</v>
      </c>
      <c r="J28" s="306">
        <v>46203</v>
      </c>
      <c r="K28" s="303" t="s">
        <v>113</v>
      </c>
      <c r="L28" s="306">
        <v>45839</v>
      </c>
      <c r="M28" s="306">
        <v>46203</v>
      </c>
      <c r="N28" s="303" t="s">
        <v>233</v>
      </c>
      <c r="O28" s="303" t="s">
        <v>233</v>
      </c>
      <c r="P28" s="148">
        <f t="shared" si="37"/>
        <v>0.2</v>
      </c>
      <c r="Q28" s="282">
        <v>1</v>
      </c>
      <c r="R28" s="282">
        <v>0</v>
      </c>
      <c r="S28" s="282" t="str">
        <f t="shared" si="52"/>
        <v>Orbit</v>
      </c>
      <c r="T28" s="282" t="s">
        <v>13</v>
      </c>
      <c r="U28" s="303" t="s">
        <v>248</v>
      </c>
      <c r="V28" s="303" t="s">
        <v>31</v>
      </c>
      <c r="W28" s="303" t="s">
        <v>78</v>
      </c>
      <c r="X28" s="303" t="s">
        <v>257</v>
      </c>
      <c r="Y28" s="303" t="s">
        <v>318</v>
      </c>
      <c r="Z28" s="303" t="s">
        <v>13</v>
      </c>
      <c r="AA28" s="308">
        <v>3955653.7664769501</v>
      </c>
      <c r="AC28" s="289">
        <f t="shared" si="38"/>
        <v>0</v>
      </c>
      <c r="AD28" s="88" cm="1">
        <f t="array" ref="AD28">IF(AC28=0,0,INDEX(Summary!$S$4:$S$7,MATCH(AC28,Summary!$R$4:$R$7)+1))</f>
        <v>0</v>
      </c>
      <c r="AE28" s="88">
        <f>IFERROR(INDEX(Summary!$Y$4:$Y$6,MATCH('Input Data'!K28,Summary!$U$4:$U$6,0)),0)</f>
        <v>0.05</v>
      </c>
      <c r="AF28" s="88" t="b">
        <f t="shared" si="39"/>
        <v>1</v>
      </c>
      <c r="AG28" s="89">
        <f>IF(AF28,INDEX('IG Equity Share'!$B:$B,MATCH(YEAR(I28),'IG Equity Share'!$A:$A,0)),0)</f>
        <v>7.4999999999999997E-2</v>
      </c>
      <c r="AH28" s="383">
        <f>AJ28*AG28*_xlfn.XLOOKUP(I28,'S3123 Consortium Share'!$A$3:$A$5,'S3123 Consortium Share'!$F$3:$F$5,,-1)</f>
        <v>123614.18020240468</v>
      </c>
      <c r="AI28" s="14">
        <v>1</v>
      </c>
      <c r="AJ28" s="13">
        <f t="shared" si="40"/>
        <v>3955653.7664769501</v>
      </c>
      <c r="AK28" s="13">
        <f t="shared" si="41"/>
        <v>3955653.7664769501</v>
      </c>
      <c r="AL28" s="13" t="str">
        <f t="shared" si="3"/>
        <v>FIID</v>
      </c>
      <c r="AM28" s="52">
        <f t="shared" si="4"/>
        <v>2025</v>
      </c>
      <c r="AN28" s="4"/>
      <c r="AO28" s="13">
        <f t="shared" si="5"/>
        <v>0</v>
      </c>
      <c r="AP28" s="13">
        <f t="shared" si="5"/>
        <v>0</v>
      </c>
      <c r="AQ28" s="13">
        <f t="shared" si="5"/>
        <v>0</v>
      </c>
      <c r="AR28" s="13">
        <f t="shared" si="5"/>
        <v>0</v>
      </c>
      <c r="AS28" s="13">
        <f t="shared" si="5"/>
        <v>0</v>
      </c>
      <c r="AT28" s="13">
        <f t="shared" si="5"/>
        <v>0</v>
      </c>
      <c r="AU28" s="13">
        <f t="shared" si="5"/>
        <v>791130.75329539005</v>
      </c>
      <c r="AV28" s="13">
        <f t="shared" si="6"/>
        <v>0</v>
      </c>
      <c r="AW28" s="13"/>
      <c r="AX28" s="13"/>
      <c r="AY28" s="13">
        <f t="shared" si="42"/>
        <v>791130.75329539005</v>
      </c>
      <c r="AZ28" s="13">
        <f t="shared" si="43"/>
        <v>0</v>
      </c>
      <c r="BA28" s="74"/>
      <c r="BB28" s="25">
        <f t="shared" si="54"/>
        <v>3164523.0131815602</v>
      </c>
      <c r="BC28" s="13">
        <f t="shared" si="44"/>
        <v>0</v>
      </c>
      <c r="BD28" s="13" t="b">
        <f>AND(AF28,NOT(ISNUMBER(MATCH(G28,Table1[Excluded Spacecraft ID],0))))</f>
        <v>1</v>
      </c>
      <c r="BE28" s="13">
        <f>BD28*AK28*_xlfn.XLOOKUP(I28,Table2[Date From],Table2[Cession],"Error",-1)*_xlfn.XLOOKUP(I28,'S3123 Consortium Share'!$A$3:$A$5,'S3123 Consortium Share'!$F$3:$F$5,,-1)</f>
        <v>329637.8138730792</v>
      </c>
      <c r="BF28" s="13">
        <f t="shared" si="45"/>
        <v>3164523.0131815602</v>
      </c>
      <c r="BG28" s="89" cm="1">
        <f t="array" ref="BG28">IF(V28="FIBL",0,INDEX('IGR QS'!$A$1:$D$570,MATCH('Input Data'!V28&amp;'Input Data'!W28&amp;'Input Data'!AM28,'IGR QS'!A:A&amp;'IGR QS'!B:B&amp;'IGR QS'!C:C,0),4))</f>
        <v>0.85</v>
      </c>
      <c r="BH28" s="13">
        <f t="shared" si="53"/>
        <v>2689844.5612043259</v>
      </c>
      <c r="BI28" s="13">
        <f t="shared" si="46"/>
        <v>474678.45197723433</v>
      </c>
      <c r="BJ28" s="13">
        <f t="shared" si="7"/>
        <v>0</v>
      </c>
      <c r="BK28" s="13">
        <f t="shared" si="47"/>
        <v>2689844.5612043259</v>
      </c>
      <c r="BL28" s="13">
        <f t="shared" si="48"/>
        <v>474678.45197723433</v>
      </c>
      <c r="BM28" s="21"/>
      <c r="BN28" s="13">
        <f t="shared" si="8"/>
        <v>45548263.152736805</v>
      </c>
      <c r="BO28" s="13">
        <f t="shared" si="9"/>
        <v>44546986.968158349</v>
      </c>
      <c r="BP28" s="13">
        <f t="shared" si="10"/>
        <v>1001276.1845784616</v>
      </c>
      <c r="BQ28" s="13">
        <f t="shared" si="11"/>
        <v>44620885.187436298</v>
      </c>
      <c r="BR28" s="13">
        <f t="shared" si="12"/>
        <v>22542287.085043281</v>
      </c>
      <c r="BT28" s="13">
        <f t="shared" si="13"/>
        <v>14303554.350748904</v>
      </c>
      <c r="BU28" s="13">
        <f t="shared" si="14"/>
        <v>5429275.3728778558</v>
      </c>
      <c r="BV28" s="13">
        <f t="shared" si="15"/>
        <v>8874278.9778710492</v>
      </c>
      <c r="BW28" s="13">
        <f t="shared" si="16"/>
        <v>3575888.587687226</v>
      </c>
      <c r="BX28" s="13"/>
      <c r="BY28" s="25">
        <f t="shared" si="17"/>
        <v>197782.68832384751</v>
      </c>
      <c r="BZ28" s="25">
        <f t="shared" si="18"/>
        <v>0</v>
      </c>
      <c r="CA28" s="25">
        <f t="shared" si="19"/>
        <v>197782.68832384751</v>
      </c>
      <c r="CB28" s="25">
        <f t="shared" si="20"/>
        <v>0</v>
      </c>
      <c r="CC28" s="25">
        <f t="shared" si="21"/>
        <v>168115.2850752704</v>
      </c>
      <c r="CD28" s="384">
        <f t="shared" si="22"/>
        <v>0</v>
      </c>
      <c r="CH28" s="7" t="str">
        <v>SSTL - Surrey Satellite Technology Limited (Part of Airbus DS)</v>
      </c>
      <c r="CI28" s="25">
        <f t="shared" si="23"/>
        <v>11189100.5630337</v>
      </c>
      <c r="CJ28" s="25">
        <f t="shared" si="24"/>
        <v>0</v>
      </c>
      <c r="CK28" s="25">
        <f t="shared" si="24"/>
        <v>11189100.5630337</v>
      </c>
      <c r="CL28" s="25">
        <f t="shared" si="49"/>
        <v>0</v>
      </c>
      <c r="CM28" s="25">
        <f t="shared" si="50"/>
        <v>7608588.3828629162</v>
      </c>
      <c r="CN28" s="25">
        <f t="shared" si="51"/>
        <v>0</v>
      </c>
      <c r="CO28" s="90"/>
      <c r="CP28" s="75"/>
      <c r="CR28" s="25">
        <f t="shared" si="25"/>
        <v>395565.37664769503</v>
      </c>
      <c r="CS28" s="25">
        <f t="shared" si="26"/>
        <v>0</v>
      </c>
      <c r="CT28" s="25">
        <f t="shared" si="26"/>
        <v>395565.37664769503</v>
      </c>
      <c r="CU28" s="25">
        <f t="shared" si="27"/>
        <v>0</v>
      </c>
      <c r="CV28" s="25">
        <f t="shared" si="28"/>
        <v>336230.57015054079</v>
      </c>
      <c r="CW28" s="25">
        <f t="shared" si="29"/>
        <v>0</v>
      </c>
      <c r="CY28" s="25">
        <f t="shared" si="30"/>
        <v>197782.68832384751</v>
      </c>
      <c r="CZ28" s="25">
        <f t="shared" si="31"/>
        <v>0</v>
      </c>
      <c r="DA28" s="25">
        <f t="shared" si="55"/>
        <v>197782.68832384751</v>
      </c>
      <c r="DB28" s="25">
        <f t="shared" si="33"/>
        <v>0</v>
      </c>
      <c r="DC28" s="25">
        <f t="shared" si="34"/>
        <v>168115.2850752704</v>
      </c>
      <c r="DD28" s="25">
        <f t="shared" si="35"/>
        <v>0</v>
      </c>
    </row>
    <row r="29" spans="1:108" x14ac:dyDescent="0.35">
      <c r="A29" s="282" t="str">
        <f t="shared" si="36"/>
        <v>344558_4</v>
      </c>
      <c r="B29" s="303">
        <v>344558</v>
      </c>
      <c r="C29" s="303">
        <v>4</v>
      </c>
      <c r="D29" s="319" t="str">
        <f>IFERROR(MATCH(C29,'[4]Custom Earning Pattern Not Popu'!$B$5:$B$428,0),"NA")</f>
        <v>NA</v>
      </c>
      <c r="E29" s="303" t="s">
        <v>17</v>
      </c>
      <c r="F29" s="303">
        <v>12</v>
      </c>
      <c r="G29" s="303">
        <v>8814</v>
      </c>
      <c r="H29" s="306">
        <v>44868</v>
      </c>
      <c r="I29" s="306">
        <v>45839</v>
      </c>
      <c r="J29" s="306">
        <v>46203</v>
      </c>
      <c r="K29" s="303" t="s">
        <v>113</v>
      </c>
      <c r="L29" s="306">
        <v>45839</v>
      </c>
      <c r="M29" s="306">
        <v>46203</v>
      </c>
      <c r="N29" s="303" t="s">
        <v>234</v>
      </c>
      <c r="O29" s="303" t="s">
        <v>234</v>
      </c>
      <c r="P29" s="148">
        <f t="shared" si="37"/>
        <v>0.2</v>
      </c>
      <c r="Q29" s="282">
        <v>1</v>
      </c>
      <c r="R29" s="282">
        <v>0</v>
      </c>
      <c r="S29" s="282" t="str">
        <f t="shared" si="52"/>
        <v>Orbit</v>
      </c>
      <c r="T29" s="282" t="s">
        <v>13</v>
      </c>
      <c r="U29" s="303" t="s">
        <v>248</v>
      </c>
      <c r="V29" s="303" t="s">
        <v>31</v>
      </c>
      <c r="W29" s="303" t="s">
        <v>78</v>
      </c>
      <c r="X29" s="303" t="s">
        <v>258</v>
      </c>
      <c r="Y29" s="303" t="s">
        <v>317</v>
      </c>
      <c r="Z29" s="303" t="s">
        <v>13</v>
      </c>
      <c r="AA29" s="308">
        <v>11679640.312677</v>
      </c>
      <c r="AC29" s="289">
        <f t="shared" si="38"/>
        <v>0</v>
      </c>
      <c r="AD29" s="88" cm="1">
        <f t="array" ref="AD29">IF(AC29=0,0,INDEX(Summary!$S$4:$S$7,MATCH(AC29,Summary!$R$4:$R$7)+1))</f>
        <v>0</v>
      </c>
      <c r="AE29" s="88">
        <f>IFERROR(INDEX(Summary!$Y$4:$Y$6,MATCH('Input Data'!K29,Summary!$U$4:$U$6,0)),0)</f>
        <v>0.05</v>
      </c>
      <c r="AF29" s="88" t="b">
        <f t="shared" si="39"/>
        <v>1</v>
      </c>
      <c r="AG29" s="89">
        <f>IF(AF29,INDEX('IG Equity Share'!$B:$B,MATCH(YEAR(I29),'IG Equity Share'!$A:$A,0)),0)</f>
        <v>7.4999999999999997E-2</v>
      </c>
      <c r="AH29" s="383">
        <f>AJ29*AG29*_xlfn.XLOOKUP(I29,'S3123 Consortium Share'!$A$3:$A$5,'S3123 Consortium Share'!$F$3:$F$5,,-1)</f>
        <v>364988.75977115624</v>
      </c>
      <c r="AI29" s="14">
        <v>1</v>
      </c>
      <c r="AJ29" s="13">
        <f t="shared" si="40"/>
        <v>11679640.312677</v>
      </c>
      <c r="AK29" s="13">
        <f t="shared" si="41"/>
        <v>11679640.312677</v>
      </c>
      <c r="AL29" s="13" t="str">
        <f t="shared" si="3"/>
        <v>FIID</v>
      </c>
      <c r="AM29" s="52">
        <f t="shared" si="4"/>
        <v>2025</v>
      </c>
      <c r="AN29" s="4">
        <f>INDEX('[2]Input Data'!$AH:$AH,MATCH(A29,'[2]Input Data'!$A:$A,0),1)-AH29</f>
        <v>0</v>
      </c>
      <c r="AO29" s="13">
        <f t="shared" si="5"/>
        <v>0</v>
      </c>
      <c r="AP29" s="13">
        <f t="shared" si="5"/>
        <v>0</v>
      </c>
      <c r="AQ29" s="13">
        <f t="shared" si="5"/>
        <v>0</v>
      </c>
      <c r="AR29" s="13">
        <f t="shared" si="5"/>
        <v>0</v>
      </c>
      <c r="AS29" s="13">
        <f t="shared" si="5"/>
        <v>0</v>
      </c>
      <c r="AT29" s="13">
        <f t="shared" si="5"/>
        <v>0</v>
      </c>
      <c r="AU29" s="13">
        <f t="shared" si="5"/>
        <v>2335928.0625354</v>
      </c>
      <c r="AV29" s="13">
        <f t="shared" si="6"/>
        <v>0</v>
      </c>
      <c r="AW29" s="13"/>
      <c r="AX29" s="13"/>
      <c r="AY29" s="13">
        <f t="shared" si="42"/>
        <v>2335928.0625354</v>
      </c>
      <c r="AZ29" s="13">
        <f t="shared" si="43"/>
        <v>0</v>
      </c>
      <c r="BA29" s="74"/>
      <c r="BB29" s="25">
        <f t="shared" si="54"/>
        <v>9343712.2501416001</v>
      </c>
      <c r="BC29" s="13">
        <f t="shared" si="44"/>
        <v>0</v>
      </c>
      <c r="BD29" s="13" t="b">
        <f>AND(AF29,NOT(ISNUMBER(MATCH(G29,Table1[Excluded Spacecraft ID],0))))</f>
        <v>1</v>
      </c>
      <c r="BE29" s="13">
        <f>BD29*AK29*_xlfn.XLOOKUP(I29,Table2[Date From],Table2[Cession],"Error",-1)*_xlfn.XLOOKUP(I29,'S3123 Consortium Share'!$A$3:$A$5,'S3123 Consortium Share'!$F$3:$F$5,,-1)</f>
        <v>973303.35938975005</v>
      </c>
      <c r="BF29" s="13">
        <f t="shared" si="45"/>
        <v>9343712.2501416001</v>
      </c>
      <c r="BG29" s="89" cm="1">
        <f t="array" ref="BG29">IF(V29="FIBL",0,INDEX('IGR QS'!$A$1:$D$570,MATCH('Input Data'!V29&amp;'Input Data'!W29&amp;'Input Data'!AM29,'IGR QS'!A:A&amp;'IGR QS'!B:B&amp;'IGR QS'!C:C,0),4))</f>
        <v>0.85</v>
      </c>
      <c r="BH29" s="13">
        <f t="shared" si="53"/>
        <v>7942155.41262036</v>
      </c>
      <c r="BI29" s="13">
        <f t="shared" si="46"/>
        <v>1401556.8375212401</v>
      </c>
      <c r="BJ29" s="13">
        <f t="shared" si="7"/>
        <v>0</v>
      </c>
      <c r="BK29" s="13">
        <f t="shared" si="47"/>
        <v>7942155.41262036</v>
      </c>
      <c r="BL29" s="13">
        <f t="shared" si="48"/>
        <v>1401556.8375212401</v>
      </c>
      <c r="BM29" s="21"/>
      <c r="BN29" s="13">
        <f t="shared" si="8"/>
        <v>33962303.368542388</v>
      </c>
      <c r="BO29" s="13">
        <f t="shared" si="9"/>
        <v>20011429.248113245</v>
      </c>
      <c r="BP29" s="13">
        <f t="shared" si="10"/>
        <v>13950874.12042914</v>
      </c>
      <c r="BQ29" s="13">
        <f t="shared" si="11"/>
        <v>99066382.597211704</v>
      </c>
      <c r="BR29" s="13">
        <f t="shared" si="12"/>
        <v>33257171.491438523</v>
      </c>
      <c r="BT29" s="13">
        <f t="shared" si="13"/>
        <v>15269337.018879766</v>
      </c>
      <c r="BU29" s="13">
        <f t="shared" si="14"/>
        <v>3749450.4740072717</v>
      </c>
      <c r="BV29" s="13">
        <f t="shared" si="15"/>
        <v>11519886.544872493</v>
      </c>
      <c r="BW29" s="13">
        <f t="shared" si="16"/>
        <v>3817334.2547199414</v>
      </c>
      <c r="BX29" s="13"/>
      <c r="BY29" s="25">
        <f t="shared" si="17"/>
        <v>583982.01563385001</v>
      </c>
      <c r="BZ29" s="25">
        <f t="shared" si="18"/>
        <v>0</v>
      </c>
      <c r="CA29" s="25">
        <f t="shared" si="19"/>
        <v>583982.01563385001</v>
      </c>
      <c r="CB29" s="25">
        <f t="shared" si="20"/>
        <v>0</v>
      </c>
      <c r="CC29" s="25">
        <f t="shared" si="21"/>
        <v>496384.7132887725</v>
      </c>
      <c r="CD29" s="384">
        <f t="shared" si="22"/>
        <v>0</v>
      </c>
      <c r="CH29" s="7" t="str">
        <v>SSL (Space Systems/Loral)</v>
      </c>
      <c r="CI29" s="25">
        <f t="shared" si="23"/>
        <v>115799018.99553905</v>
      </c>
      <c r="CJ29" s="25">
        <f t="shared" si="24"/>
        <v>90086863.656934559</v>
      </c>
      <c r="CK29" s="25">
        <f t="shared" si="24"/>
        <v>25712155.338604473</v>
      </c>
      <c r="CL29" s="25">
        <f t="shared" si="49"/>
        <v>0</v>
      </c>
      <c r="CM29" s="25">
        <f t="shared" si="50"/>
        <v>50319014.293024875</v>
      </c>
      <c r="CN29" s="25">
        <f t="shared" si="51"/>
        <v>0</v>
      </c>
      <c r="CO29" s="90"/>
      <c r="CP29" s="75"/>
      <c r="CR29" s="25">
        <f t="shared" si="25"/>
        <v>1167964.0312677</v>
      </c>
      <c r="CS29" s="25">
        <f t="shared" si="26"/>
        <v>0</v>
      </c>
      <c r="CT29" s="25">
        <f t="shared" si="26"/>
        <v>1167964.0312677</v>
      </c>
      <c r="CU29" s="25">
        <f t="shared" si="27"/>
        <v>0</v>
      </c>
      <c r="CV29" s="25">
        <f t="shared" si="28"/>
        <v>992769.426577545</v>
      </c>
      <c r="CW29" s="25">
        <f t="shared" si="29"/>
        <v>0</v>
      </c>
      <c r="CY29" s="25">
        <f t="shared" si="30"/>
        <v>583982.01563385001</v>
      </c>
      <c r="CZ29" s="25">
        <f t="shared" si="31"/>
        <v>0</v>
      </c>
      <c r="DA29" s="25">
        <f t="shared" si="55"/>
        <v>583982.01563385001</v>
      </c>
      <c r="DB29" s="25">
        <f t="shared" si="33"/>
        <v>0</v>
      </c>
      <c r="DC29" s="25">
        <f t="shared" si="34"/>
        <v>496384.7132887725</v>
      </c>
      <c r="DD29" s="25">
        <f t="shared" si="35"/>
        <v>0</v>
      </c>
    </row>
    <row r="30" spans="1:108" x14ac:dyDescent="0.35">
      <c r="A30" s="282" t="str">
        <f t="shared" si="36"/>
        <v>344558_5</v>
      </c>
      <c r="B30" s="303">
        <v>344558</v>
      </c>
      <c r="C30" s="303">
        <v>5</v>
      </c>
      <c r="D30" s="319" t="str">
        <f>IFERROR(MATCH(C30,'[4]Custom Earning Pattern Not Popu'!$B$5:$B$428,0),"NA")</f>
        <v>NA</v>
      </c>
      <c r="E30" s="303" t="s">
        <v>17</v>
      </c>
      <c r="F30" s="303">
        <v>12</v>
      </c>
      <c r="G30" s="303">
        <v>8837</v>
      </c>
      <c r="H30" s="306">
        <v>44811</v>
      </c>
      <c r="I30" s="306">
        <v>45839</v>
      </c>
      <c r="J30" s="306">
        <v>46203</v>
      </c>
      <c r="K30" s="303" t="s">
        <v>113</v>
      </c>
      <c r="L30" s="306">
        <v>45839</v>
      </c>
      <c r="M30" s="306">
        <v>46203</v>
      </c>
      <c r="N30" s="303" t="s">
        <v>231</v>
      </c>
      <c r="O30" s="303" t="s">
        <v>231</v>
      </c>
      <c r="P30" s="148">
        <f t="shared" si="37"/>
        <v>0.2</v>
      </c>
      <c r="Q30" s="282">
        <v>1</v>
      </c>
      <c r="R30" s="282">
        <v>0</v>
      </c>
      <c r="S30" s="282" t="str">
        <f t="shared" si="52"/>
        <v>Orbit</v>
      </c>
      <c r="T30" s="282" t="s">
        <v>13</v>
      </c>
      <c r="U30" s="303" t="s">
        <v>248</v>
      </c>
      <c r="V30" s="303" t="s">
        <v>31</v>
      </c>
      <c r="W30" s="303" t="s">
        <v>78</v>
      </c>
      <c r="X30" s="303" t="s">
        <v>259</v>
      </c>
      <c r="Y30" s="303" t="s">
        <v>315</v>
      </c>
      <c r="Z30" s="303" t="s">
        <v>13</v>
      </c>
      <c r="AA30" s="308">
        <v>11922926.160296399</v>
      </c>
      <c r="AC30" s="289">
        <f t="shared" si="38"/>
        <v>0</v>
      </c>
      <c r="AD30" s="88" cm="1">
        <f t="array" ref="AD30">IF(AC30=0,0,INDEX(Summary!$S$4:$S$7,MATCH(AC30,Summary!$R$4:$R$7)+1))</f>
        <v>0</v>
      </c>
      <c r="AE30" s="88">
        <f>IFERROR(INDEX(Summary!$Y$4:$Y$6,MATCH('Input Data'!K30,Summary!$U$4:$U$6,0)),0)</f>
        <v>0.05</v>
      </c>
      <c r="AF30" s="88" t="b">
        <f t="shared" si="39"/>
        <v>1</v>
      </c>
      <c r="AG30" s="89">
        <f>IF(AF30,INDEX('IG Equity Share'!$B:$B,MATCH(YEAR(I30),'IG Equity Share'!$A:$A,0)),0)</f>
        <v>7.4999999999999997E-2</v>
      </c>
      <c r="AH30" s="383">
        <f>AJ30*AG30*_xlfn.XLOOKUP(I30,'S3123 Consortium Share'!$A$3:$A$5,'S3123 Consortium Share'!$F$3:$F$5,,-1)</f>
        <v>372591.44250926247</v>
      </c>
      <c r="AI30" s="14">
        <v>1</v>
      </c>
      <c r="AJ30" s="13">
        <f t="shared" si="40"/>
        <v>11922926.160296399</v>
      </c>
      <c r="AK30" s="13">
        <f t="shared" si="41"/>
        <v>11922926.160296399</v>
      </c>
      <c r="AL30" s="13" t="str">
        <f t="shared" si="3"/>
        <v>FIID</v>
      </c>
      <c r="AM30" s="52">
        <f t="shared" si="4"/>
        <v>2025</v>
      </c>
      <c r="AN30" s="4">
        <f>INDEX('[2]Input Data'!$AH:$AH,MATCH(A30,'[2]Input Data'!$A:$A,0),1)-AH30</f>
        <v>0</v>
      </c>
      <c r="AO30" s="13">
        <f t="shared" ref="AO30:AU39" si="56">+IF(AND($I30&lt;=AO$8,$I30&gt;=AO$7),$AK30*AO$11,0)</f>
        <v>0</v>
      </c>
      <c r="AP30" s="13">
        <f t="shared" si="56"/>
        <v>0</v>
      </c>
      <c r="AQ30" s="13">
        <f t="shared" si="56"/>
        <v>0</v>
      </c>
      <c r="AR30" s="13">
        <f t="shared" si="56"/>
        <v>0</v>
      </c>
      <c r="AS30" s="13">
        <f t="shared" si="56"/>
        <v>0</v>
      </c>
      <c r="AT30" s="13">
        <f t="shared" si="56"/>
        <v>0</v>
      </c>
      <c r="AU30" s="13">
        <f t="shared" si="56"/>
        <v>2384585.2320592799</v>
      </c>
      <c r="AV30" s="13">
        <f t="shared" si="6"/>
        <v>0</v>
      </c>
      <c r="AW30" s="13"/>
      <c r="AX30" s="13"/>
      <c r="AY30" s="13">
        <f t="shared" si="42"/>
        <v>2384585.2320592799</v>
      </c>
      <c r="AZ30" s="13">
        <f t="shared" si="43"/>
        <v>0</v>
      </c>
      <c r="BA30" s="74"/>
      <c r="BB30" s="25">
        <f t="shared" si="54"/>
        <v>9538340.9282371197</v>
      </c>
      <c r="BC30" s="13">
        <f t="shared" si="44"/>
        <v>0</v>
      </c>
      <c r="BD30" s="13" t="b">
        <f>AND(AF30,NOT(ISNUMBER(MATCH(G30,Table1[Excluded Spacecraft ID],0))))</f>
        <v>1</v>
      </c>
      <c r="BE30" s="13">
        <f>BD30*AK30*_xlfn.XLOOKUP(I30,Table2[Date From],Table2[Cession],"Error",-1)*_xlfn.XLOOKUP(I30,'S3123 Consortium Share'!$A$3:$A$5,'S3123 Consortium Share'!$F$3:$F$5,,-1)</f>
        <v>993577.18002470001</v>
      </c>
      <c r="BF30" s="13">
        <f t="shared" si="45"/>
        <v>9538340.9282371197</v>
      </c>
      <c r="BG30" s="89" cm="1">
        <f t="array" ref="BG30">IF(V30="FIBL",0,INDEX('IGR QS'!$A$1:$D$570,MATCH('Input Data'!V30&amp;'Input Data'!W30&amp;'Input Data'!AM30,'IGR QS'!A:A&amp;'IGR QS'!B:B&amp;'IGR QS'!C:C,0),4))</f>
        <v>0.85</v>
      </c>
      <c r="BH30" s="13">
        <f t="shared" si="53"/>
        <v>8107589.7890015515</v>
      </c>
      <c r="BI30" s="13">
        <f t="shared" si="46"/>
        <v>1430751.1392355682</v>
      </c>
      <c r="BJ30" s="13">
        <f t="shared" si="7"/>
        <v>0</v>
      </c>
      <c r="BK30" s="13">
        <f t="shared" si="47"/>
        <v>8107589.7890015515</v>
      </c>
      <c r="BL30" s="13">
        <f t="shared" si="48"/>
        <v>1430751.1392355682</v>
      </c>
      <c r="BM30" s="21"/>
      <c r="BN30" s="13">
        <f t="shared" si="8"/>
        <v>17510967.098857567</v>
      </c>
      <c r="BO30" s="13">
        <f t="shared" si="9"/>
        <v>14332947.228239156</v>
      </c>
      <c r="BP30" s="13">
        <f t="shared" si="10"/>
        <v>3178019.8706184095</v>
      </c>
      <c r="BQ30" s="13">
        <f t="shared" si="11"/>
        <v>32341726.495076805</v>
      </c>
      <c r="BR30" s="13">
        <f t="shared" si="12"/>
        <v>12463173.398483593</v>
      </c>
      <c r="BT30" s="13">
        <f t="shared" si="13"/>
        <v>24656652.101783186</v>
      </c>
      <c r="BU30" s="13">
        <f t="shared" si="14"/>
        <v>8989906.7260086015</v>
      </c>
      <c r="BV30" s="13">
        <f t="shared" si="15"/>
        <v>15666745.375774585</v>
      </c>
      <c r="BW30" s="13">
        <f t="shared" si="16"/>
        <v>6164163.0254457965</v>
      </c>
      <c r="BX30" s="13"/>
      <c r="BY30" s="25">
        <f t="shared" si="17"/>
        <v>596146.30801481998</v>
      </c>
      <c r="BZ30" s="25">
        <f t="shared" si="18"/>
        <v>0</v>
      </c>
      <c r="CA30" s="25">
        <f t="shared" si="19"/>
        <v>596146.30801481998</v>
      </c>
      <c r="CB30" s="25">
        <f t="shared" si="20"/>
        <v>0</v>
      </c>
      <c r="CC30" s="25">
        <f t="shared" si="21"/>
        <v>506724.36181259697</v>
      </c>
      <c r="CD30" s="384">
        <f t="shared" si="22"/>
        <v>0</v>
      </c>
      <c r="CH30" s="7" t="str">
        <v>CAST - Chinese Academy of Space Technology</v>
      </c>
      <c r="CI30" s="25">
        <f t="shared" si="23"/>
        <v>21649484.5</v>
      </c>
      <c r="CJ30" s="25">
        <f t="shared" si="24"/>
        <v>21649484.5</v>
      </c>
      <c r="CK30" s="25">
        <f t="shared" si="24"/>
        <v>0</v>
      </c>
      <c r="CL30" s="25">
        <f t="shared" si="49"/>
        <v>0</v>
      </c>
      <c r="CM30" s="25">
        <f t="shared" si="50"/>
        <v>8659793.8000000007</v>
      </c>
      <c r="CN30" s="25">
        <f t="shared" si="51"/>
        <v>0</v>
      </c>
      <c r="CO30" s="90"/>
      <c r="CP30" s="75"/>
      <c r="CR30" s="25">
        <f t="shared" si="25"/>
        <v>1192292.61602964</v>
      </c>
      <c r="CS30" s="25">
        <f t="shared" si="26"/>
        <v>0</v>
      </c>
      <c r="CT30" s="25">
        <f t="shared" si="26"/>
        <v>1192292.61602964</v>
      </c>
      <c r="CU30" s="25">
        <f t="shared" si="27"/>
        <v>0</v>
      </c>
      <c r="CV30" s="25">
        <f t="shared" si="28"/>
        <v>1013448.7236251939</v>
      </c>
      <c r="CW30" s="25">
        <f t="shared" si="29"/>
        <v>0</v>
      </c>
      <c r="CY30" s="25">
        <f t="shared" si="30"/>
        <v>596146.30801481998</v>
      </c>
      <c r="CZ30" s="25">
        <f t="shared" si="31"/>
        <v>0</v>
      </c>
      <c r="DA30" s="25">
        <f t="shared" si="55"/>
        <v>596146.30801481998</v>
      </c>
      <c r="DB30" s="25">
        <f t="shared" si="33"/>
        <v>0</v>
      </c>
      <c r="DC30" s="25">
        <f t="shared" si="34"/>
        <v>506724.36181259697</v>
      </c>
      <c r="DD30" s="25">
        <f t="shared" si="35"/>
        <v>0</v>
      </c>
    </row>
    <row r="31" spans="1:108" x14ac:dyDescent="0.35">
      <c r="A31" s="282" t="str">
        <f t="shared" si="36"/>
        <v>344558_6</v>
      </c>
      <c r="B31" s="303">
        <v>344558</v>
      </c>
      <c r="C31" s="303">
        <v>6</v>
      </c>
      <c r="D31" s="319" t="str">
        <f>IFERROR(MATCH(C31,'[4]Custom Earning Pattern Not Popu'!$B$5:$B$428,0),"NA")</f>
        <v>NA</v>
      </c>
      <c r="E31" s="303" t="s">
        <v>17</v>
      </c>
      <c r="F31" s="303">
        <v>12</v>
      </c>
      <c r="G31" s="303">
        <v>8977</v>
      </c>
      <c r="H31" s="306">
        <v>44888</v>
      </c>
      <c r="I31" s="306">
        <v>45839</v>
      </c>
      <c r="J31" s="306">
        <v>46203</v>
      </c>
      <c r="K31" s="303" t="s">
        <v>113</v>
      </c>
      <c r="L31" s="306">
        <v>45839</v>
      </c>
      <c r="M31" s="306">
        <v>46203</v>
      </c>
      <c r="N31" s="303" t="s">
        <v>18</v>
      </c>
      <c r="O31" s="303" t="s">
        <v>18</v>
      </c>
      <c r="P31" s="148">
        <f t="shared" si="37"/>
        <v>0.2</v>
      </c>
      <c r="Q31" s="282">
        <v>1</v>
      </c>
      <c r="R31" s="282">
        <v>0</v>
      </c>
      <c r="S31" s="282" t="str">
        <f t="shared" si="52"/>
        <v>Orbit</v>
      </c>
      <c r="T31" s="282" t="s">
        <v>13</v>
      </c>
      <c r="U31" s="303" t="s">
        <v>248</v>
      </c>
      <c r="V31" s="303" t="s">
        <v>31</v>
      </c>
      <c r="W31" s="303" t="s">
        <v>78</v>
      </c>
      <c r="X31" s="303" t="s">
        <v>260</v>
      </c>
      <c r="Y31" s="303" t="s">
        <v>319</v>
      </c>
      <c r="Z31" s="303" t="s">
        <v>13</v>
      </c>
      <c r="AA31" s="308">
        <v>6390959.0361546203</v>
      </c>
      <c r="AC31" s="289">
        <f t="shared" si="38"/>
        <v>0</v>
      </c>
      <c r="AD31" s="88" cm="1">
        <f t="array" ref="AD31">IF(AC31=0,0,INDEX(Summary!$S$4:$S$7,MATCH(AC31,Summary!$R$4:$R$7)+1))</f>
        <v>0</v>
      </c>
      <c r="AE31" s="88">
        <f>IFERROR(INDEX(Summary!$Y$4:$Y$6,MATCH('Input Data'!K31,Summary!$U$4:$U$6,0)),0)</f>
        <v>0.05</v>
      </c>
      <c r="AF31" s="88" t="b">
        <f t="shared" si="39"/>
        <v>1</v>
      </c>
      <c r="AG31" s="89">
        <f>IF(AF31,INDEX('IG Equity Share'!$B:$B,MATCH(YEAR(I31),'IG Equity Share'!$A:$A,0)),0)</f>
        <v>7.4999999999999997E-2</v>
      </c>
      <c r="AH31" s="383">
        <f>AJ31*AG31*_xlfn.XLOOKUP(I31,'S3123 Consortium Share'!$A$3:$A$5,'S3123 Consortium Share'!$F$3:$F$5,,-1)</f>
        <v>199717.46987983189</v>
      </c>
      <c r="AI31" s="14">
        <v>1</v>
      </c>
      <c r="AJ31" s="13">
        <f t="shared" si="40"/>
        <v>6390959.0361546203</v>
      </c>
      <c r="AK31" s="13">
        <f t="shared" si="41"/>
        <v>6390959.0361546203</v>
      </c>
      <c r="AL31" s="13" t="str">
        <f t="shared" si="3"/>
        <v>FIID</v>
      </c>
      <c r="AM31" s="52">
        <f t="shared" si="4"/>
        <v>2025</v>
      </c>
      <c r="AN31" s="4">
        <f>INDEX('[2]Input Data'!$AH:$AH,MATCH(A31,'[2]Input Data'!$A:$A,0),1)-AH31</f>
        <v>0</v>
      </c>
      <c r="AO31" s="13">
        <f t="shared" si="56"/>
        <v>0</v>
      </c>
      <c r="AP31" s="13">
        <f t="shared" si="56"/>
        <v>0</v>
      </c>
      <c r="AQ31" s="13">
        <f t="shared" si="56"/>
        <v>0</v>
      </c>
      <c r="AR31" s="13">
        <f t="shared" si="56"/>
        <v>0</v>
      </c>
      <c r="AS31" s="13">
        <f t="shared" si="56"/>
        <v>0</v>
      </c>
      <c r="AT31" s="13">
        <f t="shared" si="56"/>
        <v>0</v>
      </c>
      <c r="AU31" s="13">
        <f t="shared" si="56"/>
        <v>1278191.8072309243</v>
      </c>
      <c r="AV31" s="13">
        <f t="shared" si="6"/>
        <v>0</v>
      </c>
      <c r="AW31" s="13"/>
      <c r="AX31" s="13"/>
      <c r="AY31" s="13">
        <f t="shared" si="42"/>
        <v>1278191.8072309243</v>
      </c>
      <c r="AZ31" s="13">
        <f t="shared" si="43"/>
        <v>0</v>
      </c>
      <c r="BA31" s="74"/>
      <c r="BB31" s="25">
        <f t="shared" si="54"/>
        <v>5112767.2289236961</v>
      </c>
      <c r="BC31" s="13">
        <f t="shared" si="44"/>
        <v>0</v>
      </c>
      <c r="BD31" s="13" t="b">
        <f>AND(AF31,NOT(ISNUMBER(MATCH(G31,Table1[Excluded Spacecraft ID],0))))</f>
        <v>1</v>
      </c>
      <c r="BE31" s="13">
        <f>BD31*AK31*_xlfn.XLOOKUP(I31,Table2[Date From],Table2[Cession],"Error",-1)*_xlfn.XLOOKUP(I31,'S3123 Consortium Share'!$A$3:$A$5,'S3123 Consortium Share'!$F$3:$F$5,,-1)</f>
        <v>532579.91967955185</v>
      </c>
      <c r="BF31" s="13">
        <f t="shared" si="45"/>
        <v>5112767.2289236961</v>
      </c>
      <c r="BG31" s="89" cm="1">
        <f t="array" ref="BG31">IF(V31="FIBL",0,INDEX('IGR QS'!$A$1:$D$570,MATCH('Input Data'!V31&amp;'Input Data'!W31&amp;'Input Data'!AM31,'IGR QS'!A:A&amp;'IGR QS'!B:B&amp;'IGR QS'!C:C,0),4))</f>
        <v>0.85</v>
      </c>
      <c r="BH31" s="13">
        <f t="shared" si="53"/>
        <v>4345852.1445851419</v>
      </c>
      <c r="BI31" s="13">
        <f t="shared" si="46"/>
        <v>766915.08433855418</v>
      </c>
      <c r="BJ31" s="13">
        <f t="shared" si="7"/>
        <v>0</v>
      </c>
      <c r="BK31" s="13">
        <f t="shared" si="47"/>
        <v>4345852.1445851419</v>
      </c>
      <c r="BL31" s="13">
        <f t="shared" si="48"/>
        <v>766915.08433855418</v>
      </c>
      <c r="BM31" s="21"/>
      <c r="BN31" s="13">
        <f t="shared" si="8"/>
        <v>14120404.593972594</v>
      </c>
      <c r="BO31" s="13">
        <f t="shared" si="9"/>
        <v>12318061.835139982</v>
      </c>
      <c r="BP31" s="13">
        <f t="shared" si="10"/>
        <v>1802342.7588326111</v>
      </c>
      <c r="BQ31" s="13">
        <f t="shared" si="11"/>
        <v>22531337.46852478</v>
      </c>
      <c r="BR31" s="13">
        <f t="shared" si="12"/>
        <v>9162935.5156243462</v>
      </c>
      <c r="BT31" s="13">
        <f t="shared" si="13"/>
        <v>16735239.141291298</v>
      </c>
      <c r="BU31" s="13">
        <f t="shared" si="14"/>
        <v>6578151.0405223547</v>
      </c>
      <c r="BV31" s="13">
        <f t="shared" si="15"/>
        <v>10157088.100768942</v>
      </c>
      <c r="BW31" s="13">
        <f t="shared" si="16"/>
        <v>4183809.7853228245</v>
      </c>
      <c r="BX31" s="13"/>
      <c r="BY31" s="25">
        <f t="shared" si="17"/>
        <v>319547.95180773106</v>
      </c>
      <c r="BZ31" s="25">
        <f t="shared" si="18"/>
        <v>0</v>
      </c>
      <c r="CA31" s="25">
        <f t="shared" si="19"/>
        <v>319547.95180773106</v>
      </c>
      <c r="CB31" s="25">
        <f t="shared" si="20"/>
        <v>0</v>
      </c>
      <c r="CC31" s="25">
        <f t="shared" si="21"/>
        <v>271615.75903657137</v>
      </c>
      <c r="CD31" s="384">
        <f t="shared" si="22"/>
        <v>0</v>
      </c>
      <c r="CH31" s="7" t="str">
        <v>ORBITAL ATK INC.</v>
      </c>
      <c r="CI31" s="25">
        <f t="shared" si="23"/>
        <v>23195876.25</v>
      </c>
      <c r="CJ31" s="25">
        <f t="shared" si="24"/>
        <v>23195876.25</v>
      </c>
      <c r="CK31" s="25">
        <f t="shared" si="24"/>
        <v>0</v>
      </c>
      <c r="CL31" s="25">
        <f t="shared" si="49"/>
        <v>0</v>
      </c>
      <c r="CM31" s="25">
        <f t="shared" si="50"/>
        <v>9278350.5</v>
      </c>
      <c r="CN31" s="25">
        <f t="shared" si="51"/>
        <v>0</v>
      </c>
      <c r="CO31" s="90"/>
      <c r="CP31" s="75"/>
      <c r="CR31" s="25">
        <f t="shared" si="25"/>
        <v>639095.90361546213</v>
      </c>
      <c r="CS31" s="25">
        <f t="shared" si="26"/>
        <v>0</v>
      </c>
      <c r="CT31" s="25">
        <f t="shared" si="26"/>
        <v>639095.90361546213</v>
      </c>
      <c r="CU31" s="25">
        <f t="shared" si="27"/>
        <v>0</v>
      </c>
      <c r="CV31" s="25">
        <f t="shared" si="28"/>
        <v>543231.51807314274</v>
      </c>
      <c r="CW31" s="25">
        <f t="shared" si="29"/>
        <v>0</v>
      </c>
      <c r="CY31" s="25">
        <f t="shared" si="30"/>
        <v>319547.95180773106</v>
      </c>
      <c r="CZ31" s="25">
        <f t="shared" si="31"/>
        <v>0</v>
      </c>
      <c r="DA31" s="25">
        <f t="shared" si="55"/>
        <v>319547.95180773106</v>
      </c>
      <c r="DB31" s="25">
        <f t="shared" si="33"/>
        <v>0</v>
      </c>
      <c r="DC31" s="25">
        <f t="shared" si="34"/>
        <v>271615.75903657137</v>
      </c>
      <c r="DD31" s="25">
        <f t="shared" si="35"/>
        <v>0</v>
      </c>
    </row>
    <row r="32" spans="1:108" x14ac:dyDescent="0.35">
      <c r="A32" s="282" t="str">
        <f t="shared" si="36"/>
        <v>344558_7</v>
      </c>
      <c r="B32" s="303">
        <v>344558</v>
      </c>
      <c r="C32" s="303">
        <v>7</v>
      </c>
      <c r="D32" s="319" t="str">
        <f>IFERROR(MATCH(C32,'[4]Custom Earning Pattern Not Popu'!$B$5:$B$428,0),"NA")</f>
        <v>NA</v>
      </c>
      <c r="E32" s="303" t="s">
        <v>17</v>
      </c>
      <c r="F32" s="303">
        <v>12</v>
      </c>
      <c r="G32" s="303">
        <v>9000</v>
      </c>
      <c r="H32" s="306">
        <v>44849</v>
      </c>
      <c r="I32" s="306">
        <v>45839</v>
      </c>
      <c r="J32" s="306">
        <v>46203</v>
      </c>
      <c r="K32" s="303" t="s">
        <v>113</v>
      </c>
      <c r="L32" s="306">
        <v>45839</v>
      </c>
      <c r="M32" s="306">
        <v>46203</v>
      </c>
      <c r="N32" s="303" t="s">
        <v>234</v>
      </c>
      <c r="O32" s="303" t="s">
        <v>234</v>
      </c>
      <c r="P32" s="148">
        <f t="shared" si="37"/>
        <v>0.2</v>
      </c>
      <c r="Q32" s="282">
        <v>1</v>
      </c>
      <c r="R32" s="282">
        <v>0</v>
      </c>
      <c r="S32" s="282" t="str">
        <f t="shared" si="52"/>
        <v>Orbit</v>
      </c>
      <c r="T32" s="282" t="s">
        <v>13</v>
      </c>
      <c r="U32" s="303" t="s">
        <v>248</v>
      </c>
      <c r="V32" s="303" t="s">
        <v>31</v>
      </c>
      <c r="W32" s="303" t="s">
        <v>78</v>
      </c>
      <c r="X32" s="303" t="s">
        <v>261</v>
      </c>
      <c r="Y32" s="303" t="s">
        <v>317</v>
      </c>
      <c r="Z32" s="303" t="s">
        <v>13</v>
      </c>
      <c r="AA32" s="308">
        <v>8472635.0218910407</v>
      </c>
      <c r="AC32" s="289">
        <f t="shared" si="38"/>
        <v>0</v>
      </c>
      <c r="AD32" s="88" cm="1">
        <f t="array" ref="AD32">IF(AC32=0,0,INDEX(Summary!$S$4:$S$7,MATCH(AC32,Summary!$R$4:$R$7)+1))</f>
        <v>0</v>
      </c>
      <c r="AE32" s="88">
        <f>IFERROR(INDEX(Summary!$Y$4:$Y$6,MATCH('Input Data'!K32,Summary!$U$4:$U$6,0)),0)</f>
        <v>0.05</v>
      </c>
      <c r="AF32" s="88" t="b">
        <f t="shared" si="39"/>
        <v>1</v>
      </c>
      <c r="AG32" s="89">
        <f>IF(AF32,INDEX('IG Equity Share'!$B:$B,MATCH(YEAR(I32),'IG Equity Share'!$A:$A,0)),0)</f>
        <v>7.4999999999999997E-2</v>
      </c>
      <c r="AH32" s="383">
        <f>AJ32*AG32*_xlfn.XLOOKUP(I32,'S3123 Consortium Share'!$A$3:$A$5,'S3123 Consortium Share'!$F$3:$F$5,,-1)</f>
        <v>264769.84443409502</v>
      </c>
      <c r="AI32" s="14">
        <v>1</v>
      </c>
      <c r="AJ32" s="13">
        <f t="shared" si="40"/>
        <v>8472635.0218910407</v>
      </c>
      <c r="AK32" s="13">
        <f t="shared" si="41"/>
        <v>8472635.0218910407</v>
      </c>
      <c r="AL32" s="13" t="str">
        <f t="shared" si="3"/>
        <v>FIID</v>
      </c>
      <c r="AM32" s="52">
        <f t="shared" si="4"/>
        <v>2025</v>
      </c>
      <c r="AN32" s="4">
        <f>INDEX('[2]Input Data'!$AH:$AH,MATCH(A32,'[2]Input Data'!$A:$A,0),1)-AH32</f>
        <v>0</v>
      </c>
      <c r="AO32" s="13">
        <f t="shared" si="56"/>
        <v>0</v>
      </c>
      <c r="AP32" s="13">
        <f t="shared" si="56"/>
        <v>0</v>
      </c>
      <c r="AQ32" s="13">
        <f t="shared" si="56"/>
        <v>0</v>
      </c>
      <c r="AR32" s="13">
        <f t="shared" si="56"/>
        <v>0</v>
      </c>
      <c r="AS32" s="13">
        <f t="shared" si="56"/>
        <v>0</v>
      </c>
      <c r="AT32" s="13">
        <f t="shared" si="56"/>
        <v>0</v>
      </c>
      <c r="AU32" s="13">
        <f t="shared" si="56"/>
        <v>1694527.0043782082</v>
      </c>
      <c r="AV32" s="13">
        <f t="shared" si="6"/>
        <v>0</v>
      </c>
      <c r="AW32" s="13"/>
      <c r="AX32" s="13"/>
      <c r="AY32" s="13">
        <f t="shared" si="42"/>
        <v>1694527.0043782082</v>
      </c>
      <c r="AZ32" s="13">
        <f t="shared" si="43"/>
        <v>0</v>
      </c>
      <c r="BA32" s="74"/>
      <c r="BB32" s="25">
        <f t="shared" si="54"/>
        <v>6778108.0175128328</v>
      </c>
      <c r="BC32" s="13">
        <f t="shared" si="44"/>
        <v>0</v>
      </c>
      <c r="BD32" s="13" t="b">
        <f>AND(AF32,NOT(ISNUMBER(MATCH(G32,Table1[Excluded Spacecraft ID],0))))</f>
        <v>1</v>
      </c>
      <c r="BE32" s="13">
        <f>BD32*AK32*_xlfn.XLOOKUP(I32,Table2[Date From],Table2[Cession],"Error",-1)*_xlfn.XLOOKUP(I32,'S3123 Consortium Share'!$A$3:$A$5,'S3123 Consortium Share'!$F$3:$F$5,,-1)</f>
        <v>706052.9184909201</v>
      </c>
      <c r="BF32" s="13">
        <f t="shared" si="45"/>
        <v>6778108.0175128328</v>
      </c>
      <c r="BG32" s="89" cm="1">
        <f t="array" ref="BG32">IF(V32="FIBL",0,INDEX('IGR QS'!$A$1:$D$570,MATCH('Input Data'!V32&amp;'Input Data'!W32&amp;'Input Data'!AM32,'IGR QS'!A:A&amp;'IGR QS'!B:B&amp;'IGR QS'!C:C,0),4))</f>
        <v>0.85</v>
      </c>
      <c r="BH32" s="13">
        <f t="shared" si="53"/>
        <v>5761391.8148859078</v>
      </c>
      <c r="BI32" s="13">
        <f t="shared" si="46"/>
        <v>1016716.202626925</v>
      </c>
      <c r="BJ32" s="13">
        <f t="shared" si="7"/>
        <v>0</v>
      </c>
      <c r="BK32" s="13">
        <f t="shared" si="47"/>
        <v>5761391.8148859078</v>
      </c>
      <c r="BL32" s="13">
        <f t="shared" si="48"/>
        <v>1016716.202626925</v>
      </c>
      <c r="BM32" s="21"/>
      <c r="BN32" s="13">
        <f t="shared" si="8"/>
        <v>33962303.368542388</v>
      </c>
      <c r="BO32" s="13">
        <f t="shared" si="9"/>
        <v>20011429.248113245</v>
      </c>
      <c r="BP32" s="13">
        <f t="shared" si="10"/>
        <v>13950874.12042914</v>
      </c>
      <c r="BQ32" s="13">
        <f t="shared" si="11"/>
        <v>99066382.597211704</v>
      </c>
      <c r="BR32" s="13">
        <f t="shared" si="12"/>
        <v>33257171.491438523</v>
      </c>
      <c r="BT32" s="13">
        <f t="shared" si="13"/>
        <v>6778108.0175128328</v>
      </c>
      <c r="BU32" s="13">
        <f t="shared" si="14"/>
        <v>1016716.202626925</v>
      </c>
      <c r="BV32" s="13">
        <f t="shared" si="15"/>
        <v>5761391.8148859078</v>
      </c>
      <c r="BW32" s="13">
        <f t="shared" si="16"/>
        <v>1694527.0043782082</v>
      </c>
      <c r="BX32" s="13"/>
      <c r="BY32" s="25">
        <f t="shared" si="17"/>
        <v>423631.75109455205</v>
      </c>
      <c r="BZ32" s="25">
        <f t="shared" si="18"/>
        <v>0</v>
      </c>
      <c r="CA32" s="25">
        <f t="shared" si="19"/>
        <v>423631.75109455205</v>
      </c>
      <c r="CB32" s="25">
        <f t="shared" si="20"/>
        <v>0</v>
      </c>
      <c r="CC32" s="25">
        <f t="shared" si="21"/>
        <v>360086.98843036924</v>
      </c>
      <c r="CD32" s="384">
        <f t="shared" si="22"/>
        <v>0</v>
      </c>
      <c r="CH32" s="7" t="str">
        <v>Turkish Aerospace Industries (TAI/TUSAs)</v>
      </c>
      <c r="CI32" s="25">
        <f t="shared" si="23"/>
        <v>7422681.0185566898</v>
      </c>
      <c r="CJ32" s="25">
        <f t="shared" si="24"/>
        <v>7422681.0185566898</v>
      </c>
      <c r="CK32" s="25">
        <f t="shared" si="24"/>
        <v>0</v>
      </c>
      <c r="CL32" s="25">
        <f t="shared" si="49"/>
        <v>0</v>
      </c>
      <c r="CM32" s="25">
        <f t="shared" si="50"/>
        <v>2969072.4074226758</v>
      </c>
      <c r="CN32" s="25">
        <f t="shared" si="51"/>
        <v>0</v>
      </c>
      <c r="CO32" s="90"/>
      <c r="CP32" s="75"/>
      <c r="CR32" s="25">
        <f t="shared" si="25"/>
        <v>847263.5021891041</v>
      </c>
      <c r="CS32" s="25">
        <f t="shared" si="26"/>
        <v>0</v>
      </c>
      <c r="CT32" s="25">
        <f t="shared" si="26"/>
        <v>847263.5021891041</v>
      </c>
      <c r="CU32" s="25">
        <f t="shared" si="27"/>
        <v>0</v>
      </c>
      <c r="CV32" s="25">
        <f t="shared" si="28"/>
        <v>720173.97686073848</v>
      </c>
      <c r="CW32" s="25">
        <f t="shared" si="29"/>
        <v>0</v>
      </c>
      <c r="CY32" s="25">
        <f t="shared" si="30"/>
        <v>423631.75109455205</v>
      </c>
      <c r="CZ32" s="25">
        <f t="shared" si="31"/>
        <v>0</v>
      </c>
      <c r="DA32" s="25">
        <f t="shared" si="55"/>
        <v>423631.75109455205</v>
      </c>
      <c r="DB32" s="25">
        <f t="shared" si="33"/>
        <v>0</v>
      </c>
      <c r="DC32" s="25">
        <f t="shared" si="34"/>
        <v>360086.98843036924</v>
      </c>
      <c r="DD32" s="25">
        <f t="shared" si="35"/>
        <v>0</v>
      </c>
    </row>
    <row r="33" spans="1:108" x14ac:dyDescent="0.35">
      <c r="A33" s="282" t="str">
        <f t="shared" si="36"/>
        <v>344558_8</v>
      </c>
      <c r="B33" s="303">
        <v>344558</v>
      </c>
      <c r="C33" s="303">
        <v>8</v>
      </c>
      <c r="D33" s="319" t="str">
        <f>IFERROR(MATCH(C33,'[4]Custom Earning Pattern Not Popu'!$B$5:$B$428,0),"NA")</f>
        <v>NA</v>
      </c>
      <c r="E33" s="303" t="s">
        <v>17</v>
      </c>
      <c r="F33" s="303">
        <v>12</v>
      </c>
      <c r="G33" s="303">
        <v>9004</v>
      </c>
      <c r="H33" s="306">
        <v>41246</v>
      </c>
      <c r="I33" s="306">
        <v>45839</v>
      </c>
      <c r="J33" s="306">
        <v>46203</v>
      </c>
      <c r="K33" s="303" t="s">
        <v>113</v>
      </c>
      <c r="L33" s="306">
        <v>45839</v>
      </c>
      <c r="M33" s="306">
        <v>46203</v>
      </c>
      <c r="N33" s="303" t="s">
        <v>231</v>
      </c>
      <c r="O33" s="303" t="s">
        <v>231</v>
      </c>
      <c r="P33" s="148">
        <f t="shared" si="37"/>
        <v>0.2</v>
      </c>
      <c r="Q33" s="282">
        <v>1</v>
      </c>
      <c r="R33" s="282">
        <v>0</v>
      </c>
      <c r="S33" s="282" t="str">
        <f t="shared" si="52"/>
        <v>Orbit</v>
      </c>
      <c r="T33" s="282" t="s">
        <v>13</v>
      </c>
      <c r="U33" s="303" t="s">
        <v>248</v>
      </c>
      <c r="V33" s="303" t="s">
        <v>31</v>
      </c>
      <c r="W33" s="303" t="s">
        <v>78</v>
      </c>
      <c r="X33" s="303" t="s">
        <v>262</v>
      </c>
      <c r="Y33" s="303" t="s">
        <v>315</v>
      </c>
      <c r="Z33" s="303" t="s">
        <v>13</v>
      </c>
      <c r="AA33" s="308">
        <v>8104725.6319345096</v>
      </c>
      <c r="AC33" s="289">
        <f t="shared" si="38"/>
        <v>0</v>
      </c>
      <c r="AD33" s="88" cm="1">
        <f t="array" ref="AD33">IF(AC33=0,0,INDEX(Summary!$S$4:$S$7,MATCH(AC33,Summary!$R$4:$R$7)+1))</f>
        <v>0</v>
      </c>
      <c r="AE33" s="88">
        <f>IFERROR(INDEX(Summary!$Y$4:$Y$6,MATCH('Input Data'!K33,Summary!$U$4:$U$6,0)),0)</f>
        <v>0.05</v>
      </c>
      <c r="AF33" s="88" t="b">
        <f t="shared" si="39"/>
        <v>1</v>
      </c>
      <c r="AG33" s="89">
        <f>IF(AF33,INDEX('IG Equity Share'!$B:$B,MATCH(YEAR(I33),'IG Equity Share'!$A:$A,0)),0)</f>
        <v>7.4999999999999997E-2</v>
      </c>
      <c r="AH33" s="383">
        <f>AJ33*AG33*_xlfn.XLOOKUP(I33,'S3123 Consortium Share'!$A$3:$A$5,'S3123 Consortium Share'!$F$3:$F$5,,-1)</f>
        <v>253272.67599795345</v>
      </c>
      <c r="AI33" s="14">
        <v>1</v>
      </c>
      <c r="AJ33" s="13">
        <f t="shared" si="40"/>
        <v>8104725.6319345096</v>
      </c>
      <c r="AK33" s="13">
        <f t="shared" si="41"/>
        <v>8104725.6319345096</v>
      </c>
      <c r="AL33" s="13" t="str">
        <f t="shared" si="3"/>
        <v>FIID</v>
      </c>
      <c r="AM33" s="52">
        <f t="shared" si="4"/>
        <v>2025</v>
      </c>
      <c r="AN33" s="4"/>
      <c r="AO33" s="13">
        <f t="shared" si="56"/>
        <v>0</v>
      </c>
      <c r="AP33" s="13">
        <f t="shared" si="56"/>
        <v>0</v>
      </c>
      <c r="AQ33" s="13">
        <f t="shared" si="56"/>
        <v>0</v>
      </c>
      <c r="AR33" s="13">
        <f t="shared" si="56"/>
        <v>0</v>
      </c>
      <c r="AS33" s="13">
        <f t="shared" si="56"/>
        <v>0</v>
      </c>
      <c r="AT33" s="13">
        <f t="shared" si="56"/>
        <v>0</v>
      </c>
      <c r="AU33" s="13">
        <f t="shared" si="56"/>
        <v>1620945.1263869021</v>
      </c>
      <c r="AV33" s="13">
        <f t="shared" si="6"/>
        <v>0</v>
      </c>
      <c r="AW33" s="13"/>
      <c r="AX33" s="13"/>
      <c r="AY33" s="13">
        <f t="shared" si="42"/>
        <v>1620945.1263869021</v>
      </c>
      <c r="AZ33" s="13">
        <f t="shared" si="43"/>
        <v>0</v>
      </c>
      <c r="BA33" s="74"/>
      <c r="BB33" s="25">
        <f t="shared" si="54"/>
        <v>6483780.5055476073</v>
      </c>
      <c r="BC33" s="13">
        <f t="shared" si="44"/>
        <v>0</v>
      </c>
      <c r="BD33" s="13" t="b">
        <f>AND(AF33,NOT(ISNUMBER(MATCH(G33,Table1[Excluded Spacecraft ID],0))))</f>
        <v>1</v>
      </c>
      <c r="BE33" s="13">
        <f>BD33*AK33*_xlfn.XLOOKUP(I33,Table2[Date From],Table2[Cession],"Error",-1)*_xlfn.XLOOKUP(I33,'S3123 Consortium Share'!$A$3:$A$5,'S3123 Consortium Share'!$F$3:$F$5,,-1)</f>
        <v>675393.80266120925</v>
      </c>
      <c r="BF33" s="13">
        <f t="shared" si="45"/>
        <v>6483780.5055476073</v>
      </c>
      <c r="BG33" s="89" cm="1">
        <f t="array" ref="BG33">IF(V33="FIBL",0,INDEX('IGR QS'!$A$1:$D$570,MATCH('Input Data'!V33&amp;'Input Data'!W33&amp;'Input Data'!AM33,'IGR QS'!A:A&amp;'IGR QS'!B:B&amp;'IGR QS'!C:C,0),4))</f>
        <v>0.85</v>
      </c>
      <c r="BH33" s="13">
        <f t="shared" si="53"/>
        <v>5511213.4297154658</v>
      </c>
      <c r="BI33" s="13">
        <f t="shared" si="46"/>
        <v>972567.07583214156</v>
      </c>
      <c r="BJ33" s="13">
        <f t="shared" si="7"/>
        <v>0</v>
      </c>
      <c r="BK33" s="13">
        <f t="shared" si="47"/>
        <v>5511213.4297154658</v>
      </c>
      <c r="BL33" s="13">
        <f t="shared" si="48"/>
        <v>972567.07583214156</v>
      </c>
      <c r="BM33" s="21"/>
      <c r="BN33" s="13">
        <f t="shared" si="8"/>
        <v>17510967.098857567</v>
      </c>
      <c r="BO33" s="13">
        <f t="shared" si="9"/>
        <v>14332947.228239156</v>
      </c>
      <c r="BP33" s="13">
        <f t="shared" si="10"/>
        <v>3178019.8706184095</v>
      </c>
      <c r="BQ33" s="13">
        <f t="shared" si="11"/>
        <v>32341726.495076805</v>
      </c>
      <c r="BR33" s="13">
        <f t="shared" si="12"/>
        <v>12463173.398483593</v>
      </c>
      <c r="BT33" s="13">
        <f t="shared" si="13"/>
        <v>6483780.5055476073</v>
      </c>
      <c r="BU33" s="13">
        <f t="shared" si="14"/>
        <v>972567.07583214156</v>
      </c>
      <c r="BV33" s="13">
        <f t="shared" si="15"/>
        <v>5511213.4297154658</v>
      </c>
      <c r="BW33" s="13">
        <f t="shared" si="16"/>
        <v>1620945.1263869021</v>
      </c>
      <c r="BX33" s="13"/>
      <c r="BY33" s="25">
        <f t="shared" si="17"/>
        <v>405236.28159672552</v>
      </c>
      <c r="BZ33" s="25">
        <f t="shared" si="18"/>
        <v>0</v>
      </c>
      <c r="CA33" s="25">
        <f t="shared" si="19"/>
        <v>405236.28159672552</v>
      </c>
      <c r="CB33" s="25">
        <f t="shared" si="20"/>
        <v>0</v>
      </c>
      <c r="CC33" s="25">
        <f t="shared" si="21"/>
        <v>344450.83935721667</v>
      </c>
      <c r="CD33" s="384">
        <f t="shared" si="22"/>
        <v>0</v>
      </c>
      <c r="CH33" s="7" t="str">
        <v>Maxar Space Systems</v>
      </c>
      <c r="CI33" s="25">
        <f t="shared" si="23"/>
        <v>0</v>
      </c>
      <c r="CJ33" s="25">
        <f t="shared" si="24"/>
        <v>0</v>
      </c>
      <c r="CK33" s="25">
        <f t="shared" si="24"/>
        <v>0</v>
      </c>
      <c r="CL33" s="25">
        <f t="shared" si="49"/>
        <v>0</v>
      </c>
      <c r="CM33" s="25">
        <f t="shared" si="50"/>
        <v>0</v>
      </c>
      <c r="CN33" s="25">
        <f t="shared" si="51"/>
        <v>0</v>
      </c>
      <c r="CO33" s="90"/>
      <c r="CP33" s="75"/>
      <c r="CR33" s="25">
        <f t="shared" si="25"/>
        <v>810472.56319345103</v>
      </c>
      <c r="CS33" s="25">
        <f t="shared" si="26"/>
        <v>0</v>
      </c>
      <c r="CT33" s="25">
        <f t="shared" si="26"/>
        <v>810472.56319345103</v>
      </c>
      <c r="CU33" s="25">
        <f t="shared" si="27"/>
        <v>0</v>
      </c>
      <c r="CV33" s="25">
        <f t="shared" si="28"/>
        <v>688901.67871443334</v>
      </c>
      <c r="CW33" s="25">
        <f t="shared" si="29"/>
        <v>0</v>
      </c>
      <c r="CY33" s="25">
        <f t="shared" si="30"/>
        <v>405236.28159672552</v>
      </c>
      <c r="CZ33" s="25">
        <f t="shared" si="31"/>
        <v>0</v>
      </c>
      <c r="DA33" s="25">
        <f t="shared" si="55"/>
        <v>405236.28159672552</v>
      </c>
      <c r="DB33" s="25">
        <f t="shared" si="33"/>
        <v>0</v>
      </c>
      <c r="DC33" s="25">
        <f t="shared" si="34"/>
        <v>344450.83935721667</v>
      </c>
      <c r="DD33" s="25">
        <f t="shared" si="35"/>
        <v>0</v>
      </c>
    </row>
    <row r="34" spans="1:108" x14ac:dyDescent="0.35">
      <c r="A34" s="282" t="str">
        <f t="shared" si="36"/>
        <v>344558_9</v>
      </c>
      <c r="B34" s="303">
        <v>344558</v>
      </c>
      <c r="C34" s="303">
        <v>9</v>
      </c>
      <c r="D34" s="319" t="str">
        <f>IFERROR(MATCH(C34,'[4]Custom Earning Pattern Not Popu'!$B$5:$B$428,0),"NA")</f>
        <v>NA</v>
      </c>
      <c r="E34" s="303" t="s">
        <v>17</v>
      </c>
      <c r="F34" s="303">
        <v>12</v>
      </c>
      <c r="G34" s="303">
        <v>9054</v>
      </c>
      <c r="H34" s="306">
        <v>41408</v>
      </c>
      <c r="I34" s="306">
        <v>45839</v>
      </c>
      <c r="J34" s="306">
        <v>46203</v>
      </c>
      <c r="K34" s="303" t="s">
        <v>113</v>
      </c>
      <c r="L34" s="306">
        <v>45839</v>
      </c>
      <c r="M34" s="306">
        <v>46203</v>
      </c>
      <c r="N34" s="303" t="s">
        <v>234</v>
      </c>
      <c r="O34" s="303" t="s">
        <v>234</v>
      </c>
      <c r="P34" s="148">
        <f t="shared" si="37"/>
        <v>0.2</v>
      </c>
      <c r="Q34" s="282">
        <v>1</v>
      </c>
      <c r="R34" s="282">
        <v>0</v>
      </c>
      <c r="S34" s="282" t="str">
        <f t="shared" si="52"/>
        <v>Orbit</v>
      </c>
      <c r="T34" s="282" t="s">
        <v>13</v>
      </c>
      <c r="U34" s="303" t="s">
        <v>248</v>
      </c>
      <c r="V34" s="303" t="s">
        <v>31</v>
      </c>
      <c r="W34" s="303" t="s">
        <v>78</v>
      </c>
      <c r="X34" s="303" t="s">
        <v>263</v>
      </c>
      <c r="Y34" s="303" t="s">
        <v>317</v>
      </c>
      <c r="Z34" s="303" t="s">
        <v>13</v>
      </c>
      <c r="AA34" s="308">
        <v>4138792.8983068601</v>
      </c>
      <c r="AC34" s="289">
        <f t="shared" si="38"/>
        <v>0</v>
      </c>
      <c r="AD34" s="88" cm="1">
        <f t="array" ref="AD34">IF(AC34=0,0,INDEX(Summary!$S$4:$S$7,MATCH(AC34,Summary!$R$4:$R$7)+1))</f>
        <v>0</v>
      </c>
      <c r="AE34" s="88">
        <f>IFERROR(INDEX(Summary!$Y$4:$Y$6,MATCH('Input Data'!K34,Summary!$U$4:$U$6,0)),0)</f>
        <v>0.05</v>
      </c>
      <c r="AF34" s="88" t="b">
        <f t="shared" si="39"/>
        <v>1</v>
      </c>
      <c r="AG34" s="89">
        <f>IF(AF34,INDEX('IG Equity Share'!$B:$B,MATCH(YEAR(I34),'IG Equity Share'!$A:$A,0)),0)</f>
        <v>7.4999999999999997E-2</v>
      </c>
      <c r="AH34" s="383">
        <f>AJ34*AG34*_xlfn.XLOOKUP(I34,'S3123 Consortium Share'!$A$3:$A$5,'S3123 Consortium Share'!$F$3:$F$5,,-1)</f>
        <v>129337.27807208938</v>
      </c>
      <c r="AI34" s="14">
        <v>1</v>
      </c>
      <c r="AJ34" s="13">
        <f t="shared" si="40"/>
        <v>4138792.8983068601</v>
      </c>
      <c r="AK34" s="13">
        <f t="shared" si="41"/>
        <v>4138792.8983068601</v>
      </c>
      <c r="AL34" s="13" t="str">
        <f t="shared" si="3"/>
        <v>FIID</v>
      </c>
      <c r="AM34" s="52">
        <f t="shared" si="4"/>
        <v>2025</v>
      </c>
      <c r="AN34" s="4"/>
      <c r="AO34" s="13">
        <f t="shared" si="56"/>
        <v>0</v>
      </c>
      <c r="AP34" s="13">
        <f t="shared" si="56"/>
        <v>0</v>
      </c>
      <c r="AQ34" s="13">
        <f t="shared" si="56"/>
        <v>0</v>
      </c>
      <c r="AR34" s="13">
        <f t="shared" si="56"/>
        <v>0</v>
      </c>
      <c r="AS34" s="13">
        <f t="shared" si="56"/>
        <v>0</v>
      </c>
      <c r="AT34" s="13">
        <f t="shared" si="56"/>
        <v>0</v>
      </c>
      <c r="AU34" s="13">
        <f t="shared" si="56"/>
        <v>827758.57966137212</v>
      </c>
      <c r="AV34" s="13">
        <f t="shared" si="6"/>
        <v>0</v>
      </c>
      <c r="AW34" s="13"/>
      <c r="AX34" s="13"/>
      <c r="AY34" s="13">
        <f t="shared" si="42"/>
        <v>827758.57966137212</v>
      </c>
      <c r="AZ34" s="13">
        <f t="shared" si="43"/>
        <v>0</v>
      </c>
      <c r="BA34" s="74"/>
      <c r="BB34" s="25">
        <f t="shared" si="54"/>
        <v>3311034.318645488</v>
      </c>
      <c r="BC34" s="13">
        <f t="shared" si="44"/>
        <v>0</v>
      </c>
      <c r="BD34" s="13" t="b">
        <f>AND(AF34,NOT(ISNUMBER(MATCH(G34,Table1[Excluded Spacecraft ID],0))))</f>
        <v>1</v>
      </c>
      <c r="BE34" s="13">
        <f>BD34*AK34*_xlfn.XLOOKUP(I34,Table2[Date From],Table2[Cession],"Error",-1)*_xlfn.XLOOKUP(I34,'S3123 Consortium Share'!$A$3:$A$5,'S3123 Consortium Share'!$F$3:$F$5,,-1)</f>
        <v>344899.40819223842</v>
      </c>
      <c r="BF34" s="13">
        <f t="shared" si="45"/>
        <v>3311034.318645488</v>
      </c>
      <c r="BG34" s="89" cm="1">
        <f t="array" ref="BG34">IF(V34="FIBL",0,INDEX('IGR QS'!$A$1:$D$570,MATCH('Input Data'!V34&amp;'Input Data'!W34&amp;'Input Data'!AM34,'IGR QS'!A:A&amp;'IGR QS'!B:B&amp;'IGR QS'!C:C,0),4))</f>
        <v>0.85</v>
      </c>
      <c r="BH34" s="13">
        <f t="shared" si="53"/>
        <v>2814379.1708486648</v>
      </c>
      <c r="BI34" s="13">
        <f t="shared" si="46"/>
        <v>496655.14779682318</v>
      </c>
      <c r="BJ34" s="13">
        <f t="shared" si="7"/>
        <v>0</v>
      </c>
      <c r="BK34" s="13">
        <f t="shared" si="47"/>
        <v>2814379.1708486648</v>
      </c>
      <c r="BL34" s="13">
        <f t="shared" si="48"/>
        <v>496655.14779682318</v>
      </c>
      <c r="BM34" s="21"/>
      <c r="BN34" s="13">
        <f t="shared" si="8"/>
        <v>33962303.368542388</v>
      </c>
      <c r="BO34" s="13">
        <f t="shared" si="9"/>
        <v>20011429.248113245</v>
      </c>
      <c r="BP34" s="13">
        <f t="shared" si="10"/>
        <v>13950874.12042914</v>
      </c>
      <c r="BQ34" s="13">
        <f t="shared" si="11"/>
        <v>99066382.597211704</v>
      </c>
      <c r="BR34" s="13">
        <f t="shared" si="12"/>
        <v>33257171.491438523</v>
      </c>
      <c r="BT34" s="13">
        <f t="shared" si="13"/>
        <v>3311034.318645488</v>
      </c>
      <c r="BU34" s="13">
        <f t="shared" si="14"/>
        <v>496655.14779682318</v>
      </c>
      <c r="BV34" s="13">
        <f t="shared" si="15"/>
        <v>2814379.1708486648</v>
      </c>
      <c r="BW34" s="13">
        <f t="shared" si="16"/>
        <v>827758.57966137212</v>
      </c>
      <c r="BX34" s="13"/>
      <c r="BY34" s="25">
        <f t="shared" si="17"/>
        <v>206939.64491534303</v>
      </c>
      <c r="BZ34" s="25">
        <f t="shared" si="18"/>
        <v>0</v>
      </c>
      <c r="CA34" s="25">
        <f t="shared" si="19"/>
        <v>206939.64491534303</v>
      </c>
      <c r="CB34" s="25">
        <f t="shared" si="20"/>
        <v>0</v>
      </c>
      <c r="CC34" s="25">
        <f t="shared" si="21"/>
        <v>175898.69817804155</v>
      </c>
      <c r="CD34" s="384">
        <f t="shared" si="22"/>
        <v>0</v>
      </c>
      <c r="CH34" s="7" t="str">
        <v>Airbus Defence and Space (Stevenage)</v>
      </c>
      <c r="CI34" s="25">
        <f t="shared" si="23"/>
        <v>0</v>
      </c>
      <c r="CJ34" s="25">
        <f t="shared" si="24"/>
        <v>0</v>
      </c>
      <c r="CK34" s="25">
        <f t="shared" si="24"/>
        <v>0</v>
      </c>
      <c r="CL34" s="25">
        <f t="shared" si="49"/>
        <v>0</v>
      </c>
      <c r="CM34" s="25">
        <f t="shared" si="50"/>
        <v>0</v>
      </c>
      <c r="CN34" s="25">
        <f t="shared" si="51"/>
        <v>0</v>
      </c>
      <c r="CO34" s="90"/>
      <c r="CP34" s="75"/>
      <c r="CR34" s="25">
        <f t="shared" si="25"/>
        <v>413879.28983068606</v>
      </c>
      <c r="CS34" s="25">
        <f t="shared" si="26"/>
        <v>0</v>
      </c>
      <c r="CT34" s="25">
        <f t="shared" si="26"/>
        <v>413879.28983068606</v>
      </c>
      <c r="CU34" s="25">
        <f t="shared" si="27"/>
        <v>0</v>
      </c>
      <c r="CV34" s="25">
        <f t="shared" si="28"/>
        <v>351797.3963560831</v>
      </c>
      <c r="CW34" s="25">
        <f t="shared" si="29"/>
        <v>0</v>
      </c>
      <c r="CY34" s="25">
        <f t="shared" si="30"/>
        <v>206939.64491534303</v>
      </c>
      <c r="CZ34" s="25">
        <f t="shared" si="31"/>
        <v>0</v>
      </c>
      <c r="DA34" s="25">
        <f t="shared" si="55"/>
        <v>206939.64491534303</v>
      </c>
      <c r="DB34" s="25">
        <f t="shared" si="33"/>
        <v>0</v>
      </c>
      <c r="DC34" s="25">
        <f t="shared" si="34"/>
        <v>175898.69817804155</v>
      </c>
      <c r="DD34" s="25">
        <f t="shared" si="35"/>
        <v>0</v>
      </c>
    </row>
    <row r="35" spans="1:108" x14ac:dyDescent="0.35">
      <c r="A35" s="282" t="str">
        <f t="shared" si="36"/>
        <v>344558_10</v>
      </c>
      <c r="B35" s="303">
        <v>344558</v>
      </c>
      <c r="C35" s="303">
        <v>10</v>
      </c>
      <c r="D35" s="319" t="str">
        <f>IFERROR(MATCH(C35,'[4]Custom Earning Pattern Not Popu'!$B$5:$B$428,0),"NA")</f>
        <v>NA</v>
      </c>
      <c r="E35" s="303" t="s">
        <v>17</v>
      </c>
      <c r="F35" s="303">
        <v>12</v>
      </c>
      <c r="G35" s="303">
        <v>9203</v>
      </c>
      <c r="H35" s="306">
        <v>41785</v>
      </c>
      <c r="I35" s="306">
        <v>45839</v>
      </c>
      <c r="J35" s="306">
        <v>46203</v>
      </c>
      <c r="K35" s="303" t="s">
        <v>113</v>
      </c>
      <c r="L35" s="306">
        <v>45839</v>
      </c>
      <c r="M35" s="306">
        <v>46203</v>
      </c>
      <c r="N35" s="303" t="s">
        <v>230</v>
      </c>
      <c r="O35" s="303" t="s">
        <v>230</v>
      </c>
      <c r="P35" s="148">
        <f t="shared" si="37"/>
        <v>0.2</v>
      </c>
      <c r="Q35" s="282">
        <v>1</v>
      </c>
      <c r="R35" s="282">
        <v>0</v>
      </c>
      <c r="S35" s="282" t="str">
        <f t="shared" si="52"/>
        <v>Orbit</v>
      </c>
      <c r="T35" s="282" t="s">
        <v>13</v>
      </c>
      <c r="U35" s="303" t="s">
        <v>248</v>
      </c>
      <c r="V35" s="303" t="s">
        <v>31</v>
      </c>
      <c r="W35" s="303" t="s">
        <v>78</v>
      </c>
      <c r="X35" s="303" t="s">
        <v>264</v>
      </c>
      <c r="Y35" s="303" t="s">
        <v>315</v>
      </c>
      <c r="Z35" s="303" t="s">
        <v>13</v>
      </c>
      <c r="AA35" s="308">
        <v>8995750.7919540908</v>
      </c>
      <c r="AC35" s="289">
        <f t="shared" si="38"/>
        <v>0</v>
      </c>
      <c r="AD35" s="88" cm="1">
        <f t="array" ref="AD35">IF(AC35=0,0,INDEX(Summary!$S$4:$S$7,MATCH(AC35,Summary!$R$4:$R$7)+1))</f>
        <v>0</v>
      </c>
      <c r="AE35" s="88">
        <f>IFERROR(INDEX(Summary!$Y$4:$Y$6,MATCH('Input Data'!K35,Summary!$U$4:$U$6,0)),0)</f>
        <v>0.05</v>
      </c>
      <c r="AF35" s="88" t="b">
        <f t="shared" si="39"/>
        <v>1</v>
      </c>
      <c r="AG35" s="89">
        <f>IF(AF35,INDEX('IG Equity Share'!$B:$B,MATCH(YEAR(I35),'IG Equity Share'!$A:$A,0)),0)</f>
        <v>7.4999999999999997E-2</v>
      </c>
      <c r="AH35" s="383">
        <f>AJ35*AG35*_xlfn.XLOOKUP(I35,'S3123 Consortium Share'!$A$3:$A$5,'S3123 Consortium Share'!$F$3:$F$5,,-1)</f>
        <v>281117.21224856534</v>
      </c>
      <c r="AI35" s="14">
        <v>1</v>
      </c>
      <c r="AJ35" s="13">
        <f t="shared" si="40"/>
        <v>8995750.7919540908</v>
      </c>
      <c r="AK35" s="13">
        <f t="shared" si="41"/>
        <v>8995750.7919540908</v>
      </c>
      <c r="AL35" s="13" t="str">
        <f t="shared" si="3"/>
        <v>FIID</v>
      </c>
      <c r="AM35" s="52">
        <f t="shared" si="4"/>
        <v>2025</v>
      </c>
      <c r="AN35" s="4">
        <f>INDEX('[2]Input Data'!$AH:$AH,MATCH(A35,'[2]Input Data'!$A:$A,0),1)-AH35</f>
        <v>0</v>
      </c>
      <c r="AO35" s="13">
        <f t="shared" si="56"/>
        <v>0</v>
      </c>
      <c r="AP35" s="13">
        <f t="shared" si="56"/>
        <v>0</v>
      </c>
      <c r="AQ35" s="13">
        <f t="shared" si="56"/>
        <v>0</v>
      </c>
      <c r="AR35" s="13">
        <f t="shared" si="56"/>
        <v>0</v>
      </c>
      <c r="AS35" s="13">
        <f t="shared" si="56"/>
        <v>0</v>
      </c>
      <c r="AT35" s="13">
        <f t="shared" si="56"/>
        <v>0</v>
      </c>
      <c r="AU35" s="13">
        <f t="shared" si="56"/>
        <v>1799150.1583908182</v>
      </c>
      <c r="AV35" s="13">
        <f t="shared" si="6"/>
        <v>0</v>
      </c>
      <c r="AW35" s="13"/>
      <c r="AX35" s="13"/>
      <c r="AY35" s="13">
        <f t="shared" si="42"/>
        <v>1799150.1583908182</v>
      </c>
      <c r="AZ35" s="13">
        <f t="shared" si="43"/>
        <v>0</v>
      </c>
      <c r="BA35" s="74"/>
      <c r="BB35" s="25">
        <f t="shared" si="54"/>
        <v>7196600.6335632727</v>
      </c>
      <c r="BC35" s="13">
        <f t="shared" si="44"/>
        <v>0</v>
      </c>
      <c r="BD35" s="13" t="b">
        <f>AND(AF35,NOT(ISNUMBER(MATCH(G35,Table1[Excluded Spacecraft ID],0))))</f>
        <v>1</v>
      </c>
      <c r="BE35" s="13">
        <f>BD35*AK35*_xlfn.XLOOKUP(I35,Table2[Date From],Table2[Cession],"Error",-1)*_xlfn.XLOOKUP(I35,'S3123 Consortium Share'!$A$3:$A$5,'S3123 Consortium Share'!$F$3:$F$5,,-1)</f>
        <v>749645.89932950761</v>
      </c>
      <c r="BF35" s="13">
        <f t="shared" si="45"/>
        <v>7196600.6335632727</v>
      </c>
      <c r="BG35" s="89" cm="1">
        <f t="array" ref="BG35">IF(V35="FIBL",0,INDEX('IGR QS'!$A$1:$D$570,MATCH('Input Data'!V35&amp;'Input Data'!W35&amp;'Input Data'!AM35,'IGR QS'!A:A&amp;'IGR QS'!B:B&amp;'IGR QS'!C:C,0),4))</f>
        <v>0.85</v>
      </c>
      <c r="BH35" s="13">
        <f t="shared" si="53"/>
        <v>6117110.5385287814</v>
      </c>
      <c r="BI35" s="13">
        <f t="shared" si="46"/>
        <v>1079490.0950344913</v>
      </c>
      <c r="BJ35" s="13">
        <f t="shared" si="7"/>
        <v>0</v>
      </c>
      <c r="BK35" s="13">
        <f t="shared" si="47"/>
        <v>6117110.5385287814</v>
      </c>
      <c r="BL35" s="13">
        <f t="shared" si="48"/>
        <v>1079490.0950344913</v>
      </c>
      <c r="BM35" s="21"/>
      <c r="BN35" s="13">
        <f t="shared" si="8"/>
        <v>66471396.42403952</v>
      </c>
      <c r="BO35" s="13">
        <f t="shared" si="9"/>
        <v>49043091.716622137</v>
      </c>
      <c r="BP35" s="13">
        <f t="shared" si="10"/>
        <v>17428304.707417384</v>
      </c>
      <c r="BQ35" s="13">
        <f t="shared" si="11"/>
        <v>147803485.05865392</v>
      </c>
      <c r="BR35" s="13">
        <f t="shared" si="12"/>
        <v>53568720.370673373</v>
      </c>
      <c r="BT35" s="13">
        <f t="shared" si="13"/>
        <v>7196600.6335632727</v>
      </c>
      <c r="BU35" s="13">
        <f t="shared" si="14"/>
        <v>1079490.0950344913</v>
      </c>
      <c r="BV35" s="13">
        <f t="shared" si="15"/>
        <v>6117110.5385287814</v>
      </c>
      <c r="BW35" s="13">
        <f t="shared" si="16"/>
        <v>1799150.1583908182</v>
      </c>
      <c r="BX35" s="13"/>
      <c r="BY35" s="25">
        <f t="shared" si="17"/>
        <v>449787.53959770454</v>
      </c>
      <c r="BZ35" s="25">
        <f t="shared" si="18"/>
        <v>0</v>
      </c>
      <c r="CA35" s="25">
        <f t="shared" si="19"/>
        <v>449787.53959770454</v>
      </c>
      <c r="CB35" s="25">
        <f t="shared" si="20"/>
        <v>0</v>
      </c>
      <c r="CC35" s="25">
        <f t="shared" si="21"/>
        <v>382319.40865804884</v>
      </c>
      <c r="CD35" s="384">
        <f t="shared" si="22"/>
        <v>0</v>
      </c>
      <c r="CH35" s="7" t="str">
        <v>Thales Alenia Space France (Toulouse)</v>
      </c>
      <c r="CI35" s="25">
        <f t="shared" si="23"/>
        <v>6529238.3396333996</v>
      </c>
      <c r="CJ35" s="25">
        <f t="shared" si="24"/>
        <v>6529238.3396333996</v>
      </c>
      <c r="CK35" s="25">
        <f t="shared" si="24"/>
        <v>0</v>
      </c>
      <c r="CL35" s="25">
        <f t="shared" si="49"/>
        <v>0</v>
      </c>
      <c r="CM35" s="25">
        <f t="shared" si="50"/>
        <v>2611695.3358533597</v>
      </c>
      <c r="CN35" s="25">
        <f t="shared" si="51"/>
        <v>0</v>
      </c>
      <c r="CO35" s="90"/>
      <c r="CP35" s="75"/>
      <c r="CR35" s="25">
        <f t="shared" si="25"/>
        <v>899575.07919540908</v>
      </c>
      <c r="CS35" s="25">
        <f t="shared" si="26"/>
        <v>0</v>
      </c>
      <c r="CT35" s="25">
        <f t="shared" si="26"/>
        <v>899575.07919540908</v>
      </c>
      <c r="CU35" s="25">
        <f t="shared" si="27"/>
        <v>0</v>
      </c>
      <c r="CV35" s="25">
        <f t="shared" si="28"/>
        <v>764638.81731609767</v>
      </c>
      <c r="CW35" s="25">
        <f t="shared" si="29"/>
        <v>0</v>
      </c>
      <c r="CY35" s="25">
        <f t="shared" si="30"/>
        <v>449787.53959770454</v>
      </c>
      <c r="CZ35" s="25">
        <f t="shared" si="31"/>
        <v>0</v>
      </c>
      <c r="DA35" s="25">
        <f t="shared" si="55"/>
        <v>449787.53959770454</v>
      </c>
      <c r="DB35" s="25">
        <f t="shared" si="33"/>
        <v>0</v>
      </c>
      <c r="DC35" s="25">
        <f t="shared" si="34"/>
        <v>382319.40865804884</v>
      </c>
      <c r="DD35" s="25">
        <f t="shared" si="35"/>
        <v>0</v>
      </c>
    </row>
    <row r="36" spans="1:108" x14ac:dyDescent="0.35">
      <c r="A36" s="282" t="str">
        <f t="shared" si="36"/>
        <v>344558_11</v>
      </c>
      <c r="B36" s="303">
        <v>344558</v>
      </c>
      <c r="C36" s="303">
        <v>11</v>
      </c>
      <c r="D36" s="319" t="str">
        <f>IFERROR(MATCH(C36,'[4]Custom Earning Pattern Not Popu'!$B$5:$B$428,0),"NA")</f>
        <v>NA</v>
      </c>
      <c r="E36" s="303" t="s">
        <v>17</v>
      </c>
      <c r="F36" s="303">
        <v>12</v>
      </c>
      <c r="G36" s="303">
        <v>9242</v>
      </c>
      <c r="H36" s="306">
        <v>42398</v>
      </c>
      <c r="I36" s="306">
        <v>45839</v>
      </c>
      <c r="J36" s="306">
        <v>46203</v>
      </c>
      <c r="K36" s="303" t="s">
        <v>113</v>
      </c>
      <c r="L36" s="306">
        <v>45839</v>
      </c>
      <c r="M36" s="306">
        <v>46203</v>
      </c>
      <c r="N36" s="303" t="s">
        <v>231</v>
      </c>
      <c r="O36" s="303" t="s">
        <v>231</v>
      </c>
      <c r="P36" s="148">
        <f t="shared" si="37"/>
        <v>0.2</v>
      </c>
      <c r="Q36" s="282">
        <v>1</v>
      </c>
      <c r="R36" s="282">
        <v>0</v>
      </c>
      <c r="S36" s="282" t="str">
        <f t="shared" si="52"/>
        <v>Orbit</v>
      </c>
      <c r="T36" s="282" t="s">
        <v>13</v>
      </c>
      <c r="U36" s="303" t="s">
        <v>248</v>
      </c>
      <c r="V36" s="303" t="s">
        <v>31</v>
      </c>
      <c r="W36" s="303" t="s">
        <v>78</v>
      </c>
      <c r="X36" s="303" t="s">
        <v>265</v>
      </c>
      <c r="Y36" s="303" t="s">
        <v>315</v>
      </c>
      <c r="Z36" s="303" t="s">
        <v>13</v>
      </c>
      <c r="AA36" s="308">
        <v>6455847.12958916</v>
      </c>
      <c r="AC36" s="289">
        <f t="shared" si="38"/>
        <v>0</v>
      </c>
      <c r="AD36" s="88" cm="1">
        <f t="array" ref="AD36">IF(AC36=0,0,INDEX(Summary!$S$4:$S$7,MATCH(AC36,Summary!$R$4:$R$7)+1))</f>
        <v>0</v>
      </c>
      <c r="AE36" s="88">
        <f>IFERROR(INDEX(Summary!$Y$4:$Y$6,MATCH('Input Data'!K36,Summary!$U$4:$U$6,0)),0)</f>
        <v>0.05</v>
      </c>
      <c r="AF36" s="88" t="b">
        <f t="shared" si="39"/>
        <v>1</v>
      </c>
      <c r="AG36" s="89">
        <f>IF(AF36,INDEX('IG Equity Share'!$B:$B,MATCH(YEAR(I36),'IG Equity Share'!$A:$A,0)),0)</f>
        <v>7.4999999999999997E-2</v>
      </c>
      <c r="AH36" s="383">
        <f>AJ36*AG36*_xlfn.XLOOKUP(I36,'S3123 Consortium Share'!$A$3:$A$5,'S3123 Consortium Share'!$F$3:$F$5,,-1)</f>
        <v>201745.22279966125</v>
      </c>
      <c r="AI36" s="14">
        <v>1</v>
      </c>
      <c r="AJ36" s="13">
        <f t="shared" si="40"/>
        <v>6455847.12958916</v>
      </c>
      <c r="AK36" s="13">
        <f t="shared" si="41"/>
        <v>6455847.12958916</v>
      </c>
      <c r="AL36" s="13" t="str">
        <f t="shared" si="3"/>
        <v>FIID</v>
      </c>
      <c r="AM36" s="52">
        <f t="shared" si="4"/>
        <v>2025</v>
      </c>
      <c r="AN36" s="4"/>
      <c r="AO36" s="13">
        <f t="shared" si="56"/>
        <v>0</v>
      </c>
      <c r="AP36" s="13">
        <f t="shared" si="56"/>
        <v>0</v>
      </c>
      <c r="AQ36" s="13">
        <f t="shared" si="56"/>
        <v>0</v>
      </c>
      <c r="AR36" s="13">
        <f t="shared" si="56"/>
        <v>0</v>
      </c>
      <c r="AS36" s="13">
        <f t="shared" si="56"/>
        <v>0</v>
      </c>
      <c r="AT36" s="13">
        <f t="shared" si="56"/>
        <v>0</v>
      </c>
      <c r="AU36" s="13">
        <f t="shared" si="56"/>
        <v>1291169.4259178322</v>
      </c>
      <c r="AV36" s="13">
        <f t="shared" si="6"/>
        <v>0</v>
      </c>
      <c r="AW36" s="13"/>
      <c r="AX36" s="13"/>
      <c r="AY36" s="13">
        <f t="shared" si="42"/>
        <v>1291169.4259178322</v>
      </c>
      <c r="AZ36" s="13">
        <f t="shared" si="43"/>
        <v>0</v>
      </c>
      <c r="BA36" s="74"/>
      <c r="BB36" s="25">
        <f t="shared" si="54"/>
        <v>5164677.7036713278</v>
      </c>
      <c r="BC36" s="13">
        <f t="shared" si="44"/>
        <v>0</v>
      </c>
      <c r="BD36" s="13" t="b">
        <f>AND(AF36,NOT(ISNUMBER(MATCH(G36,Table1[Excluded Spacecraft ID],0))))</f>
        <v>1</v>
      </c>
      <c r="BE36" s="13">
        <f>BD36*AK36*_xlfn.XLOOKUP(I36,Table2[Date From],Table2[Cession],"Error",-1)*_xlfn.XLOOKUP(I36,'S3123 Consortium Share'!$A$3:$A$5,'S3123 Consortium Share'!$F$3:$F$5,,-1)</f>
        <v>537987.26079909678</v>
      </c>
      <c r="BF36" s="13">
        <f t="shared" si="45"/>
        <v>5164677.7036713278</v>
      </c>
      <c r="BG36" s="89" cm="1">
        <f t="array" ref="BG36">IF(V36="FIBL",0,INDEX('IGR QS'!$A$1:$D$570,MATCH('Input Data'!V36&amp;'Input Data'!W36&amp;'Input Data'!AM36,'IGR QS'!A:A&amp;'IGR QS'!B:B&amp;'IGR QS'!C:C,0),4))</f>
        <v>0.85</v>
      </c>
      <c r="BH36" s="13">
        <f t="shared" si="53"/>
        <v>4389976.0481206281</v>
      </c>
      <c r="BI36" s="13">
        <f t="shared" si="46"/>
        <v>774701.65555069968</v>
      </c>
      <c r="BJ36" s="13">
        <f t="shared" si="7"/>
        <v>0</v>
      </c>
      <c r="BK36" s="13">
        <f t="shared" si="47"/>
        <v>4389976.0481206281</v>
      </c>
      <c r="BL36" s="13">
        <f t="shared" si="48"/>
        <v>774701.65555069968</v>
      </c>
      <c r="BM36" s="21"/>
      <c r="BN36" s="13">
        <f t="shared" si="8"/>
        <v>17510967.098857567</v>
      </c>
      <c r="BO36" s="13">
        <f t="shared" si="9"/>
        <v>14332947.228239156</v>
      </c>
      <c r="BP36" s="13">
        <f t="shared" si="10"/>
        <v>3178019.8706184095</v>
      </c>
      <c r="BQ36" s="13">
        <f t="shared" si="11"/>
        <v>32341726.495076805</v>
      </c>
      <c r="BR36" s="13">
        <f t="shared" si="12"/>
        <v>12463173.398483593</v>
      </c>
      <c r="BT36" s="13">
        <f t="shared" si="13"/>
        <v>5164677.7036713278</v>
      </c>
      <c r="BU36" s="13">
        <f t="shared" si="14"/>
        <v>774701.65555069968</v>
      </c>
      <c r="BV36" s="13">
        <f t="shared" si="15"/>
        <v>4389976.0481206281</v>
      </c>
      <c r="BW36" s="13">
        <f t="shared" si="16"/>
        <v>1291169.4259178322</v>
      </c>
      <c r="BX36" s="13"/>
      <c r="BY36" s="25">
        <f t="shared" si="17"/>
        <v>322792.35647945805</v>
      </c>
      <c r="BZ36" s="25">
        <f t="shared" si="18"/>
        <v>0</v>
      </c>
      <c r="CA36" s="25">
        <f t="shared" si="19"/>
        <v>322792.35647945805</v>
      </c>
      <c r="CB36" s="25">
        <f t="shared" si="20"/>
        <v>0</v>
      </c>
      <c r="CC36" s="25">
        <f t="shared" si="21"/>
        <v>274373.50300753926</v>
      </c>
      <c r="CD36" s="384">
        <f t="shared" si="22"/>
        <v>0</v>
      </c>
      <c r="CH36" s="7" t="str">
        <v>NGIS (Northrop Grumman Innovation Systems)</v>
      </c>
      <c r="CI36" s="25">
        <f t="shared" si="23"/>
        <v>3092820.6134019899</v>
      </c>
      <c r="CJ36" s="25">
        <f t="shared" si="24"/>
        <v>0</v>
      </c>
      <c r="CK36" s="25">
        <f t="shared" si="24"/>
        <v>3092820.6134019899</v>
      </c>
      <c r="CL36" s="25">
        <f t="shared" si="49"/>
        <v>0</v>
      </c>
      <c r="CM36" s="25">
        <f t="shared" si="50"/>
        <v>2103118.0171133531</v>
      </c>
      <c r="CN36" s="25">
        <f t="shared" si="51"/>
        <v>0</v>
      </c>
      <c r="CO36" s="90"/>
      <c r="CP36" s="75"/>
      <c r="CR36" s="25">
        <f t="shared" si="25"/>
        <v>645584.71295891609</v>
      </c>
      <c r="CS36" s="25">
        <f t="shared" si="26"/>
        <v>0</v>
      </c>
      <c r="CT36" s="25">
        <f t="shared" si="26"/>
        <v>645584.71295891609</v>
      </c>
      <c r="CU36" s="25">
        <f t="shared" si="27"/>
        <v>0</v>
      </c>
      <c r="CV36" s="25">
        <f t="shared" si="28"/>
        <v>548747.00601507851</v>
      </c>
      <c r="CW36" s="25">
        <f t="shared" si="29"/>
        <v>0</v>
      </c>
      <c r="CY36" s="25">
        <f t="shared" si="30"/>
        <v>322792.35647945805</v>
      </c>
      <c r="CZ36" s="25">
        <f t="shared" si="31"/>
        <v>0</v>
      </c>
      <c r="DA36" s="25">
        <f t="shared" si="55"/>
        <v>322792.35647945805</v>
      </c>
      <c r="DB36" s="25">
        <f t="shared" si="33"/>
        <v>0</v>
      </c>
      <c r="DC36" s="25">
        <f t="shared" si="34"/>
        <v>274373.50300753926</v>
      </c>
      <c r="DD36" s="25">
        <f t="shared" si="35"/>
        <v>0</v>
      </c>
    </row>
    <row r="37" spans="1:108" x14ac:dyDescent="0.35">
      <c r="A37" s="282" t="str">
        <f t="shared" si="36"/>
        <v>344558_12</v>
      </c>
      <c r="B37" s="303">
        <v>344558</v>
      </c>
      <c r="C37" s="303">
        <v>12</v>
      </c>
      <c r="D37" s="319" t="str">
        <f>IFERROR(MATCH(C37,'[4]Custom Earning Pattern Not Popu'!$B$5:$B$428,0),"NA")</f>
        <v>NA</v>
      </c>
      <c r="E37" s="303" t="s">
        <v>17</v>
      </c>
      <c r="F37" s="303">
        <v>12</v>
      </c>
      <c r="G37" s="303">
        <v>9344</v>
      </c>
      <c r="H37" s="306">
        <v>45073</v>
      </c>
      <c r="I37" s="306">
        <v>45839</v>
      </c>
      <c r="J37" s="306">
        <v>46203</v>
      </c>
      <c r="K37" s="303" t="s">
        <v>113</v>
      </c>
      <c r="L37" s="306">
        <v>45839</v>
      </c>
      <c r="M37" s="306">
        <v>46203</v>
      </c>
      <c r="N37" s="303" t="s">
        <v>233</v>
      </c>
      <c r="O37" s="303" t="s">
        <v>233</v>
      </c>
      <c r="P37" s="148">
        <f t="shared" si="37"/>
        <v>0.2</v>
      </c>
      <c r="Q37" s="282">
        <v>1</v>
      </c>
      <c r="R37" s="282">
        <v>0</v>
      </c>
      <c r="S37" s="282" t="str">
        <f t="shared" si="52"/>
        <v>Orbit</v>
      </c>
      <c r="T37" s="282" t="s">
        <v>13</v>
      </c>
      <c r="U37" s="303" t="s">
        <v>248</v>
      </c>
      <c r="V37" s="303" t="s">
        <v>31</v>
      </c>
      <c r="W37" s="303" t="s">
        <v>78</v>
      </c>
      <c r="X37" s="303" t="s">
        <v>266</v>
      </c>
      <c r="Y37" s="303" t="s">
        <v>318</v>
      </c>
      <c r="Z37" s="303" t="s">
        <v>13</v>
      </c>
      <c r="AA37" s="308">
        <v>4388314.4383435603</v>
      </c>
      <c r="AC37" s="289">
        <f t="shared" si="38"/>
        <v>0</v>
      </c>
      <c r="AD37" s="88" cm="1">
        <f t="array" ref="AD37">IF(AC37=0,0,INDEX(Summary!$S$4:$S$7,MATCH(AC37,Summary!$R$4:$R$7)+1))</f>
        <v>0</v>
      </c>
      <c r="AE37" s="88">
        <f>IFERROR(INDEX(Summary!$Y$4:$Y$6,MATCH('Input Data'!K37,Summary!$U$4:$U$6,0)),0)</f>
        <v>0.05</v>
      </c>
      <c r="AF37" s="88" t="b">
        <f t="shared" si="39"/>
        <v>1</v>
      </c>
      <c r="AG37" s="89">
        <f>IF(AF37,INDEX('IG Equity Share'!$B:$B,MATCH(YEAR(I37),'IG Equity Share'!$A:$A,0)),0)</f>
        <v>7.4999999999999997E-2</v>
      </c>
      <c r="AH37" s="383">
        <f>AJ37*AG37*_xlfn.XLOOKUP(I37,'S3123 Consortium Share'!$A$3:$A$5,'S3123 Consortium Share'!$F$3:$F$5,,-1)</f>
        <v>137134.82619823626</v>
      </c>
      <c r="AI37" s="14">
        <v>1</v>
      </c>
      <c r="AJ37" s="13">
        <f t="shared" si="40"/>
        <v>4388314.4383435603</v>
      </c>
      <c r="AK37" s="13">
        <f t="shared" si="41"/>
        <v>4388314.4383435603</v>
      </c>
      <c r="AL37" s="13" t="str">
        <f t="shared" si="3"/>
        <v>FIID</v>
      </c>
      <c r="AM37" s="52">
        <f t="shared" si="4"/>
        <v>2025</v>
      </c>
      <c r="AN37" s="4">
        <f>INDEX('[2]Input Data'!$AH:$AH,MATCH(A37,'[2]Input Data'!$A:$A,0),1)-AH37</f>
        <v>0</v>
      </c>
      <c r="AO37" s="13">
        <f t="shared" si="56"/>
        <v>0</v>
      </c>
      <c r="AP37" s="13">
        <f t="shared" si="56"/>
        <v>0</v>
      </c>
      <c r="AQ37" s="13">
        <f t="shared" si="56"/>
        <v>0</v>
      </c>
      <c r="AR37" s="13">
        <f t="shared" si="56"/>
        <v>0</v>
      </c>
      <c r="AS37" s="13">
        <f t="shared" si="56"/>
        <v>0</v>
      </c>
      <c r="AT37" s="13">
        <f t="shared" si="56"/>
        <v>0</v>
      </c>
      <c r="AU37" s="13">
        <f t="shared" si="56"/>
        <v>877662.88766871206</v>
      </c>
      <c r="AV37" s="13">
        <f t="shared" si="6"/>
        <v>0</v>
      </c>
      <c r="AW37" s="13"/>
      <c r="AX37" s="13"/>
      <c r="AY37" s="13">
        <f t="shared" si="42"/>
        <v>877662.88766871206</v>
      </c>
      <c r="AZ37" s="13">
        <f t="shared" si="43"/>
        <v>0</v>
      </c>
      <c r="BA37" s="74"/>
      <c r="BB37" s="25">
        <f t="shared" si="54"/>
        <v>3510651.5506748483</v>
      </c>
      <c r="BC37" s="13">
        <f t="shared" si="44"/>
        <v>0</v>
      </c>
      <c r="BD37" s="13" t="b">
        <f>AND(AF37,NOT(ISNUMBER(MATCH(G37,Table1[Excluded Spacecraft ID],0))))</f>
        <v>1</v>
      </c>
      <c r="BE37" s="13">
        <f>BD37*AK37*_xlfn.XLOOKUP(I37,Table2[Date From],Table2[Cession],"Error",-1)*_xlfn.XLOOKUP(I37,'S3123 Consortium Share'!$A$3:$A$5,'S3123 Consortium Share'!$F$3:$F$5,,-1)</f>
        <v>365692.86986196338</v>
      </c>
      <c r="BF37" s="13">
        <f t="shared" si="45"/>
        <v>3510651.5506748483</v>
      </c>
      <c r="BG37" s="89" cm="1">
        <f t="array" ref="BG37">IF(V37="FIBL",0,INDEX('IGR QS'!$A$1:$D$570,MATCH('Input Data'!V37&amp;'Input Data'!W37&amp;'Input Data'!AM37,'IGR QS'!A:A&amp;'IGR QS'!B:B&amp;'IGR QS'!C:C,0),4))</f>
        <v>0.85</v>
      </c>
      <c r="BH37" s="13">
        <f t="shared" si="53"/>
        <v>2984053.818073621</v>
      </c>
      <c r="BI37" s="13">
        <f t="shared" si="46"/>
        <v>526597.73260122724</v>
      </c>
      <c r="BJ37" s="13">
        <f t="shared" si="7"/>
        <v>0</v>
      </c>
      <c r="BK37" s="13">
        <f t="shared" si="47"/>
        <v>2984053.818073621</v>
      </c>
      <c r="BL37" s="13">
        <f t="shared" si="48"/>
        <v>526597.73260122724</v>
      </c>
      <c r="BM37" s="21"/>
      <c r="BN37" s="13">
        <f t="shared" si="8"/>
        <v>45548263.152736805</v>
      </c>
      <c r="BO37" s="13">
        <f t="shared" si="9"/>
        <v>44546986.968158349</v>
      </c>
      <c r="BP37" s="13">
        <f t="shared" si="10"/>
        <v>1001276.1845784616</v>
      </c>
      <c r="BQ37" s="13">
        <f t="shared" si="11"/>
        <v>44620885.187436298</v>
      </c>
      <c r="BR37" s="13">
        <f t="shared" si="12"/>
        <v>22542287.085043281</v>
      </c>
      <c r="BT37" s="13">
        <f t="shared" si="13"/>
        <v>3510651.5506748483</v>
      </c>
      <c r="BU37" s="13">
        <f t="shared" si="14"/>
        <v>526597.73260122724</v>
      </c>
      <c r="BV37" s="13">
        <f t="shared" si="15"/>
        <v>2984053.818073621</v>
      </c>
      <c r="BW37" s="13">
        <f t="shared" si="16"/>
        <v>877662.88766871206</v>
      </c>
      <c r="BX37" s="13"/>
      <c r="BY37" s="25">
        <f t="shared" si="17"/>
        <v>219415.72191717802</v>
      </c>
      <c r="BZ37" s="25">
        <f t="shared" si="18"/>
        <v>0</v>
      </c>
      <c r="CA37" s="25">
        <f t="shared" si="19"/>
        <v>219415.72191717802</v>
      </c>
      <c r="CB37" s="25">
        <f t="shared" si="20"/>
        <v>0</v>
      </c>
      <c r="CC37" s="25">
        <f t="shared" si="21"/>
        <v>186503.36362960131</v>
      </c>
      <c r="CD37" s="384">
        <f t="shared" si="22"/>
        <v>0</v>
      </c>
      <c r="CH37" s="7" t="str">
        <v>NULL</v>
      </c>
      <c r="CI37" s="25">
        <f t="shared" si="23"/>
        <v>0</v>
      </c>
      <c r="CJ37" s="25">
        <f t="shared" si="24"/>
        <v>0</v>
      </c>
      <c r="CK37" s="25">
        <f t="shared" si="24"/>
        <v>0</v>
      </c>
      <c r="CL37" s="25">
        <f t="shared" si="49"/>
        <v>0</v>
      </c>
      <c r="CM37" s="25">
        <f t="shared" si="50"/>
        <v>0</v>
      </c>
      <c r="CN37" s="25">
        <f t="shared" si="51"/>
        <v>0</v>
      </c>
      <c r="CO37" s="90"/>
      <c r="CP37" s="75"/>
      <c r="CR37" s="25">
        <f t="shared" si="25"/>
        <v>438831.44383435603</v>
      </c>
      <c r="CS37" s="25">
        <f t="shared" si="26"/>
        <v>0</v>
      </c>
      <c r="CT37" s="25">
        <f t="shared" si="26"/>
        <v>438831.44383435603</v>
      </c>
      <c r="CU37" s="25">
        <f t="shared" si="27"/>
        <v>0</v>
      </c>
      <c r="CV37" s="25">
        <f t="shared" si="28"/>
        <v>373006.72725920263</v>
      </c>
      <c r="CW37" s="25">
        <f t="shared" si="29"/>
        <v>0</v>
      </c>
      <c r="CY37" s="25">
        <f t="shared" si="30"/>
        <v>219415.72191717802</v>
      </c>
      <c r="CZ37" s="25">
        <f t="shared" si="31"/>
        <v>0</v>
      </c>
      <c r="DA37" s="25">
        <f t="shared" si="55"/>
        <v>219415.72191717802</v>
      </c>
      <c r="DB37" s="25">
        <f t="shared" si="33"/>
        <v>0</v>
      </c>
      <c r="DC37" s="25">
        <f t="shared" si="34"/>
        <v>186503.36362960131</v>
      </c>
      <c r="DD37" s="25">
        <f t="shared" si="35"/>
        <v>0</v>
      </c>
    </row>
    <row r="38" spans="1:108" x14ac:dyDescent="0.35">
      <c r="A38" s="282" t="str">
        <f t="shared" si="36"/>
        <v>344558_13</v>
      </c>
      <c r="B38" s="303">
        <v>344558</v>
      </c>
      <c r="C38" s="303">
        <v>13</v>
      </c>
      <c r="D38" s="319" t="str">
        <f>IFERROR(MATCH(C38,'[4]Custom Earning Pattern Not Popu'!$B$5:$B$428,0),"NA")</f>
        <v>NA</v>
      </c>
      <c r="E38" s="303" t="s">
        <v>17</v>
      </c>
      <c r="F38" s="303">
        <v>12</v>
      </c>
      <c r="G38" s="303">
        <v>9501</v>
      </c>
      <c r="H38" s="306">
        <v>43566</v>
      </c>
      <c r="I38" s="306">
        <v>45839</v>
      </c>
      <c r="J38" s="306">
        <v>46203</v>
      </c>
      <c r="K38" s="303" t="s">
        <v>113</v>
      </c>
      <c r="L38" s="306">
        <v>45839</v>
      </c>
      <c r="M38" s="306">
        <v>46203</v>
      </c>
      <c r="N38" s="303" t="s">
        <v>234</v>
      </c>
      <c r="O38" s="303" t="s">
        <v>234</v>
      </c>
      <c r="P38" s="148">
        <f t="shared" si="37"/>
        <v>0.2</v>
      </c>
      <c r="Q38" s="282">
        <v>1</v>
      </c>
      <c r="R38" s="282">
        <v>0</v>
      </c>
      <c r="S38" s="282" t="str">
        <f t="shared" si="52"/>
        <v>Orbit</v>
      </c>
      <c r="T38" s="282" t="s">
        <v>13</v>
      </c>
      <c r="U38" s="303" t="s">
        <v>248</v>
      </c>
      <c r="V38" s="303" t="s">
        <v>31</v>
      </c>
      <c r="W38" s="303" t="s">
        <v>78</v>
      </c>
      <c r="X38" s="303" t="s">
        <v>267</v>
      </c>
      <c r="Y38" s="303" t="s">
        <v>317</v>
      </c>
      <c r="Z38" s="303" t="s">
        <v>13</v>
      </c>
      <c r="AA38" s="308">
        <v>18484934.5591661</v>
      </c>
      <c r="AC38" s="289">
        <f t="shared" si="38"/>
        <v>0</v>
      </c>
      <c r="AD38" s="88" cm="1">
        <f t="array" ref="AD38">IF(AC38=0,0,INDEX(Summary!$S$4:$S$7,MATCH(AC38,Summary!$R$4:$R$7)+1))</f>
        <v>0</v>
      </c>
      <c r="AE38" s="88">
        <f>IFERROR(INDEX(Summary!$Y$4:$Y$6,MATCH('Input Data'!K38,Summary!$U$4:$U$6,0)),0)</f>
        <v>0.05</v>
      </c>
      <c r="AF38" s="88" t="b">
        <f t="shared" si="39"/>
        <v>1</v>
      </c>
      <c r="AG38" s="89">
        <f>IF(AF38,INDEX('IG Equity Share'!$B:$B,MATCH(YEAR(I38),'IG Equity Share'!$A:$A,0)),0)</f>
        <v>7.4999999999999997E-2</v>
      </c>
      <c r="AH38" s="383">
        <f>AJ38*AG38*_xlfn.XLOOKUP(I38,'S3123 Consortium Share'!$A$3:$A$5,'S3123 Consortium Share'!$F$3:$F$5,,-1)</f>
        <v>577654.20497394062</v>
      </c>
      <c r="AI38" s="14">
        <v>1</v>
      </c>
      <c r="AJ38" s="13">
        <f t="shared" si="40"/>
        <v>18484934.5591661</v>
      </c>
      <c r="AK38" s="13">
        <f t="shared" si="41"/>
        <v>18484934.5591661</v>
      </c>
      <c r="AL38" s="13" t="str">
        <f t="shared" si="3"/>
        <v>FIID</v>
      </c>
      <c r="AM38" s="52">
        <f t="shared" si="4"/>
        <v>2025</v>
      </c>
      <c r="AN38" s="4"/>
      <c r="AO38" s="13">
        <f t="shared" si="56"/>
        <v>0</v>
      </c>
      <c r="AP38" s="13">
        <f t="shared" si="56"/>
        <v>0</v>
      </c>
      <c r="AQ38" s="13">
        <f t="shared" si="56"/>
        <v>0</v>
      </c>
      <c r="AR38" s="13">
        <f t="shared" si="56"/>
        <v>0</v>
      </c>
      <c r="AS38" s="13">
        <f t="shared" si="56"/>
        <v>0</v>
      </c>
      <c r="AT38" s="13">
        <f t="shared" si="56"/>
        <v>0</v>
      </c>
      <c r="AU38" s="13">
        <f t="shared" si="56"/>
        <v>3696986.9118332202</v>
      </c>
      <c r="AV38" s="13">
        <f t="shared" si="6"/>
        <v>0</v>
      </c>
      <c r="AW38" s="13"/>
      <c r="AX38" s="13"/>
      <c r="AY38" s="13">
        <f t="shared" si="42"/>
        <v>3696986.9118332202</v>
      </c>
      <c r="AZ38" s="13">
        <f t="shared" si="43"/>
        <v>0</v>
      </c>
      <c r="BA38" s="74"/>
      <c r="BB38" s="25">
        <f t="shared" si="54"/>
        <v>14787947.647332881</v>
      </c>
      <c r="BC38" s="13">
        <f t="shared" si="44"/>
        <v>0</v>
      </c>
      <c r="BD38" s="13" t="b">
        <f>AND(AF38,NOT(ISNUMBER(MATCH(G38,Table1[Excluded Spacecraft ID],0))))</f>
        <v>1</v>
      </c>
      <c r="BE38" s="13">
        <f>BD38*AK38*_xlfn.XLOOKUP(I38,Table2[Date From],Table2[Cession],"Error",-1)*_xlfn.XLOOKUP(I38,'S3123 Consortium Share'!$A$3:$A$5,'S3123 Consortium Share'!$F$3:$F$5,,-1)</f>
        <v>1540411.2132638418</v>
      </c>
      <c r="BF38" s="13">
        <f t="shared" si="45"/>
        <v>14787947.647332881</v>
      </c>
      <c r="BG38" s="89" cm="1">
        <f t="array" ref="BG38">IF(V38="FIBL",0,INDEX('IGR QS'!$A$1:$D$570,MATCH('Input Data'!V38&amp;'Input Data'!W38&amp;'Input Data'!AM38,'IGR QS'!A:A&amp;'IGR QS'!B:B&amp;'IGR QS'!C:C,0),4))</f>
        <v>0.85</v>
      </c>
      <c r="BH38" s="13">
        <f t="shared" si="53"/>
        <v>12569755.500232948</v>
      </c>
      <c r="BI38" s="13">
        <f t="shared" si="46"/>
        <v>2218192.1470999327</v>
      </c>
      <c r="BJ38" s="13">
        <f t="shared" si="7"/>
        <v>0</v>
      </c>
      <c r="BK38" s="13">
        <f t="shared" si="47"/>
        <v>12569755.500232948</v>
      </c>
      <c r="BL38" s="13">
        <f t="shared" si="48"/>
        <v>2218192.1470999327</v>
      </c>
      <c r="BM38" s="21"/>
      <c r="BN38" s="13">
        <f t="shared" si="8"/>
        <v>33962303.368542388</v>
      </c>
      <c r="BO38" s="13">
        <f t="shared" si="9"/>
        <v>20011429.248113245</v>
      </c>
      <c r="BP38" s="13">
        <f t="shared" si="10"/>
        <v>13950874.12042914</v>
      </c>
      <c r="BQ38" s="13">
        <f t="shared" si="11"/>
        <v>99066382.597211704</v>
      </c>
      <c r="BR38" s="13">
        <f t="shared" si="12"/>
        <v>33257171.491438523</v>
      </c>
      <c r="BT38" s="13">
        <f t="shared" si="13"/>
        <v>14787947.647332881</v>
      </c>
      <c r="BU38" s="13">
        <f t="shared" si="14"/>
        <v>2218192.1470999327</v>
      </c>
      <c r="BV38" s="13">
        <f t="shared" si="15"/>
        <v>12569755.500232948</v>
      </c>
      <c r="BW38" s="13">
        <f t="shared" si="16"/>
        <v>3696986.9118332202</v>
      </c>
      <c r="BX38" s="13"/>
      <c r="BY38" s="25">
        <f t="shared" si="17"/>
        <v>924246.72795830504</v>
      </c>
      <c r="BZ38" s="25">
        <f t="shared" si="18"/>
        <v>0</v>
      </c>
      <c r="CA38" s="25">
        <f t="shared" si="19"/>
        <v>924246.72795830504</v>
      </c>
      <c r="CB38" s="25">
        <f t="shared" si="20"/>
        <v>0</v>
      </c>
      <c r="CC38" s="25">
        <f t="shared" si="21"/>
        <v>785609.71876455925</v>
      </c>
      <c r="CD38" s="384">
        <f t="shared" si="22"/>
        <v>0</v>
      </c>
      <c r="CH38" s="7" t="str">
        <v>OHB-SYSTEM AG (HQ)</v>
      </c>
      <c r="CI38" s="25">
        <f t="shared" si="23"/>
        <v>5257732.5685566999</v>
      </c>
      <c r="CJ38" s="25">
        <f t="shared" si="24"/>
        <v>5257732.5685566999</v>
      </c>
      <c r="CK38" s="25">
        <f t="shared" si="24"/>
        <v>0</v>
      </c>
      <c r="CL38" s="25">
        <f t="shared" si="49"/>
        <v>0</v>
      </c>
      <c r="CM38" s="25">
        <f t="shared" si="50"/>
        <v>2103093.0274226801</v>
      </c>
      <c r="CN38" s="25">
        <f t="shared" si="51"/>
        <v>0</v>
      </c>
      <c r="CO38" s="90"/>
      <c r="CP38" s="75"/>
      <c r="CR38" s="25">
        <f t="shared" si="25"/>
        <v>1848493.4559166101</v>
      </c>
      <c r="CS38" s="25">
        <f t="shared" si="26"/>
        <v>0</v>
      </c>
      <c r="CT38" s="25">
        <f t="shared" si="26"/>
        <v>1848493.4559166101</v>
      </c>
      <c r="CU38" s="25">
        <f t="shared" si="27"/>
        <v>0</v>
      </c>
      <c r="CV38" s="25">
        <f t="shared" si="28"/>
        <v>1571219.4375291185</v>
      </c>
      <c r="CW38" s="25">
        <f t="shared" si="29"/>
        <v>0</v>
      </c>
      <c r="CY38" s="25">
        <f t="shared" si="30"/>
        <v>924246.72795830504</v>
      </c>
      <c r="CZ38" s="25">
        <f t="shared" si="31"/>
        <v>0</v>
      </c>
      <c r="DA38" s="25">
        <f t="shared" si="55"/>
        <v>924246.72795830504</v>
      </c>
      <c r="DB38" s="25">
        <f t="shared" si="33"/>
        <v>0</v>
      </c>
      <c r="DC38" s="25">
        <f t="shared" si="34"/>
        <v>785609.71876455925</v>
      </c>
      <c r="DD38" s="25">
        <f t="shared" si="35"/>
        <v>0</v>
      </c>
    </row>
    <row r="39" spans="1:108" x14ac:dyDescent="0.35">
      <c r="A39" s="282" t="str">
        <f t="shared" si="36"/>
        <v>344558_14</v>
      </c>
      <c r="B39" s="303">
        <v>344558</v>
      </c>
      <c r="C39" s="303">
        <v>14</v>
      </c>
      <c r="D39" s="319" t="str">
        <f>IFERROR(MATCH(C39,'[4]Custom Earning Pattern Not Popu'!$B$5:$B$428,0),"NA")</f>
        <v>NA</v>
      </c>
      <c r="E39" s="303" t="s">
        <v>17</v>
      </c>
      <c r="F39" s="303">
        <v>12</v>
      </c>
      <c r="G39" s="303">
        <v>9534</v>
      </c>
      <c r="H39" s="306">
        <v>43566</v>
      </c>
      <c r="I39" s="306">
        <v>45839</v>
      </c>
      <c r="J39" s="306">
        <v>46203</v>
      </c>
      <c r="K39" s="303" t="s">
        <v>113</v>
      </c>
      <c r="L39" s="306">
        <v>45839</v>
      </c>
      <c r="M39" s="306">
        <v>46203</v>
      </c>
      <c r="N39" s="303" t="s">
        <v>230</v>
      </c>
      <c r="O39" s="303" t="s">
        <v>230</v>
      </c>
      <c r="P39" s="148">
        <f t="shared" si="37"/>
        <v>0.2</v>
      </c>
      <c r="Q39" s="282">
        <v>1</v>
      </c>
      <c r="R39" s="282">
        <v>0</v>
      </c>
      <c r="S39" s="282" t="str">
        <f t="shared" si="52"/>
        <v>Orbit</v>
      </c>
      <c r="T39" s="282" t="s">
        <v>13</v>
      </c>
      <c r="U39" s="303" t="s">
        <v>248</v>
      </c>
      <c r="V39" s="303" t="s">
        <v>31</v>
      </c>
      <c r="W39" s="303" t="s">
        <v>78</v>
      </c>
      <c r="X39" s="303" t="s">
        <v>268</v>
      </c>
      <c r="Y39" s="303" t="s">
        <v>315</v>
      </c>
      <c r="Z39" s="303" t="s">
        <v>13</v>
      </c>
      <c r="AA39" s="308">
        <v>11617716.6076576</v>
      </c>
      <c r="AC39" s="289">
        <f t="shared" si="38"/>
        <v>0</v>
      </c>
      <c r="AD39" s="88" cm="1">
        <f t="array" ref="AD39">IF(AC39=0,0,INDEX(Summary!$S$4:$S$7,MATCH(AC39,Summary!$R$4:$R$7)+1))</f>
        <v>0</v>
      </c>
      <c r="AE39" s="88">
        <f>IFERROR(INDEX(Summary!$Y$4:$Y$6,MATCH('Input Data'!K39,Summary!$U$4:$U$6,0)),0)</f>
        <v>0.05</v>
      </c>
      <c r="AF39" s="88" t="b">
        <f t="shared" si="39"/>
        <v>1</v>
      </c>
      <c r="AG39" s="89">
        <f>IF(AF39,INDEX('IG Equity Share'!$B:$B,MATCH(YEAR(I39),'IG Equity Share'!$A:$A,0)),0)</f>
        <v>7.4999999999999997E-2</v>
      </c>
      <c r="AH39" s="383">
        <f>AJ39*AG39*_xlfn.XLOOKUP(I39,'S3123 Consortium Share'!$A$3:$A$5,'S3123 Consortium Share'!$F$3:$F$5,,-1)</f>
        <v>363053.64398930001</v>
      </c>
      <c r="AI39" s="14">
        <v>1</v>
      </c>
      <c r="AJ39" s="13">
        <f t="shared" si="40"/>
        <v>11617716.6076576</v>
      </c>
      <c r="AK39" s="13">
        <f t="shared" si="41"/>
        <v>11617716.6076576</v>
      </c>
      <c r="AL39" s="13" t="str">
        <f t="shared" si="3"/>
        <v>FIID</v>
      </c>
      <c r="AM39" s="52">
        <f t="shared" si="4"/>
        <v>2025</v>
      </c>
      <c r="AN39" s="4"/>
      <c r="AO39" s="13">
        <f t="shared" si="56"/>
        <v>0</v>
      </c>
      <c r="AP39" s="13">
        <f t="shared" si="56"/>
        <v>0</v>
      </c>
      <c r="AQ39" s="13">
        <f t="shared" si="56"/>
        <v>0</v>
      </c>
      <c r="AR39" s="13">
        <f t="shared" si="56"/>
        <v>0</v>
      </c>
      <c r="AS39" s="13">
        <f t="shared" si="56"/>
        <v>0</v>
      </c>
      <c r="AT39" s="13">
        <f t="shared" si="56"/>
        <v>0</v>
      </c>
      <c r="AU39" s="13">
        <f t="shared" si="56"/>
        <v>2323543.3215315202</v>
      </c>
      <c r="AV39" s="13">
        <f t="shared" si="6"/>
        <v>0</v>
      </c>
      <c r="AW39" s="13"/>
      <c r="AX39" s="13"/>
      <c r="AY39" s="13">
        <f t="shared" si="42"/>
        <v>2323543.3215315202</v>
      </c>
      <c r="AZ39" s="13">
        <f t="shared" si="43"/>
        <v>0</v>
      </c>
      <c r="BA39" s="74"/>
      <c r="BB39" s="25">
        <f t="shared" si="54"/>
        <v>9294173.2861260809</v>
      </c>
      <c r="BC39" s="13">
        <f t="shared" si="44"/>
        <v>0</v>
      </c>
      <c r="BD39" s="13" t="b">
        <f>AND(AF39,NOT(ISNUMBER(MATCH(G39,Table1[Excluded Spacecraft ID],0))))</f>
        <v>1</v>
      </c>
      <c r="BE39" s="13">
        <f>BD39*AK39*_xlfn.XLOOKUP(I39,Table2[Date From],Table2[Cession],"Error",-1)*_xlfn.XLOOKUP(I39,'S3123 Consortium Share'!$A$3:$A$5,'S3123 Consortium Share'!$F$3:$F$5,,-1)</f>
        <v>968143.05063813343</v>
      </c>
      <c r="BF39" s="13">
        <f t="shared" si="45"/>
        <v>9294173.2861260809</v>
      </c>
      <c r="BG39" s="89" cm="1">
        <f t="array" ref="BG39">IF(V39="FIBL",0,INDEX('IGR QS'!$A$1:$D$570,MATCH('Input Data'!V39&amp;'Input Data'!W39&amp;'Input Data'!AM39,'IGR QS'!A:A&amp;'IGR QS'!B:B&amp;'IGR QS'!C:C,0),4))</f>
        <v>0.85</v>
      </c>
      <c r="BH39" s="13">
        <f t="shared" si="53"/>
        <v>7900047.2932071686</v>
      </c>
      <c r="BI39" s="13">
        <f t="shared" si="46"/>
        <v>1394125.9929189123</v>
      </c>
      <c r="BJ39" s="13">
        <f t="shared" si="7"/>
        <v>0</v>
      </c>
      <c r="BK39" s="13">
        <f t="shared" si="47"/>
        <v>7900047.2932071686</v>
      </c>
      <c r="BL39" s="13">
        <f t="shared" si="48"/>
        <v>1394125.9929189123</v>
      </c>
      <c r="BM39" s="21"/>
      <c r="BN39" s="13">
        <f t="shared" si="8"/>
        <v>66471396.42403952</v>
      </c>
      <c r="BO39" s="13">
        <f t="shared" si="9"/>
        <v>49043091.716622137</v>
      </c>
      <c r="BP39" s="13">
        <f t="shared" si="10"/>
        <v>17428304.707417384</v>
      </c>
      <c r="BQ39" s="13">
        <f t="shared" si="11"/>
        <v>147803485.05865392</v>
      </c>
      <c r="BR39" s="13">
        <f t="shared" si="12"/>
        <v>53568720.370673373</v>
      </c>
      <c r="BT39" s="13">
        <f t="shared" si="13"/>
        <v>9294173.2861260809</v>
      </c>
      <c r="BU39" s="13">
        <f t="shared" si="14"/>
        <v>1394125.9929189123</v>
      </c>
      <c r="BV39" s="13">
        <f t="shared" si="15"/>
        <v>7900047.2932071686</v>
      </c>
      <c r="BW39" s="13">
        <f t="shared" si="16"/>
        <v>2323543.3215315202</v>
      </c>
      <c r="BX39" s="13"/>
      <c r="BY39" s="25">
        <f t="shared" si="17"/>
        <v>580885.83038288006</v>
      </c>
      <c r="BZ39" s="25">
        <f t="shared" si="18"/>
        <v>0</v>
      </c>
      <c r="CA39" s="25">
        <f t="shared" si="19"/>
        <v>580885.83038288006</v>
      </c>
      <c r="CB39" s="25">
        <f t="shared" si="20"/>
        <v>0</v>
      </c>
      <c r="CC39" s="25">
        <f t="shared" si="21"/>
        <v>493752.95582544804</v>
      </c>
      <c r="CD39" s="384">
        <f t="shared" si="22"/>
        <v>0</v>
      </c>
      <c r="CH39" s="7" t="str">
        <v>BALL AEROSPACE AND TECHNOLOGIES CORP (HQ)</v>
      </c>
      <c r="CI39" s="25">
        <f t="shared" si="23"/>
        <v>0</v>
      </c>
      <c r="CJ39" s="25">
        <f t="shared" si="24"/>
        <v>0</v>
      </c>
      <c r="CK39" s="25">
        <f t="shared" si="24"/>
        <v>0</v>
      </c>
      <c r="CL39" s="25">
        <f t="shared" si="49"/>
        <v>0</v>
      </c>
      <c r="CM39" s="25">
        <f t="shared" si="50"/>
        <v>0</v>
      </c>
      <c r="CN39" s="25">
        <f t="shared" si="51"/>
        <v>0</v>
      </c>
      <c r="CO39" s="90"/>
      <c r="CP39" s="75"/>
      <c r="CR39" s="25">
        <f t="shared" si="25"/>
        <v>1161771.6607657601</v>
      </c>
      <c r="CS39" s="25">
        <f t="shared" si="26"/>
        <v>0</v>
      </c>
      <c r="CT39" s="25">
        <f t="shared" si="26"/>
        <v>1161771.6607657601</v>
      </c>
      <c r="CU39" s="25">
        <f t="shared" si="27"/>
        <v>0</v>
      </c>
      <c r="CV39" s="25">
        <f t="shared" si="28"/>
        <v>987505.91165089607</v>
      </c>
      <c r="CW39" s="25">
        <f t="shared" si="29"/>
        <v>0</v>
      </c>
      <c r="CY39" s="25">
        <f t="shared" si="30"/>
        <v>580885.83038288006</v>
      </c>
      <c r="CZ39" s="25">
        <f t="shared" si="31"/>
        <v>0</v>
      </c>
      <c r="DA39" s="25">
        <f t="shared" si="55"/>
        <v>580885.83038288006</v>
      </c>
      <c r="DB39" s="25">
        <f t="shared" si="33"/>
        <v>0</v>
      </c>
      <c r="DC39" s="25">
        <f t="shared" si="34"/>
        <v>493752.95582544804</v>
      </c>
      <c r="DD39" s="25">
        <f t="shared" si="35"/>
        <v>0</v>
      </c>
    </row>
    <row r="40" spans="1:108" x14ac:dyDescent="0.35">
      <c r="A40" s="282" t="str">
        <f t="shared" si="36"/>
        <v>344558_15</v>
      </c>
      <c r="B40" s="303">
        <v>344558</v>
      </c>
      <c r="C40" s="303">
        <v>15</v>
      </c>
      <c r="D40" s="319" t="str">
        <f>IFERROR(MATCH(C40,'[4]Custom Earning Pattern Not Popu'!$B$5:$B$428,0),"NA")</f>
        <v>NA</v>
      </c>
      <c r="E40" s="303" t="s">
        <v>17</v>
      </c>
      <c r="F40" s="303">
        <v>12</v>
      </c>
      <c r="G40" s="303">
        <v>9710</v>
      </c>
      <c r="H40" s="306">
        <v>42318</v>
      </c>
      <c r="I40" s="306">
        <v>45839</v>
      </c>
      <c r="J40" s="306">
        <v>46203</v>
      </c>
      <c r="K40" s="303" t="s">
        <v>113</v>
      </c>
      <c r="L40" s="306">
        <v>45839</v>
      </c>
      <c r="M40" s="306">
        <v>46203</v>
      </c>
      <c r="N40" s="303" t="s">
        <v>18</v>
      </c>
      <c r="O40" s="303" t="s">
        <v>18</v>
      </c>
      <c r="P40" s="148">
        <f t="shared" si="37"/>
        <v>0.2</v>
      </c>
      <c r="Q40" s="282">
        <v>1</v>
      </c>
      <c r="R40" s="282">
        <v>0</v>
      </c>
      <c r="S40" s="282" t="str">
        <f t="shared" si="52"/>
        <v>Orbit</v>
      </c>
      <c r="T40" s="282" t="s">
        <v>13</v>
      </c>
      <c r="U40" s="303" t="s">
        <v>248</v>
      </c>
      <c r="V40" s="303" t="s">
        <v>31</v>
      </c>
      <c r="W40" s="303" t="s">
        <v>78</v>
      </c>
      <c r="X40" s="303" t="s">
        <v>269</v>
      </c>
      <c r="Y40" s="303" t="s">
        <v>319</v>
      </c>
      <c r="Z40" s="303" t="s">
        <v>13</v>
      </c>
      <c r="AA40" s="308">
        <v>5533750.3557227198</v>
      </c>
      <c r="AC40" s="289">
        <f t="shared" si="38"/>
        <v>0</v>
      </c>
      <c r="AD40" s="88" cm="1">
        <f t="array" ref="AD40">IF(AC40=0,0,INDEX(Summary!$S$4:$S$7,MATCH(AC40,Summary!$R$4:$R$7)+1))</f>
        <v>0</v>
      </c>
      <c r="AE40" s="88">
        <f>IFERROR(INDEX(Summary!$Y$4:$Y$6,MATCH('Input Data'!K40,Summary!$U$4:$U$6,0)),0)</f>
        <v>0.05</v>
      </c>
      <c r="AF40" s="88" t="b">
        <f t="shared" si="39"/>
        <v>1</v>
      </c>
      <c r="AG40" s="89">
        <f>IF(AF40,INDEX('IG Equity Share'!$B:$B,MATCH(YEAR(I40),'IG Equity Share'!$A:$A,0)),0)</f>
        <v>7.4999999999999997E-2</v>
      </c>
      <c r="AH40" s="383">
        <f>AJ40*AG40*_xlfn.XLOOKUP(I40,'S3123 Consortium Share'!$A$3:$A$5,'S3123 Consortium Share'!$F$3:$F$5,,-1)</f>
        <v>172929.69861633499</v>
      </c>
      <c r="AI40" s="14">
        <v>1</v>
      </c>
      <c r="AJ40" s="13">
        <f t="shared" si="40"/>
        <v>5533750.3557227198</v>
      </c>
      <c r="AK40" s="13">
        <f t="shared" si="41"/>
        <v>5533750.3557227198</v>
      </c>
      <c r="AL40" s="13" t="str">
        <f t="shared" si="3"/>
        <v>FIID</v>
      </c>
      <c r="AM40" s="52">
        <f t="shared" si="4"/>
        <v>2025</v>
      </c>
      <c r="AN40" s="4">
        <f>INDEX('[2]Input Data'!$AH:$AH,MATCH(A40,'[2]Input Data'!$A:$A,0),1)-AH40</f>
        <v>0</v>
      </c>
      <c r="AO40" s="13">
        <f t="shared" ref="AO40:AU49" si="57">+IF(AND($I40&lt;=AO$8,$I40&gt;=AO$7),$AK40*AO$11,0)</f>
        <v>0</v>
      </c>
      <c r="AP40" s="13">
        <f t="shared" si="57"/>
        <v>0</v>
      </c>
      <c r="AQ40" s="13">
        <f t="shared" si="57"/>
        <v>0</v>
      </c>
      <c r="AR40" s="13">
        <f t="shared" si="57"/>
        <v>0</v>
      </c>
      <c r="AS40" s="13">
        <f t="shared" si="57"/>
        <v>0</v>
      </c>
      <c r="AT40" s="13">
        <f t="shared" si="57"/>
        <v>0</v>
      </c>
      <c r="AU40" s="13">
        <f t="shared" si="57"/>
        <v>1106750.0711445441</v>
      </c>
      <c r="AV40" s="13">
        <f t="shared" si="6"/>
        <v>0</v>
      </c>
      <c r="AW40" s="13"/>
      <c r="AX40" s="13"/>
      <c r="AY40" s="13">
        <f t="shared" si="42"/>
        <v>1106750.0711445441</v>
      </c>
      <c r="AZ40" s="13">
        <f t="shared" ref="AZ40:AZ81" si="58">+AO40+AP40</f>
        <v>0</v>
      </c>
      <c r="BA40" s="74"/>
      <c r="BB40" s="25">
        <f t="shared" ref="BB40:BB81" si="59">+AK40-AY40</f>
        <v>4427000.2845781762</v>
      </c>
      <c r="BC40" s="13">
        <f t="shared" ref="BC40:BC81" si="60">SUM(AO40)</f>
        <v>0</v>
      </c>
      <c r="BD40" s="13" t="b">
        <f>AND(AF40,NOT(ISNUMBER(MATCH(G40,Table1[Excluded Spacecraft ID],0))))</f>
        <v>1</v>
      </c>
      <c r="BE40" s="13">
        <f>BD40*AK40*_xlfn.XLOOKUP(I40,Table2[Date From],Table2[Cession],"Error",-1)*_xlfn.XLOOKUP(I40,'S3123 Consortium Share'!$A$3:$A$5,'S3123 Consortium Share'!$F$3:$F$5,,-1)</f>
        <v>461145.86297689338</v>
      </c>
      <c r="BF40" s="13">
        <f t="shared" ref="BF40:BF81" si="61">+BB40-BC40</f>
        <v>4427000.2845781762</v>
      </c>
      <c r="BG40" s="89" cm="1">
        <f t="array" ref="BG40">IF(V40="FIBL",0,INDEX('IGR QS'!$A$1:$D$570,MATCH('Input Data'!V40&amp;'Input Data'!W40&amp;'Input Data'!AM40,'IGR QS'!A:A&amp;'IGR QS'!B:B&amp;'IGR QS'!C:C,0),4))</f>
        <v>0.85</v>
      </c>
      <c r="BH40" s="13">
        <f t="shared" ref="BH40:BH81" si="62">+BF40*BG40</f>
        <v>3762950.2418914498</v>
      </c>
      <c r="BI40" s="13">
        <f t="shared" ref="BI40:BI81" si="63">+BF40-BH40</f>
        <v>664050.04268672643</v>
      </c>
      <c r="BJ40" s="13">
        <f t="shared" si="7"/>
        <v>0</v>
      </c>
      <c r="BK40" s="13">
        <f t="shared" ref="BK40:BK81" si="64">BH40+BJ40</f>
        <v>3762950.2418914498</v>
      </c>
      <c r="BL40" s="13">
        <f t="shared" ref="BL40:BL81" si="65">+BI40-BJ40</f>
        <v>664050.04268672643</v>
      </c>
      <c r="BM40" s="21"/>
      <c r="BN40" s="13">
        <f t="shared" si="8"/>
        <v>14120404.593972594</v>
      </c>
      <c r="BO40" s="13">
        <f t="shared" si="9"/>
        <v>12318061.835139982</v>
      </c>
      <c r="BP40" s="13">
        <f t="shared" si="10"/>
        <v>1802342.7588326111</v>
      </c>
      <c r="BQ40" s="13">
        <f t="shared" si="11"/>
        <v>22531337.46852478</v>
      </c>
      <c r="BR40" s="13">
        <f t="shared" si="12"/>
        <v>9162935.5156243462</v>
      </c>
      <c r="BT40" s="13">
        <f t="shared" si="13"/>
        <v>4427000.2845781762</v>
      </c>
      <c r="BU40" s="13">
        <f t="shared" si="14"/>
        <v>664050.04268672643</v>
      </c>
      <c r="BV40" s="13">
        <f t="shared" si="15"/>
        <v>3762950.2418914498</v>
      </c>
      <c r="BW40" s="13">
        <f t="shared" si="16"/>
        <v>1106750.0711445441</v>
      </c>
      <c r="BX40" s="13"/>
      <c r="BY40" s="25">
        <f t="shared" si="17"/>
        <v>276687.51778613601</v>
      </c>
      <c r="BZ40" s="25">
        <f t="shared" si="18"/>
        <v>0</v>
      </c>
      <c r="CA40" s="25">
        <f t="shared" si="19"/>
        <v>276687.51778613601</v>
      </c>
      <c r="CB40" s="25">
        <f t="shared" si="20"/>
        <v>0</v>
      </c>
      <c r="CC40" s="25">
        <f t="shared" si="21"/>
        <v>235184.39011821561</v>
      </c>
      <c r="CD40" s="384">
        <f t="shared" si="22"/>
        <v>0</v>
      </c>
      <c r="CH40" s="7" t="str">
        <v>Mitsubishi Electric Corp (MELCO)</v>
      </c>
      <c r="CI40" s="25">
        <f t="shared" si="23"/>
        <v>20717130.893306468</v>
      </c>
      <c r="CJ40" s="25">
        <f t="shared" si="24"/>
        <v>20717130.893306468</v>
      </c>
      <c r="CK40" s="25">
        <f t="shared" si="24"/>
        <v>0</v>
      </c>
      <c r="CL40" s="25">
        <f t="shared" si="49"/>
        <v>0</v>
      </c>
      <c r="CM40" s="25">
        <f t="shared" si="50"/>
        <v>8286852.3573225886</v>
      </c>
      <c r="CN40" s="25">
        <f t="shared" si="51"/>
        <v>0</v>
      </c>
      <c r="CO40" s="90"/>
      <c r="CP40" s="75"/>
      <c r="CR40" s="25">
        <f t="shared" si="25"/>
        <v>553375.03557227203</v>
      </c>
      <c r="CS40" s="25">
        <f t="shared" ref="CS40:CT59" si="66">IF(AND(OR($K40="GEO-GSO",$K40="MEO"),$AL40=CS$19),$AK40*Generic_Defect_Loss,0)*$Q40*$P40</f>
        <v>0</v>
      </c>
      <c r="CT40" s="25">
        <f t="shared" si="66"/>
        <v>553375.03557227203</v>
      </c>
      <c r="CU40" s="25">
        <f t="shared" si="27"/>
        <v>0</v>
      </c>
      <c r="CV40" s="25">
        <f t="shared" si="28"/>
        <v>470368.78023643122</v>
      </c>
      <c r="CW40" s="25">
        <f t="shared" si="29"/>
        <v>0</v>
      </c>
      <c r="CY40" s="25">
        <f t="shared" si="30"/>
        <v>276687.51778613601</v>
      </c>
      <c r="CZ40" s="25">
        <f t="shared" si="31"/>
        <v>0</v>
      </c>
      <c r="DA40" s="25">
        <f t="shared" si="55"/>
        <v>276687.51778613601</v>
      </c>
      <c r="DB40" s="25">
        <f t="shared" si="33"/>
        <v>0</v>
      </c>
      <c r="DC40" s="25">
        <f t="shared" si="34"/>
        <v>235184.39011821561</v>
      </c>
      <c r="DD40" s="25">
        <f t="shared" si="35"/>
        <v>0</v>
      </c>
    </row>
    <row r="41" spans="1:108" x14ac:dyDescent="0.35">
      <c r="A41" s="282" t="str">
        <f t="shared" si="36"/>
        <v>344558_16</v>
      </c>
      <c r="B41" s="303">
        <v>344558</v>
      </c>
      <c r="C41" s="303">
        <v>16</v>
      </c>
      <c r="D41" s="319" t="str">
        <f>IFERROR(MATCH(C41,'[4]Custom Earning Pattern Not Popu'!$B$5:$B$428,0),"NA")</f>
        <v>NA</v>
      </c>
      <c r="E41" s="303" t="s">
        <v>17</v>
      </c>
      <c r="F41" s="303">
        <v>12</v>
      </c>
      <c r="G41" s="303">
        <v>10173</v>
      </c>
      <c r="H41" s="306">
        <v>40807</v>
      </c>
      <c r="I41" s="306">
        <v>45839</v>
      </c>
      <c r="J41" s="306">
        <v>46203</v>
      </c>
      <c r="K41" s="303" t="s">
        <v>113</v>
      </c>
      <c r="L41" s="306">
        <v>45839</v>
      </c>
      <c r="M41" s="306">
        <v>46203</v>
      </c>
      <c r="N41" s="303" t="s">
        <v>230</v>
      </c>
      <c r="O41" s="303" t="s">
        <v>230</v>
      </c>
      <c r="P41" s="148">
        <f t="shared" si="37"/>
        <v>0.2</v>
      </c>
      <c r="Q41" s="282">
        <v>1</v>
      </c>
      <c r="R41" s="282">
        <v>0</v>
      </c>
      <c r="S41" s="282" t="str">
        <f t="shared" si="52"/>
        <v>Orbit</v>
      </c>
      <c r="T41" s="282" t="s">
        <v>13</v>
      </c>
      <c r="U41" s="303" t="s">
        <v>248</v>
      </c>
      <c r="V41" s="303" t="s">
        <v>31</v>
      </c>
      <c r="W41" s="303" t="s">
        <v>78</v>
      </c>
      <c r="X41" s="303" t="s">
        <v>270</v>
      </c>
      <c r="Y41" s="303" t="s">
        <v>315</v>
      </c>
      <c r="Z41" s="303" t="s">
        <v>13</v>
      </c>
      <c r="AA41" s="308">
        <v>10746231.046425199</v>
      </c>
      <c r="AC41" s="289">
        <f t="shared" si="38"/>
        <v>0</v>
      </c>
      <c r="AD41" s="88" cm="1">
        <f t="array" ref="AD41">IF(AC41=0,0,INDEX(Summary!$S$4:$S$7,MATCH(AC41,Summary!$R$4:$R$7)+1))</f>
        <v>0</v>
      </c>
      <c r="AE41" s="88">
        <f>IFERROR(INDEX(Summary!$Y$4:$Y$6,MATCH('Input Data'!K41,Summary!$U$4:$U$6,0)),0)</f>
        <v>0.05</v>
      </c>
      <c r="AF41" s="88" t="b">
        <f t="shared" si="39"/>
        <v>1</v>
      </c>
      <c r="AG41" s="89">
        <f>IF(AF41,INDEX('IG Equity Share'!$B:$B,MATCH(YEAR(I41),'IG Equity Share'!$A:$A,0)),0)</f>
        <v>7.4999999999999997E-2</v>
      </c>
      <c r="AH41" s="383">
        <f>AJ41*AG41*_xlfn.XLOOKUP(I41,'S3123 Consortium Share'!$A$3:$A$5,'S3123 Consortium Share'!$F$3:$F$5,,-1)</f>
        <v>335819.72020078747</v>
      </c>
      <c r="AI41" s="14">
        <v>1</v>
      </c>
      <c r="AJ41" s="13">
        <f t="shared" si="40"/>
        <v>10746231.046425199</v>
      </c>
      <c r="AK41" s="13">
        <f t="shared" si="41"/>
        <v>10746231.046425199</v>
      </c>
      <c r="AL41" s="13" t="str">
        <f t="shared" si="3"/>
        <v>FIID</v>
      </c>
      <c r="AM41" s="52">
        <f t="shared" si="4"/>
        <v>2025</v>
      </c>
      <c r="AN41" s="4">
        <f>INDEX('[2]Input Data'!$AH:$AH,MATCH(A41,'[2]Input Data'!$A:$A,0),1)-AH41</f>
        <v>0</v>
      </c>
      <c r="AO41" s="13">
        <f t="shared" si="57"/>
        <v>0</v>
      </c>
      <c r="AP41" s="13">
        <f t="shared" si="57"/>
        <v>0</v>
      </c>
      <c r="AQ41" s="13">
        <f t="shared" si="57"/>
        <v>0</v>
      </c>
      <c r="AR41" s="13">
        <f t="shared" si="57"/>
        <v>0</v>
      </c>
      <c r="AS41" s="13">
        <f t="shared" si="57"/>
        <v>0</v>
      </c>
      <c r="AT41" s="13">
        <f t="shared" si="57"/>
        <v>0</v>
      </c>
      <c r="AU41" s="13">
        <f t="shared" si="57"/>
        <v>2149246.2092850399</v>
      </c>
      <c r="AV41" s="13">
        <f t="shared" si="6"/>
        <v>0</v>
      </c>
      <c r="AW41" s="13"/>
      <c r="AX41" s="13"/>
      <c r="AY41" s="13">
        <f t="shared" si="42"/>
        <v>2149246.2092850399</v>
      </c>
      <c r="AZ41" s="13">
        <f t="shared" si="58"/>
        <v>0</v>
      </c>
      <c r="BA41" s="74"/>
      <c r="BB41" s="25">
        <f t="shared" si="59"/>
        <v>8596984.8371401597</v>
      </c>
      <c r="BC41" s="13">
        <f t="shared" si="60"/>
        <v>0</v>
      </c>
      <c r="BD41" s="13" t="b">
        <f>AND(AF41,NOT(ISNUMBER(MATCH(G41,Table1[Excluded Spacecraft ID],0))))</f>
        <v>1</v>
      </c>
      <c r="BE41" s="13">
        <f>BD41*AK41*_xlfn.XLOOKUP(I41,Table2[Date From],Table2[Cession],"Error",-1)*_xlfn.XLOOKUP(I41,'S3123 Consortium Share'!$A$3:$A$5,'S3123 Consortium Share'!$F$3:$F$5,,-1)</f>
        <v>895519.25386876671</v>
      </c>
      <c r="BF41" s="13">
        <f t="shared" si="61"/>
        <v>8596984.8371401597</v>
      </c>
      <c r="BG41" s="89" cm="1">
        <f t="array" ref="BG41">IF(V41="FIBL",0,INDEX('IGR QS'!$A$1:$D$570,MATCH('Input Data'!V41&amp;'Input Data'!W41&amp;'Input Data'!AM41,'IGR QS'!A:A&amp;'IGR QS'!B:B&amp;'IGR QS'!C:C,0),4))</f>
        <v>0.85</v>
      </c>
      <c r="BH41" s="13">
        <f t="shared" si="62"/>
        <v>7307437.1115691354</v>
      </c>
      <c r="BI41" s="13">
        <f t="shared" si="63"/>
        <v>1289547.7255710242</v>
      </c>
      <c r="BJ41" s="13">
        <f t="shared" si="7"/>
        <v>0</v>
      </c>
      <c r="BK41" s="13">
        <f t="shared" si="64"/>
        <v>7307437.1115691354</v>
      </c>
      <c r="BL41" s="13">
        <f t="shared" si="65"/>
        <v>1289547.7255710242</v>
      </c>
      <c r="BM41" s="21"/>
      <c r="BN41" s="13">
        <f t="shared" si="8"/>
        <v>66471396.42403952</v>
      </c>
      <c r="BO41" s="13">
        <f t="shared" si="9"/>
        <v>49043091.716622137</v>
      </c>
      <c r="BP41" s="13">
        <f t="shared" si="10"/>
        <v>17428304.707417384</v>
      </c>
      <c r="BQ41" s="13">
        <f t="shared" si="11"/>
        <v>147803485.05865392</v>
      </c>
      <c r="BR41" s="13">
        <f t="shared" si="12"/>
        <v>53568720.370673373</v>
      </c>
      <c r="BT41" s="13">
        <f t="shared" si="13"/>
        <v>8596984.8371401597</v>
      </c>
      <c r="BU41" s="13">
        <f t="shared" si="14"/>
        <v>1289547.7255710242</v>
      </c>
      <c r="BV41" s="13">
        <f t="shared" si="15"/>
        <v>7307437.1115691354</v>
      </c>
      <c r="BW41" s="13">
        <f t="shared" si="16"/>
        <v>2149246.2092850399</v>
      </c>
      <c r="BX41" s="13"/>
      <c r="BY41" s="25">
        <f t="shared" si="17"/>
        <v>537311.55232125998</v>
      </c>
      <c r="BZ41" s="25">
        <f t="shared" si="18"/>
        <v>0</v>
      </c>
      <c r="CA41" s="25">
        <f t="shared" si="19"/>
        <v>537311.55232125998</v>
      </c>
      <c r="CB41" s="25">
        <f t="shared" si="20"/>
        <v>0</v>
      </c>
      <c r="CC41" s="25">
        <f t="shared" si="21"/>
        <v>456714.81947307097</v>
      </c>
      <c r="CD41" s="384">
        <f t="shared" si="22"/>
        <v>0</v>
      </c>
      <c r="CH41" s="7" t="str">
        <v>KARI - Korea Aerospace Research Institute</v>
      </c>
      <c r="CI41" s="25">
        <f t="shared" si="23"/>
        <v>0</v>
      </c>
      <c r="CJ41" s="25">
        <f t="shared" si="24"/>
        <v>0</v>
      </c>
      <c r="CK41" s="25">
        <f t="shared" si="24"/>
        <v>0</v>
      </c>
      <c r="CL41" s="25">
        <f t="shared" si="49"/>
        <v>0</v>
      </c>
      <c r="CM41" s="25">
        <f t="shared" si="50"/>
        <v>0</v>
      </c>
      <c r="CN41" s="25">
        <f t="shared" si="51"/>
        <v>0</v>
      </c>
      <c r="CO41" s="90"/>
      <c r="CP41" s="75"/>
      <c r="CR41" s="25">
        <f t="shared" si="25"/>
        <v>1074623.10464252</v>
      </c>
      <c r="CS41" s="25">
        <f t="shared" si="66"/>
        <v>0</v>
      </c>
      <c r="CT41" s="25">
        <f t="shared" si="66"/>
        <v>1074623.10464252</v>
      </c>
      <c r="CU41" s="25">
        <f t="shared" si="27"/>
        <v>0</v>
      </c>
      <c r="CV41" s="25">
        <f t="shared" si="28"/>
        <v>913429.63894614193</v>
      </c>
      <c r="CW41" s="25">
        <f t="shared" si="29"/>
        <v>0</v>
      </c>
      <c r="CY41" s="25">
        <f t="shared" si="30"/>
        <v>537311.55232125998</v>
      </c>
      <c r="CZ41" s="25">
        <f t="shared" si="31"/>
        <v>0</v>
      </c>
      <c r="DA41" s="25">
        <f t="shared" si="55"/>
        <v>537311.55232125998</v>
      </c>
      <c r="DB41" s="25">
        <f t="shared" si="33"/>
        <v>0</v>
      </c>
      <c r="DC41" s="25">
        <f t="shared" si="34"/>
        <v>456714.81947307097</v>
      </c>
      <c r="DD41" s="25">
        <f t="shared" si="35"/>
        <v>0</v>
      </c>
    </row>
    <row r="42" spans="1:108" x14ac:dyDescent="0.35">
      <c r="A42" s="282" t="str">
        <f t="shared" si="36"/>
        <v>344558_17</v>
      </c>
      <c r="B42" s="303">
        <v>344558</v>
      </c>
      <c r="C42" s="303">
        <v>17</v>
      </c>
      <c r="D42" s="319" t="str">
        <f>IFERROR(MATCH(C42,'[4]Custom Earning Pattern Not Popu'!$B$5:$B$428,0),"NA")</f>
        <v>NA</v>
      </c>
      <c r="E42" s="303" t="s">
        <v>17</v>
      </c>
      <c r="F42" s="303">
        <v>12</v>
      </c>
      <c r="G42" s="303">
        <v>10281</v>
      </c>
      <c r="H42" s="306">
        <v>40332</v>
      </c>
      <c r="I42" s="306">
        <v>45839</v>
      </c>
      <c r="J42" s="306">
        <v>46203</v>
      </c>
      <c r="K42" s="303" t="s">
        <v>113</v>
      </c>
      <c r="L42" s="306">
        <v>45839</v>
      </c>
      <c r="M42" s="306">
        <v>46203</v>
      </c>
      <c r="N42" s="303" t="s">
        <v>235</v>
      </c>
      <c r="O42" s="303" t="s">
        <v>235</v>
      </c>
      <c r="P42" s="148">
        <f t="shared" si="37"/>
        <v>0.2</v>
      </c>
      <c r="Q42" s="282">
        <v>1</v>
      </c>
      <c r="R42" s="282">
        <v>0</v>
      </c>
      <c r="S42" s="282" t="str">
        <f t="shared" si="52"/>
        <v>Orbit</v>
      </c>
      <c r="T42" s="282" t="s">
        <v>13</v>
      </c>
      <c r="U42" s="303" t="s">
        <v>248</v>
      </c>
      <c r="V42" s="303" t="s">
        <v>31</v>
      </c>
      <c r="W42" s="303" t="s">
        <v>78</v>
      </c>
      <c r="X42" s="303" t="s">
        <v>271</v>
      </c>
      <c r="Y42" s="303" t="s">
        <v>320</v>
      </c>
      <c r="Z42" s="303" t="s">
        <v>13</v>
      </c>
      <c r="AA42" s="308">
        <v>11189100.5630337</v>
      </c>
      <c r="AC42" s="289">
        <f t="shared" si="38"/>
        <v>0</v>
      </c>
      <c r="AD42" s="88" cm="1">
        <f t="array" ref="AD42">IF(AC42=0,0,INDEX(Summary!$S$4:$S$7,MATCH(AC42,Summary!$R$4:$R$7)+1))</f>
        <v>0</v>
      </c>
      <c r="AE42" s="88">
        <f>IFERROR(INDEX(Summary!$Y$4:$Y$6,MATCH('Input Data'!K42,Summary!$U$4:$U$6,0)),0)</f>
        <v>0.05</v>
      </c>
      <c r="AF42" s="88" t="b">
        <f t="shared" si="39"/>
        <v>1</v>
      </c>
      <c r="AG42" s="89">
        <f>IF(AF42,INDEX('IG Equity Share'!$B:$B,MATCH(YEAR(I42),'IG Equity Share'!$A:$A,0)),0)</f>
        <v>7.4999999999999997E-2</v>
      </c>
      <c r="AH42" s="383">
        <f>AJ42*AG42*_xlfn.XLOOKUP(I42,'S3123 Consortium Share'!$A$3:$A$5,'S3123 Consortium Share'!$F$3:$F$5,,-1)</f>
        <v>349659.39259480312</v>
      </c>
      <c r="AI42" s="14">
        <v>1</v>
      </c>
      <c r="AJ42" s="13">
        <f t="shared" si="40"/>
        <v>11189100.5630337</v>
      </c>
      <c r="AK42" s="13">
        <f t="shared" si="41"/>
        <v>11189100.5630337</v>
      </c>
      <c r="AL42" s="13" t="str">
        <f t="shared" si="3"/>
        <v>FIID</v>
      </c>
      <c r="AM42" s="52">
        <f t="shared" si="4"/>
        <v>2025</v>
      </c>
      <c r="AN42" s="4"/>
      <c r="AO42" s="13">
        <f t="shared" si="57"/>
        <v>0</v>
      </c>
      <c r="AP42" s="13">
        <f t="shared" si="57"/>
        <v>0</v>
      </c>
      <c r="AQ42" s="13">
        <f t="shared" si="57"/>
        <v>0</v>
      </c>
      <c r="AR42" s="13">
        <f t="shared" si="57"/>
        <v>0</v>
      </c>
      <c r="AS42" s="13">
        <f t="shared" si="57"/>
        <v>0</v>
      </c>
      <c r="AT42" s="13">
        <f t="shared" si="57"/>
        <v>0</v>
      </c>
      <c r="AU42" s="13">
        <f t="shared" si="57"/>
        <v>2237820.1126067401</v>
      </c>
      <c r="AV42" s="13">
        <f t="shared" si="6"/>
        <v>0</v>
      </c>
      <c r="AW42" s="13"/>
      <c r="AX42" s="13"/>
      <c r="AY42" s="13">
        <f t="shared" si="42"/>
        <v>2237820.1126067401</v>
      </c>
      <c r="AZ42" s="13">
        <f t="shared" si="58"/>
        <v>0</v>
      </c>
      <c r="BA42" s="74"/>
      <c r="BB42" s="25">
        <f t="shared" si="59"/>
        <v>8951280.4504269604</v>
      </c>
      <c r="BC42" s="13">
        <f t="shared" si="60"/>
        <v>0</v>
      </c>
      <c r="BD42" s="13" t="b">
        <f>AND(AF42,NOT(ISNUMBER(MATCH(G42,Table1[Excluded Spacecraft ID],0))))</f>
        <v>1</v>
      </c>
      <c r="BE42" s="13">
        <f>BD42*AK42*_xlfn.XLOOKUP(I42,Table2[Date From],Table2[Cession],"Error",-1)*_xlfn.XLOOKUP(I42,'S3123 Consortium Share'!$A$3:$A$5,'S3123 Consortium Share'!$F$3:$F$5,,-1)</f>
        <v>932425.04691947508</v>
      </c>
      <c r="BF42" s="13">
        <f t="shared" si="61"/>
        <v>8951280.4504269604</v>
      </c>
      <c r="BG42" s="89" cm="1">
        <f t="array" ref="BG42">IF(V42="FIBL",0,INDEX('IGR QS'!$A$1:$D$570,MATCH('Input Data'!V42&amp;'Input Data'!W42&amp;'Input Data'!AM42,'IGR QS'!A:A&amp;'IGR QS'!B:B&amp;'IGR QS'!C:C,0),4))</f>
        <v>0.85</v>
      </c>
      <c r="BH42" s="13">
        <f t="shared" si="62"/>
        <v>7608588.3828629162</v>
      </c>
      <c r="BI42" s="13">
        <f t="shared" si="63"/>
        <v>1342692.0675640441</v>
      </c>
      <c r="BJ42" s="13">
        <f t="shared" si="7"/>
        <v>0</v>
      </c>
      <c r="BK42" s="13">
        <f t="shared" si="64"/>
        <v>7608588.3828629162</v>
      </c>
      <c r="BL42" s="13">
        <f t="shared" si="65"/>
        <v>1342692.0675640441</v>
      </c>
      <c r="BM42" s="21"/>
      <c r="BN42" s="13">
        <f t="shared" si="8"/>
        <v>2333534.4488404761</v>
      </c>
      <c r="BO42" s="13">
        <f t="shared" si="9"/>
        <v>990842.38127643208</v>
      </c>
      <c r="BP42" s="13">
        <f t="shared" si="10"/>
        <v>1342692.0675640441</v>
      </c>
      <c r="BQ42" s="13">
        <f t="shared" si="11"/>
        <v>8599430.7641393486</v>
      </c>
      <c r="BR42" s="13">
        <f t="shared" si="12"/>
        <v>2733241.3032449563</v>
      </c>
      <c r="BT42" s="13">
        <f t="shared" si="13"/>
        <v>8951280.4504269604</v>
      </c>
      <c r="BU42" s="13">
        <f t="shared" si="14"/>
        <v>1342692.0675640441</v>
      </c>
      <c r="BV42" s="13">
        <f t="shared" si="15"/>
        <v>7608588.3828629162</v>
      </c>
      <c r="BW42" s="13">
        <f t="shared" si="16"/>
        <v>2237820.1126067401</v>
      </c>
      <c r="BX42" s="13"/>
      <c r="BY42" s="25">
        <f t="shared" si="17"/>
        <v>559455.02815168502</v>
      </c>
      <c r="BZ42" s="25">
        <f t="shared" si="18"/>
        <v>0</v>
      </c>
      <c r="CA42" s="25">
        <f t="shared" si="19"/>
        <v>559455.02815168502</v>
      </c>
      <c r="CB42" s="25">
        <f t="shared" si="20"/>
        <v>0</v>
      </c>
      <c r="CC42" s="25">
        <f t="shared" si="21"/>
        <v>475536.77392893221</v>
      </c>
      <c r="CD42" s="384">
        <f t="shared" si="22"/>
        <v>0</v>
      </c>
      <c r="CH42" s="7" t="str">
        <v>Orbital Sciences Corporation</v>
      </c>
      <c r="CI42" s="25">
        <f t="shared" si="23"/>
        <v>9918729.7988000009</v>
      </c>
      <c r="CJ42" s="25">
        <f t="shared" si="24"/>
        <v>7565769.7988000009</v>
      </c>
      <c r="CK42" s="25">
        <f t="shared" si="24"/>
        <v>2352960</v>
      </c>
      <c r="CL42" s="25">
        <f t="shared" si="49"/>
        <v>0</v>
      </c>
      <c r="CM42" s="25">
        <f t="shared" si="50"/>
        <v>4626320.7195199998</v>
      </c>
      <c r="CN42" s="25">
        <f t="shared" si="51"/>
        <v>0</v>
      </c>
      <c r="CO42" s="90"/>
      <c r="CP42" s="75"/>
      <c r="CR42" s="25">
        <f t="shared" si="25"/>
        <v>1118910.05630337</v>
      </c>
      <c r="CS42" s="25">
        <f t="shared" si="66"/>
        <v>0</v>
      </c>
      <c r="CT42" s="25">
        <f t="shared" si="66"/>
        <v>1118910.05630337</v>
      </c>
      <c r="CU42" s="25">
        <f t="shared" si="27"/>
        <v>0</v>
      </c>
      <c r="CV42" s="25">
        <f t="shared" si="28"/>
        <v>951073.54785786441</v>
      </c>
      <c r="CW42" s="25">
        <f t="shared" si="29"/>
        <v>0</v>
      </c>
      <c r="CY42" s="25">
        <f t="shared" si="30"/>
        <v>559455.02815168502</v>
      </c>
      <c r="CZ42" s="25">
        <f t="shared" si="31"/>
        <v>0</v>
      </c>
      <c r="DA42" s="25">
        <f t="shared" si="55"/>
        <v>559455.02815168502</v>
      </c>
      <c r="DB42" s="25">
        <f t="shared" si="33"/>
        <v>0</v>
      </c>
      <c r="DC42" s="25">
        <f t="shared" si="34"/>
        <v>475536.77392893221</v>
      </c>
      <c r="DD42" s="25">
        <f t="shared" si="35"/>
        <v>0</v>
      </c>
    </row>
    <row r="43" spans="1:108" x14ac:dyDescent="0.35">
      <c r="A43" s="282" t="str">
        <f t="shared" si="36"/>
        <v>334331_1</v>
      </c>
      <c r="B43" s="303">
        <v>334331</v>
      </c>
      <c r="C43" s="303">
        <v>1</v>
      </c>
      <c r="D43" s="319" t="str">
        <f>IFERROR(MATCH(C43,'[4]Custom Earning Pattern Not Popu'!$B$5:$B$428,0),"NA")</f>
        <v>NA</v>
      </c>
      <c r="E43" s="303" t="s">
        <v>397</v>
      </c>
      <c r="F43" s="303">
        <v>15</v>
      </c>
      <c r="G43" s="303">
        <v>13879</v>
      </c>
      <c r="H43" s="306">
        <v>45864</v>
      </c>
      <c r="I43" s="306">
        <v>45692</v>
      </c>
      <c r="J43" s="306">
        <v>46387</v>
      </c>
      <c r="K43" s="303" t="s">
        <v>16</v>
      </c>
      <c r="L43" s="306">
        <v>45864</v>
      </c>
      <c r="M43" s="306">
        <v>46320</v>
      </c>
      <c r="N43" s="303" t="s">
        <v>230</v>
      </c>
      <c r="O43" s="303" t="s">
        <v>230</v>
      </c>
      <c r="P43" s="148">
        <f t="shared" si="37"/>
        <v>0.4</v>
      </c>
      <c r="Q43" s="282">
        <v>1</v>
      </c>
      <c r="R43" s="282">
        <v>0</v>
      </c>
      <c r="S43" s="282" t="str">
        <f t="shared" si="52"/>
        <v>Launch and Orbit</v>
      </c>
      <c r="T43" s="282" t="s">
        <v>13</v>
      </c>
      <c r="U43" s="303" t="s">
        <v>398</v>
      </c>
      <c r="V43" s="303" t="s">
        <v>31</v>
      </c>
      <c r="W43" s="303" t="s">
        <v>80</v>
      </c>
      <c r="X43" s="303" t="s">
        <v>399</v>
      </c>
      <c r="Y43" s="303" t="s">
        <v>332</v>
      </c>
      <c r="Z43" s="303" t="s">
        <v>400</v>
      </c>
      <c r="AA43" s="308">
        <v>2196138.3852966102</v>
      </c>
      <c r="AC43" s="289">
        <f t="shared" si="38"/>
        <v>7</v>
      </c>
      <c r="AD43" s="88" cm="1">
        <f t="array" ref="AD43">IF(AC43=0,0,INDEX(Summary!$S$4:$S$7,MATCH(AC43,Summary!$R$4:$R$7)+1))</f>
        <v>0.6</v>
      </c>
      <c r="AE43" s="88">
        <f>IFERROR(INDEX(Summary!$Y$4:$Y$6,MATCH('Input Data'!K43,Summary!$U$4:$U$6,0)),0)</f>
        <v>0.4</v>
      </c>
      <c r="AF43" s="88" t="b">
        <f t="shared" si="39"/>
        <v>1</v>
      </c>
      <c r="AG43" s="89">
        <f>IF(AF43,INDEX('IG Equity Share'!$B:$B,MATCH(YEAR(I43),'IG Equity Share'!$A:$A,0)),0)</f>
        <v>7.4999999999999997E-2</v>
      </c>
      <c r="AH43" s="383">
        <f>AJ43*AG43*_xlfn.XLOOKUP(I43,'S3123 Consortium Share'!$A$3:$A$5,'S3123 Consortium Share'!$F$3:$F$5,,-1)</f>
        <v>68629.324540519068</v>
      </c>
      <c r="AI43" s="14">
        <v>1</v>
      </c>
      <c r="AJ43" s="13">
        <f t="shared" si="40"/>
        <v>2196138.3852966102</v>
      </c>
      <c r="AK43" s="13">
        <f t="shared" si="41"/>
        <v>2196138.3852966102</v>
      </c>
      <c r="AL43" s="13" t="str">
        <f t="shared" si="3"/>
        <v>FIID</v>
      </c>
      <c r="AM43" s="52">
        <f t="shared" si="4"/>
        <v>2025</v>
      </c>
      <c r="AN43" s="4">
        <f>INDEX('[2]Input Data'!$AH:$AH,MATCH(A43,'[2]Input Data'!$A:$A,0),1)-AH43</f>
        <v>0</v>
      </c>
      <c r="AO43" s="13">
        <f t="shared" si="57"/>
        <v>0</v>
      </c>
      <c r="AP43" s="13">
        <f t="shared" si="57"/>
        <v>0</v>
      </c>
      <c r="AQ43" s="13">
        <f t="shared" si="57"/>
        <v>0</v>
      </c>
      <c r="AR43" s="13">
        <f t="shared" si="57"/>
        <v>0</v>
      </c>
      <c r="AS43" s="13">
        <f t="shared" si="57"/>
        <v>0</v>
      </c>
      <c r="AT43" s="13">
        <f t="shared" si="57"/>
        <v>0</v>
      </c>
      <c r="AU43" s="13">
        <f t="shared" si="57"/>
        <v>439227.67705932207</v>
      </c>
      <c r="AV43" s="13">
        <f t="shared" si="6"/>
        <v>0</v>
      </c>
      <c r="AW43" s="13"/>
      <c r="AX43" s="13"/>
      <c r="AY43" s="13">
        <f t="shared" si="42"/>
        <v>439227.67705932207</v>
      </c>
      <c r="AZ43" s="13">
        <f t="shared" si="58"/>
        <v>0</v>
      </c>
      <c r="BA43" s="74"/>
      <c r="BB43" s="25">
        <f t="shared" si="59"/>
        <v>1756910.7082372881</v>
      </c>
      <c r="BC43" s="13">
        <f t="shared" si="60"/>
        <v>0</v>
      </c>
      <c r="BD43" s="13" t="b">
        <f>AND(AF43,NOT(ISNUMBER(MATCH(G43,Table1[Excluded Spacecraft ID],0))))</f>
        <v>1</v>
      </c>
      <c r="BE43" s="13">
        <f>BD43*AK43*_xlfn.XLOOKUP(I43,Table2[Date From],Table2[Cession],"Error",-1)*_xlfn.XLOOKUP(I43,'S3123 Consortium Share'!$A$3:$A$5,'S3123 Consortium Share'!$F$3:$F$5,,-1)</f>
        <v>183011.53210805086</v>
      </c>
      <c r="BF43" s="13">
        <f t="shared" si="61"/>
        <v>1756910.7082372881</v>
      </c>
      <c r="BG43" s="89" cm="1">
        <f t="array" ref="BG43">IF(V43="FIBL",0,INDEX('IGR QS'!$A$1:$D$570,MATCH('Input Data'!V43&amp;'Input Data'!W43&amp;'Input Data'!AM43,'IGR QS'!A:A&amp;'IGR QS'!B:B&amp;'IGR QS'!C:C,0),4))</f>
        <v>0.85</v>
      </c>
      <c r="BH43" s="13">
        <f t="shared" si="62"/>
        <v>1493374.1020016947</v>
      </c>
      <c r="BI43" s="13">
        <f t="shared" si="63"/>
        <v>263536.60623559332</v>
      </c>
      <c r="BJ43" s="13">
        <f t="shared" si="7"/>
        <v>0</v>
      </c>
      <c r="BK43" s="13">
        <f t="shared" si="64"/>
        <v>1493374.1020016947</v>
      </c>
      <c r="BL43" s="13">
        <f t="shared" si="65"/>
        <v>263536.60623559332</v>
      </c>
      <c r="BM43" s="21"/>
      <c r="BN43" s="13">
        <f t="shared" si="8"/>
        <v>66471396.42403952</v>
      </c>
      <c r="BO43" s="13">
        <f t="shared" si="9"/>
        <v>49043091.716622137</v>
      </c>
      <c r="BP43" s="13">
        <f t="shared" si="10"/>
        <v>17428304.707417384</v>
      </c>
      <c r="BQ43" s="13">
        <f t="shared" si="11"/>
        <v>147803485.05865392</v>
      </c>
      <c r="BR43" s="13">
        <f t="shared" si="12"/>
        <v>53568720.370673373</v>
      </c>
      <c r="BT43" s="13">
        <f t="shared" si="13"/>
        <v>42889946.503245682</v>
      </c>
      <c r="BU43" s="13">
        <f t="shared" si="14"/>
        <v>15281915.425095754</v>
      </c>
      <c r="BV43" s="13">
        <f t="shared" si="15"/>
        <v>27608031.078149922</v>
      </c>
      <c r="BW43" s="13">
        <f t="shared" si="16"/>
        <v>10722486.62581142</v>
      </c>
      <c r="BX43" s="13"/>
      <c r="BY43" s="25">
        <f t="shared" si="17"/>
        <v>0</v>
      </c>
      <c r="BZ43" s="25">
        <f t="shared" si="18"/>
        <v>0</v>
      </c>
      <c r="CA43" s="25">
        <f t="shared" si="19"/>
        <v>0</v>
      </c>
      <c r="CB43" s="25">
        <f t="shared" si="20"/>
        <v>0</v>
      </c>
      <c r="CC43" s="25">
        <f t="shared" si="21"/>
        <v>0</v>
      </c>
      <c r="CD43" s="384">
        <f t="shared" si="22"/>
        <v>0</v>
      </c>
      <c r="CH43" s="7" t="str">
        <v>Airbus Defence and Space/Thales Alenia Space JOINT</v>
      </c>
      <c r="CI43" s="25">
        <f t="shared" si="23"/>
        <v>0</v>
      </c>
      <c r="CJ43" s="25">
        <f t="shared" si="24"/>
        <v>0</v>
      </c>
      <c r="CK43" s="25">
        <f t="shared" si="24"/>
        <v>0</v>
      </c>
      <c r="CL43" s="25">
        <f t="shared" si="49"/>
        <v>0</v>
      </c>
      <c r="CM43" s="25">
        <f t="shared" si="50"/>
        <v>0</v>
      </c>
      <c r="CN43" s="25">
        <f t="shared" si="51"/>
        <v>0</v>
      </c>
      <c r="CR43" s="25">
        <f t="shared" si="25"/>
        <v>0</v>
      </c>
      <c r="CS43" s="25">
        <f t="shared" si="66"/>
        <v>0</v>
      </c>
      <c r="CT43" s="25">
        <f t="shared" si="66"/>
        <v>0</v>
      </c>
      <c r="CU43" s="25">
        <f t="shared" si="27"/>
        <v>0</v>
      </c>
      <c r="CV43" s="25">
        <f t="shared" si="28"/>
        <v>0</v>
      </c>
      <c r="CW43" s="25">
        <f t="shared" si="29"/>
        <v>0</v>
      </c>
      <c r="CY43" s="25">
        <f t="shared" si="30"/>
        <v>0</v>
      </c>
      <c r="CZ43" s="25">
        <f t="shared" si="31"/>
        <v>0</v>
      </c>
      <c r="DA43" s="25">
        <f t="shared" si="55"/>
        <v>0</v>
      </c>
      <c r="DB43" s="25">
        <f t="shared" si="33"/>
        <v>0</v>
      </c>
      <c r="DC43" s="25">
        <f t="shared" si="34"/>
        <v>0</v>
      </c>
      <c r="DD43" s="25">
        <f t="shared" si="35"/>
        <v>0</v>
      </c>
    </row>
    <row r="44" spans="1:108" x14ac:dyDescent="0.35">
      <c r="A44" s="282" t="str">
        <f t="shared" si="36"/>
        <v>334331_2</v>
      </c>
      <c r="B44" s="303">
        <v>334331</v>
      </c>
      <c r="C44" s="303">
        <v>2</v>
      </c>
      <c r="D44" s="319" t="str">
        <f>IFERROR(MATCH(C44,'[4]Custom Earning Pattern Not Popu'!$B$5:$B$428,0),"NA")</f>
        <v>NA</v>
      </c>
      <c r="E44" s="303" t="s">
        <v>397</v>
      </c>
      <c r="F44" s="303">
        <v>15</v>
      </c>
      <c r="G44" s="303">
        <v>13880</v>
      </c>
      <c r="H44" s="306">
        <v>45864</v>
      </c>
      <c r="I44" s="306">
        <v>45692</v>
      </c>
      <c r="J44" s="306">
        <v>46387</v>
      </c>
      <c r="K44" s="303" t="s">
        <v>16</v>
      </c>
      <c r="L44" s="306">
        <v>45864</v>
      </c>
      <c r="M44" s="306">
        <v>46320</v>
      </c>
      <c r="N44" s="303" t="s">
        <v>230</v>
      </c>
      <c r="O44" s="303" t="s">
        <v>230</v>
      </c>
      <c r="P44" s="148">
        <f t="shared" si="37"/>
        <v>0.4</v>
      </c>
      <c r="Q44" s="282">
        <v>1</v>
      </c>
      <c r="R44" s="282">
        <v>0</v>
      </c>
      <c r="S44" s="282" t="str">
        <f t="shared" si="52"/>
        <v>Launch and Orbit</v>
      </c>
      <c r="T44" s="282" t="s">
        <v>13</v>
      </c>
      <c r="U44" s="303" t="s">
        <v>398</v>
      </c>
      <c r="V44" s="303" t="s">
        <v>31</v>
      </c>
      <c r="W44" s="303" t="s">
        <v>80</v>
      </c>
      <c r="X44" s="303" t="s">
        <v>401</v>
      </c>
      <c r="Y44" s="303" t="s">
        <v>332</v>
      </c>
      <c r="Z44" s="303" t="s">
        <v>400</v>
      </c>
      <c r="AA44" s="308">
        <v>2196138.3852966102</v>
      </c>
      <c r="AC44" s="289">
        <f t="shared" si="38"/>
        <v>7</v>
      </c>
      <c r="AD44" s="88" cm="1">
        <f t="array" ref="AD44">IF(AC44=0,0,INDEX(Summary!$S$4:$S$7,MATCH(AC44,Summary!$R$4:$R$7)+1))</f>
        <v>0.6</v>
      </c>
      <c r="AE44" s="88">
        <f>IFERROR(INDEX(Summary!$Y$4:$Y$6,MATCH('Input Data'!K44,Summary!$U$4:$U$6,0)),0)</f>
        <v>0.4</v>
      </c>
      <c r="AF44" s="88" t="b">
        <f t="shared" si="39"/>
        <v>1</v>
      </c>
      <c r="AG44" s="89">
        <f>IF(AF44,INDEX('IG Equity Share'!$B:$B,MATCH(YEAR(I44),'IG Equity Share'!$A:$A,0)),0)</f>
        <v>7.4999999999999997E-2</v>
      </c>
      <c r="AH44" s="383">
        <f>AJ44*AG44*_xlfn.XLOOKUP(I44,'S3123 Consortium Share'!$A$3:$A$5,'S3123 Consortium Share'!$F$3:$F$5,,-1)</f>
        <v>68629.324540519068</v>
      </c>
      <c r="AI44" s="14">
        <v>1</v>
      </c>
      <c r="AJ44" s="13">
        <f t="shared" si="40"/>
        <v>2196138.3852966102</v>
      </c>
      <c r="AK44" s="13">
        <f t="shared" si="41"/>
        <v>2196138.3852966102</v>
      </c>
      <c r="AL44" s="13" t="str">
        <f t="shared" si="3"/>
        <v>FIID</v>
      </c>
      <c r="AM44" s="52">
        <f t="shared" si="4"/>
        <v>2025</v>
      </c>
      <c r="AN44" s="4">
        <f>INDEX('[2]Input Data'!$AH:$AH,MATCH(A44,'[2]Input Data'!$A:$A,0),1)-AH44</f>
        <v>0</v>
      </c>
      <c r="AO44" s="13">
        <f t="shared" si="57"/>
        <v>0</v>
      </c>
      <c r="AP44" s="13">
        <f t="shared" si="57"/>
        <v>0</v>
      </c>
      <c r="AQ44" s="13">
        <f t="shared" si="57"/>
        <v>0</v>
      </c>
      <c r="AR44" s="13">
        <f t="shared" si="57"/>
        <v>0</v>
      </c>
      <c r="AS44" s="13">
        <f t="shared" si="57"/>
        <v>0</v>
      </c>
      <c r="AT44" s="13">
        <f t="shared" si="57"/>
        <v>0</v>
      </c>
      <c r="AU44" s="13">
        <f t="shared" si="57"/>
        <v>439227.67705932207</v>
      </c>
      <c r="AV44" s="13">
        <f t="shared" si="6"/>
        <v>0</v>
      </c>
      <c r="AW44" s="13"/>
      <c r="AX44" s="13"/>
      <c r="AY44" s="13">
        <f t="shared" si="42"/>
        <v>439227.67705932207</v>
      </c>
      <c r="AZ44" s="13">
        <f t="shared" si="58"/>
        <v>0</v>
      </c>
      <c r="BA44" s="74"/>
      <c r="BB44" s="25">
        <f t="shared" si="59"/>
        <v>1756910.7082372881</v>
      </c>
      <c r="BC44" s="13">
        <f t="shared" si="60"/>
        <v>0</v>
      </c>
      <c r="BD44" s="13" t="b">
        <f>AND(AF44,NOT(ISNUMBER(MATCH(G44,Table1[Excluded Spacecraft ID],0))))</f>
        <v>1</v>
      </c>
      <c r="BE44" s="13">
        <f>BD44*AK44*_xlfn.XLOOKUP(I44,Table2[Date From],Table2[Cession],"Error",-1)*_xlfn.XLOOKUP(I44,'S3123 Consortium Share'!$A$3:$A$5,'S3123 Consortium Share'!$F$3:$F$5,,-1)</f>
        <v>183011.53210805086</v>
      </c>
      <c r="BF44" s="13">
        <f t="shared" si="61"/>
        <v>1756910.7082372881</v>
      </c>
      <c r="BG44" s="89" cm="1">
        <f t="array" ref="BG44">IF(V44="FIBL",0,INDEX('IGR QS'!$A$1:$D$570,MATCH('Input Data'!V44&amp;'Input Data'!W44&amp;'Input Data'!AM44,'IGR QS'!A:A&amp;'IGR QS'!B:B&amp;'IGR QS'!C:C,0),4))</f>
        <v>0.85</v>
      </c>
      <c r="BH44" s="13">
        <f t="shared" si="62"/>
        <v>1493374.1020016947</v>
      </c>
      <c r="BI44" s="13">
        <f t="shared" si="63"/>
        <v>263536.60623559332</v>
      </c>
      <c r="BJ44" s="13">
        <f t="shared" si="7"/>
        <v>0</v>
      </c>
      <c r="BK44" s="13">
        <f t="shared" si="64"/>
        <v>1493374.1020016947</v>
      </c>
      <c r="BL44" s="13">
        <f t="shared" si="65"/>
        <v>263536.60623559332</v>
      </c>
      <c r="BM44" s="21"/>
      <c r="BN44" s="13">
        <f t="shared" si="8"/>
        <v>66471396.42403952</v>
      </c>
      <c r="BO44" s="13">
        <f t="shared" si="9"/>
        <v>49043091.716622137</v>
      </c>
      <c r="BP44" s="13">
        <f t="shared" si="10"/>
        <v>17428304.707417384</v>
      </c>
      <c r="BQ44" s="13">
        <f t="shared" si="11"/>
        <v>147803485.05865392</v>
      </c>
      <c r="BR44" s="13">
        <f t="shared" si="12"/>
        <v>53568720.370673373</v>
      </c>
      <c r="BT44" s="13">
        <f t="shared" si="13"/>
        <v>7958953.6734820129</v>
      </c>
      <c r="BU44" s="13">
        <f t="shared" si="14"/>
        <v>2365642.5283515682</v>
      </c>
      <c r="BV44" s="13">
        <f t="shared" si="15"/>
        <v>5593311.1451304462</v>
      </c>
      <c r="BW44" s="13">
        <f t="shared" si="16"/>
        <v>1989738.4183705035</v>
      </c>
      <c r="BX44" s="13"/>
      <c r="BY44" s="25">
        <f t="shared" si="17"/>
        <v>0</v>
      </c>
      <c r="BZ44" s="25">
        <f t="shared" si="18"/>
        <v>0</v>
      </c>
      <c r="CA44" s="25">
        <f t="shared" si="19"/>
        <v>0</v>
      </c>
      <c r="CB44" s="25">
        <f t="shared" si="20"/>
        <v>0</v>
      </c>
      <c r="CC44" s="25">
        <f t="shared" si="21"/>
        <v>0</v>
      </c>
      <c r="CD44" s="384">
        <f t="shared" si="22"/>
        <v>0</v>
      </c>
      <c r="CH44" s="7" t="str">
        <v>Astrium Limited - Stevenage (Part of EADS)</v>
      </c>
      <c r="CI44" s="25">
        <f t="shared" si="23"/>
        <v>26769687.790435389</v>
      </c>
      <c r="CJ44" s="25">
        <f t="shared" si="24"/>
        <v>26769687.790435389</v>
      </c>
      <c r="CK44" s="25">
        <f t="shared" si="24"/>
        <v>0</v>
      </c>
      <c r="CL44" s="25">
        <f t="shared" si="49"/>
        <v>0</v>
      </c>
      <c r="CM44" s="25">
        <f t="shared" si="50"/>
        <v>10707875.116174154</v>
      </c>
      <c r="CN44" s="25">
        <f t="shared" si="51"/>
        <v>0</v>
      </c>
      <c r="CR44" s="25">
        <f t="shared" si="25"/>
        <v>0</v>
      </c>
      <c r="CS44" s="25">
        <f t="shared" si="66"/>
        <v>0</v>
      </c>
      <c r="CT44" s="25">
        <f t="shared" si="66"/>
        <v>0</v>
      </c>
      <c r="CU44" s="25">
        <f t="shared" si="27"/>
        <v>0</v>
      </c>
      <c r="CV44" s="25">
        <f t="shared" si="28"/>
        <v>0</v>
      </c>
      <c r="CW44" s="25">
        <f t="shared" si="29"/>
        <v>0</v>
      </c>
      <c r="CY44" s="25">
        <f t="shared" si="30"/>
        <v>0</v>
      </c>
      <c r="CZ44" s="25">
        <f t="shared" si="31"/>
        <v>0</v>
      </c>
      <c r="DA44" s="25">
        <f t="shared" si="55"/>
        <v>0</v>
      </c>
      <c r="DB44" s="25">
        <f t="shared" si="33"/>
        <v>0</v>
      </c>
      <c r="DC44" s="25">
        <f t="shared" si="34"/>
        <v>0</v>
      </c>
      <c r="DD44" s="25">
        <f t="shared" si="35"/>
        <v>0</v>
      </c>
    </row>
    <row r="45" spans="1:108" x14ac:dyDescent="0.35">
      <c r="A45" s="282" t="str">
        <f t="shared" si="36"/>
        <v>334331_3</v>
      </c>
      <c r="B45" s="303">
        <v>334331</v>
      </c>
      <c r="C45" s="303">
        <v>3</v>
      </c>
      <c r="D45" s="319" t="str">
        <f>IFERROR(MATCH(C45,'[4]Custom Earning Pattern Not Popu'!$B$5:$B$428,0),"NA")</f>
        <v>NA</v>
      </c>
      <c r="E45" s="303" t="s">
        <v>397</v>
      </c>
      <c r="F45" s="303">
        <v>15</v>
      </c>
      <c r="G45" s="303">
        <v>13881</v>
      </c>
      <c r="H45" s="306">
        <v>45864</v>
      </c>
      <c r="I45" s="306">
        <v>45692</v>
      </c>
      <c r="J45" s="306">
        <v>46387</v>
      </c>
      <c r="K45" s="303" t="s">
        <v>16</v>
      </c>
      <c r="L45" s="306">
        <v>45864</v>
      </c>
      <c r="M45" s="306">
        <v>46320</v>
      </c>
      <c r="N45" s="303" t="s">
        <v>230</v>
      </c>
      <c r="O45" s="303" t="s">
        <v>230</v>
      </c>
      <c r="P45" s="148">
        <f t="shared" si="37"/>
        <v>0.4</v>
      </c>
      <c r="Q45" s="282">
        <v>1</v>
      </c>
      <c r="R45" s="282">
        <v>0</v>
      </c>
      <c r="S45" s="282" t="str">
        <f t="shared" si="52"/>
        <v>Launch and Orbit</v>
      </c>
      <c r="T45" s="282" t="s">
        <v>13</v>
      </c>
      <c r="U45" s="303" t="s">
        <v>398</v>
      </c>
      <c r="V45" s="303" t="s">
        <v>31</v>
      </c>
      <c r="W45" s="303" t="s">
        <v>80</v>
      </c>
      <c r="X45" s="303" t="s">
        <v>402</v>
      </c>
      <c r="Y45" s="303" t="s">
        <v>332</v>
      </c>
      <c r="Z45" s="303" t="s">
        <v>400</v>
      </c>
      <c r="AA45" s="308">
        <v>2196138.3852966102</v>
      </c>
      <c r="AC45" s="289">
        <f t="shared" si="38"/>
        <v>7</v>
      </c>
      <c r="AD45" s="88" cm="1">
        <f t="array" ref="AD45">IF(AC45=0,0,INDEX(Summary!$S$4:$S$7,MATCH(AC45,Summary!$R$4:$R$7)+1))</f>
        <v>0.6</v>
      </c>
      <c r="AE45" s="88">
        <f>IFERROR(INDEX(Summary!$Y$4:$Y$6,MATCH('Input Data'!K45,Summary!$U$4:$U$6,0)),0)</f>
        <v>0.4</v>
      </c>
      <c r="AF45" s="88" t="b">
        <f t="shared" si="39"/>
        <v>1</v>
      </c>
      <c r="AG45" s="89">
        <f>IF(AF45,INDEX('IG Equity Share'!$B:$B,MATCH(YEAR(I45),'IG Equity Share'!$A:$A,0)),0)</f>
        <v>7.4999999999999997E-2</v>
      </c>
      <c r="AH45" s="383">
        <f>AJ45*AG45*_xlfn.XLOOKUP(I45,'S3123 Consortium Share'!$A$3:$A$5,'S3123 Consortium Share'!$F$3:$F$5,,-1)</f>
        <v>68629.324540519068</v>
      </c>
      <c r="AI45" s="14">
        <v>1</v>
      </c>
      <c r="AJ45" s="13">
        <f t="shared" si="40"/>
        <v>2196138.3852966102</v>
      </c>
      <c r="AK45" s="13">
        <f t="shared" si="41"/>
        <v>2196138.3852966102</v>
      </c>
      <c r="AL45" s="13" t="str">
        <f t="shared" si="3"/>
        <v>FIID</v>
      </c>
      <c r="AM45" s="52">
        <f t="shared" si="4"/>
        <v>2025</v>
      </c>
      <c r="AN45" s="4">
        <f>INDEX('[2]Input Data'!$AH:$AH,MATCH(A45,'[2]Input Data'!$A:$A,0),1)-AH45</f>
        <v>0</v>
      </c>
      <c r="AO45" s="13">
        <f t="shared" si="57"/>
        <v>0</v>
      </c>
      <c r="AP45" s="13">
        <f t="shared" si="57"/>
        <v>0</v>
      </c>
      <c r="AQ45" s="13">
        <f t="shared" si="57"/>
        <v>0</v>
      </c>
      <c r="AR45" s="13">
        <f t="shared" si="57"/>
        <v>0</v>
      </c>
      <c r="AS45" s="13">
        <f t="shared" si="57"/>
        <v>0</v>
      </c>
      <c r="AT45" s="13">
        <f t="shared" si="57"/>
        <v>0</v>
      </c>
      <c r="AU45" s="13">
        <f t="shared" si="57"/>
        <v>439227.67705932207</v>
      </c>
      <c r="AV45" s="13">
        <f t="shared" si="6"/>
        <v>0</v>
      </c>
      <c r="AW45" s="13"/>
      <c r="AX45" s="13"/>
      <c r="AY45" s="13">
        <f t="shared" si="42"/>
        <v>439227.67705932207</v>
      </c>
      <c r="AZ45" s="13">
        <f t="shared" si="58"/>
        <v>0</v>
      </c>
      <c r="BA45" s="74"/>
      <c r="BB45" s="25">
        <f t="shared" si="59"/>
        <v>1756910.7082372881</v>
      </c>
      <c r="BC45" s="13">
        <f t="shared" si="60"/>
        <v>0</v>
      </c>
      <c r="BD45" s="13" t="b">
        <f>AND(AF45,NOT(ISNUMBER(MATCH(G45,Table1[Excluded Spacecraft ID],0))))</f>
        <v>1</v>
      </c>
      <c r="BE45" s="13">
        <f>BD45*AK45*_xlfn.XLOOKUP(I45,Table2[Date From],Table2[Cession],"Error",-1)*_xlfn.XLOOKUP(I45,'S3123 Consortium Share'!$A$3:$A$5,'S3123 Consortium Share'!$F$3:$F$5,,-1)</f>
        <v>183011.53210805086</v>
      </c>
      <c r="BF45" s="13">
        <f t="shared" si="61"/>
        <v>1756910.7082372881</v>
      </c>
      <c r="BG45" s="89" cm="1">
        <f t="array" ref="BG45">IF(V45="FIBL",0,INDEX('IGR QS'!$A$1:$D$570,MATCH('Input Data'!V45&amp;'Input Data'!W45&amp;'Input Data'!AM45,'IGR QS'!A:A&amp;'IGR QS'!B:B&amp;'IGR QS'!C:C,0),4))</f>
        <v>0.85</v>
      </c>
      <c r="BH45" s="13">
        <f t="shared" si="62"/>
        <v>1493374.1020016947</v>
      </c>
      <c r="BI45" s="13">
        <f t="shared" si="63"/>
        <v>263536.60623559332</v>
      </c>
      <c r="BJ45" s="13">
        <f t="shared" si="7"/>
        <v>0</v>
      </c>
      <c r="BK45" s="13">
        <f t="shared" si="64"/>
        <v>1493374.1020016947</v>
      </c>
      <c r="BL45" s="13">
        <f t="shared" si="65"/>
        <v>263536.60623559332</v>
      </c>
      <c r="BM45" s="21"/>
      <c r="BN45" s="13">
        <f t="shared" si="8"/>
        <v>66471396.42403952</v>
      </c>
      <c r="BO45" s="13">
        <f t="shared" si="9"/>
        <v>49043091.716622137</v>
      </c>
      <c r="BP45" s="13">
        <f t="shared" si="10"/>
        <v>17428304.707417384</v>
      </c>
      <c r="BQ45" s="13">
        <f t="shared" si="11"/>
        <v>147803485.05865392</v>
      </c>
      <c r="BR45" s="13">
        <f t="shared" si="12"/>
        <v>53568720.370673373</v>
      </c>
      <c r="BT45" s="13">
        <f t="shared" si="13"/>
        <v>14303554.350748904</v>
      </c>
      <c r="BU45" s="13">
        <f t="shared" si="14"/>
        <v>5429275.3728778558</v>
      </c>
      <c r="BV45" s="13">
        <f t="shared" si="15"/>
        <v>8874278.9778710492</v>
      </c>
      <c r="BW45" s="13">
        <f t="shared" si="16"/>
        <v>3575888.587687226</v>
      </c>
      <c r="BX45" s="13"/>
      <c r="BY45" s="25">
        <f t="shared" si="17"/>
        <v>0</v>
      </c>
      <c r="BZ45" s="25">
        <f t="shared" si="18"/>
        <v>0</v>
      </c>
      <c r="CA45" s="25">
        <f t="shared" si="19"/>
        <v>0</v>
      </c>
      <c r="CB45" s="25">
        <f t="shared" si="20"/>
        <v>0</v>
      </c>
      <c r="CC45" s="25">
        <f t="shared" si="21"/>
        <v>0</v>
      </c>
      <c r="CD45" s="384">
        <f t="shared" si="22"/>
        <v>0</v>
      </c>
      <c r="CH45" s="7" t="str">
        <v>ITS - Institute of Telecommunication Satellites (Part of CAST)</v>
      </c>
      <c r="CI45" s="25">
        <f t="shared" si="23"/>
        <v>3092783.5</v>
      </c>
      <c r="CJ45" s="25">
        <f t="shared" si="24"/>
        <v>3092783.5</v>
      </c>
      <c r="CK45" s="25">
        <f t="shared" si="24"/>
        <v>0</v>
      </c>
      <c r="CL45" s="25">
        <f t="shared" si="49"/>
        <v>0</v>
      </c>
      <c r="CM45" s="25">
        <f t="shared" si="50"/>
        <v>1237113.3999999999</v>
      </c>
      <c r="CN45" s="25">
        <f t="shared" si="51"/>
        <v>0</v>
      </c>
      <c r="CR45" s="25">
        <f t="shared" si="25"/>
        <v>0</v>
      </c>
      <c r="CS45" s="25">
        <f t="shared" si="66"/>
        <v>0</v>
      </c>
      <c r="CT45" s="25">
        <f t="shared" si="66"/>
        <v>0</v>
      </c>
      <c r="CU45" s="25">
        <f t="shared" si="27"/>
        <v>0</v>
      </c>
      <c r="CV45" s="25">
        <f t="shared" si="28"/>
        <v>0</v>
      </c>
      <c r="CW45" s="25">
        <f t="shared" si="29"/>
        <v>0</v>
      </c>
      <c r="CY45" s="25">
        <f t="shared" si="30"/>
        <v>0</v>
      </c>
      <c r="CZ45" s="25">
        <f t="shared" si="31"/>
        <v>0</v>
      </c>
      <c r="DA45" s="25">
        <f t="shared" si="55"/>
        <v>0</v>
      </c>
      <c r="DB45" s="25">
        <f t="shared" si="33"/>
        <v>0</v>
      </c>
      <c r="DC45" s="25">
        <f t="shared" si="34"/>
        <v>0</v>
      </c>
      <c r="DD45" s="25">
        <f t="shared" si="35"/>
        <v>0</v>
      </c>
    </row>
    <row r="46" spans="1:108" x14ac:dyDescent="0.35">
      <c r="A46" s="282" t="str">
        <f t="shared" si="36"/>
        <v>334331_4</v>
      </c>
      <c r="B46" s="303">
        <v>334331</v>
      </c>
      <c r="C46" s="303">
        <v>4</v>
      </c>
      <c r="D46" s="319" t="str">
        <f>IFERROR(MATCH(C46,'[4]Custom Earning Pattern Not Popu'!$B$5:$B$428,0),"NA")</f>
        <v>NA</v>
      </c>
      <c r="E46" s="303" t="s">
        <v>397</v>
      </c>
      <c r="F46" s="303">
        <v>15</v>
      </c>
      <c r="G46" s="303">
        <v>13882</v>
      </c>
      <c r="H46" s="306">
        <v>45864</v>
      </c>
      <c r="I46" s="306">
        <v>45692</v>
      </c>
      <c r="J46" s="306">
        <v>46387</v>
      </c>
      <c r="K46" s="303" t="s">
        <v>16</v>
      </c>
      <c r="L46" s="306">
        <v>45864</v>
      </c>
      <c r="M46" s="306">
        <v>46320</v>
      </c>
      <c r="N46" s="303" t="s">
        <v>230</v>
      </c>
      <c r="O46" s="303" t="s">
        <v>230</v>
      </c>
      <c r="P46" s="148">
        <f t="shared" si="37"/>
        <v>0.4</v>
      </c>
      <c r="Q46" s="282">
        <v>1</v>
      </c>
      <c r="R46" s="282">
        <v>0</v>
      </c>
      <c r="S46" s="282" t="str">
        <f t="shared" si="52"/>
        <v>Launch and Orbit</v>
      </c>
      <c r="T46" s="282" t="s">
        <v>13</v>
      </c>
      <c r="U46" s="303" t="s">
        <v>398</v>
      </c>
      <c r="V46" s="303" t="s">
        <v>31</v>
      </c>
      <c r="W46" s="303" t="s">
        <v>80</v>
      </c>
      <c r="X46" s="303" t="s">
        <v>403</v>
      </c>
      <c r="Y46" s="303" t="s">
        <v>332</v>
      </c>
      <c r="Z46" s="303" t="s">
        <v>400</v>
      </c>
      <c r="AA46" s="308">
        <v>2196138.3852966102</v>
      </c>
      <c r="AC46" s="289">
        <f t="shared" si="38"/>
        <v>7</v>
      </c>
      <c r="AD46" s="88" cm="1">
        <f t="array" ref="AD46">IF(AC46=0,0,INDEX(Summary!$S$4:$S$7,MATCH(AC46,Summary!$R$4:$R$7)+1))</f>
        <v>0.6</v>
      </c>
      <c r="AE46" s="88">
        <f>IFERROR(INDEX(Summary!$Y$4:$Y$6,MATCH('Input Data'!K46,Summary!$U$4:$U$6,0)),0)</f>
        <v>0.4</v>
      </c>
      <c r="AF46" s="88" t="b">
        <f t="shared" si="39"/>
        <v>1</v>
      </c>
      <c r="AG46" s="89">
        <f>IF(AF46,INDEX('IG Equity Share'!$B:$B,MATCH(YEAR(I46),'IG Equity Share'!$A:$A,0)),0)</f>
        <v>7.4999999999999997E-2</v>
      </c>
      <c r="AH46" s="383">
        <f>AJ46*AG46*_xlfn.XLOOKUP(I46,'S3123 Consortium Share'!$A$3:$A$5,'S3123 Consortium Share'!$F$3:$F$5,,-1)</f>
        <v>68629.324540519068</v>
      </c>
      <c r="AI46" s="14">
        <v>1</v>
      </c>
      <c r="AJ46" s="13">
        <f t="shared" si="40"/>
        <v>2196138.3852966102</v>
      </c>
      <c r="AK46" s="13">
        <f t="shared" si="41"/>
        <v>2196138.3852966102</v>
      </c>
      <c r="AL46" s="13" t="str">
        <f t="shared" si="3"/>
        <v>FIID</v>
      </c>
      <c r="AM46" s="52">
        <f t="shared" si="4"/>
        <v>2025</v>
      </c>
      <c r="AN46" s="4">
        <f>INDEX('[2]Input Data'!$AH:$AH,MATCH(A46,'[2]Input Data'!$A:$A,0),1)-AH46</f>
        <v>0</v>
      </c>
      <c r="AO46" s="13">
        <f t="shared" si="57"/>
        <v>0</v>
      </c>
      <c r="AP46" s="13">
        <f t="shared" si="57"/>
        <v>0</v>
      </c>
      <c r="AQ46" s="13">
        <f t="shared" si="57"/>
        <v>0</v>
      </c>
      <c r="AR46" s="13">
        <f t="shared" si="57"/>
        <v>0</v>
      </c>
      <c r="AS46" s="13">
        <f t="shared" si="57"/>
        <v>0</v>
      </c>
      <c r="AT46" s="13">
        <f t="shared" si="57"/>
        <v>0</v>
      </c>
      <c r="AU46" s="13">
        <f t="shared" si="57"/>
        <v>439227.67705932207</v>
      </c>
      <c r="AV46" s="13">
        <f t="shared" si="6"/>
        <v>0</v>
      </c>
      <c r="AW46" s="13"/>
      <c r="AX46" s="13"/>
      <c r="AY46" s="13">
        <f t="shared" si="42"/>
        <v>439227.67705932207</v>
      </c>
      <c r="AZ46" s="13">
        <f t="shared" si="58"/>
        <v>0</v>
      </c>
      <c r="BA46" s="74"/>
      <c r="BB46" s="25">
        <f t="shared" si="59"/>
        <v>1756910.7082372881</v>
      </c>
      <c r="BC46" s="13">
        <f t="shared" si="60"/>
        <v>0</v>
      </c>
      <c r="BD46" s="13" t="b">
        <f>AND(AF46,NOT(ISNUMBER(MATCH(G46,Table1[Excluded Spacecraft ID],0))))</f>
        <v>1</v>
      </c>
      <c r="BE46" s="13">
        <f>BD46*AK46*_xlfn.XLOOKUP(I46,Table2[Date From],Table2[Cession],"Error",-1)*_xlfn.XLOOKUP(I46,'S3123 Consortium Share'!$A$3:$A$5,'S3123 Consortium Share'!$F$3:$F$5,,-1)</f>
        <v>183011.53210805086</v>
      </c>
      <c r="BF46" s="13">
        <f t="shared" si="61"/>
        <v>1756910.7082372881</v>
      </c>
      <c r="BG46" s="89" cm="1">
        <f t="array" ref="BG46">IF(V46="FIBL",0,INDEX('IGR QS'!$A$1:$D$570,MATCH('Input Data'!V46&amp;'Input Data'!W46&amp;'Input Data'!AM46,'IGR QS'!A:A&amp;'IGR QS'!B:B&amp;'IGR QS'!C:C,0),4))</f>
        <v>0.85</v>
      </c>
      <c r="BH46" s="13">
        <f t="shared" si="62"/>
        <v>1493374.1020016947</v>
      </c>
      <c r="BI46" s="13">
        <f t="shared" si="63"/>
        <v>263536.60623559332</v>
      </c>
      <c r="BJ46" s="13">
        <f t="shared" si="7"/>
        <v>0</v>
      </c>
      <c r="BK46" s="13">
        <f t="shared" si="64"/>
        <v>1493374.1020016947</v>
      </c>
      <c r="BL46" s="13">
        <f t="shared" si="65"/>
        <v>263536.60623559332</v>
      </c>
      <c r="BM46" s="21"/>
      <c r="BN46" s="13">
        <f t="shared" si="8"/>
        <v>66471396.42403952</v>
      </c>
      <c r="BO46" s="13">
        <f t="shared" si="9"/>
        <v>49043091.716622137</v>
      </c>
      <c r="BP46" s="13">
        <f t="shared" si="10"/>
        <v>17428304.707417384</v>
      </c>
      <c r="BQ46" s="13">
        <f t="shared" si="11"/>
        <v>147803485.05865392</v>
      </c>
      <c r="BR46" s="13">
        <f t="shared" si="12"/>
        <v>53568720.370673373</v>
      </c>
      <c r="BT46" s="13">
        <f t="shared" si="13"/>
        <v>15269337.018879766</v>
      </c>
      <c r="BU46" s="13">
        <f t="shared" si="14"/>
        <v>3749450.4740072717</v>
      </c>
      <c r="BV46" s="13">
        <f t="shared" si="15"/>
        <v>11519886.544872493</v>
      </c>
      <c r="BW46" s="13">
        <f t="shared" si="16"/>
        <v>3817334.2547199414</v>
      </c>
      <c r="BX46" s="13"/>
      <c r="BY46" s="25">
        <f t="shared" si="17"/>
        <v>0</v>
      </c>
      <c r="BZ46" s="25">
        <f t="shared" si="18"/>
        <v>0</v>
      </c>
      <c r="CA46" s="25">
        <f t="shared" si="19"/>
        <v>0</v>
      </c>
      <c r="CB46" s="25">
        <f t="shared" si="20"/>
        <v>0</v>
      </c>
      <c r="CC46" s="25">
        <f t="shared" si="21"/>
        <v>0</v>
      </c>
      <c r="CD46" s="384">
        <f t="shared" si="22"/>
        <v>0</v>
      </c>
      <c r="CH46" s="7" t="str">
        <v>U. R. Rao Satellite Centre (URSC)</v>
      </c>
      <c r="CI46" s="25">
        <f t="shared" si="23"/>
        <v>1352952</v>
      </c>
      <c r="CJ46" s="25">
        <f t="shared" si="24"/>
        <v>1352952</v>
      </c>
      <c r="CK46" s="25">
        <f t="shared" si="24"/>
        <v>0</v>
      </c>
      <c r="CL46" s="25">
        <f t="shared" si="49"/>
        <v>0</v>
      </c>
      <c r="CM46" s="25">
        <f t="shared" si="50"/>
        <v>541180.80000000005</v>
      </c>
      <c r="CN46" s="25">
        <f t="shared" si="51"/>
        <v>0</v>
      </c>
      <c r="CR46" s="25">
        <f t="shared" si="25"/>
        <v>0</v>
      </c>
      <c r="CS46" s="25">
        <f t="shared" si="66"/>
        <v>0</v>
      </c>
      <c r="CT46" s="25">
        <f t="shared" si="66"/>
        <v>0</v>
      </c>
      <c r="CU46" s="25">
        <f t="shared" si="27"/>
        <v>0</v>
      </c>
      <c r="CV46" s="25">
        <f t="shared" si="28"/>
        <v>0</v>
      </c>
      <c r="CW46" s="25">
        <f t="shared" si="29"/>
        <v>0</v>
      </c>
      <c r="CY46" s="25">
        <f t="shared" si="30"/>
        <v>0</v>
      </c>
      <c r="CZ46" s="25">
        <f t="shared" si="31"/>
        <v>0</v>
      </c>
      <c r="DA46" s="25">
        <f t="shared" si="55"/>
        <v>0</v>
      </c>
      <c r="DB46" s="25">
        <f t="shared" si="33"/>
        <v>0</v>
      </c>
      <c r="DC46" s="25">
        <f t="shared" si="34"/>
        <v>0</v>
      </c>
      <c r="DD46" s="25">
        <f t="shared" si="35"/>
        <v>0</v>
      </c>
    </row>
    <row r="47" spans="1:108" x14ac:dyDescent="0.35">
      <c r="A47" s="282" t="str">
        <f t="shared" si="36"/>
        <v>351444_1</v>
      </c>
      <c r="B47" s="303">
        <v>351444</v>
      </c>
      <c r="C47" s="303">
        <v>1</v>
      </c>
      <c r="D47" s="319" t="str">
        <f>IFERROR(MATCH(C47,'[4]Custom Earning Pattern Not Popu'!$B$5:$B$428,0),"NA")</f>
        <v>NA</v>
      </c>
      <c r="E47" s="303" t="s">
        <v>228</v>
      </c>
      <c r="F47" s="303">
        <v>12</v>
      </c>
      <c r="G47" s="303">
        <v>5883</v>
      </c>
      <c r="H47" s="306">
        <v>41515</v>
      </c>
      <c r="I47" s="306">
        <v>45921</v>
      </c>
      <c r="J47" s="306">
        <v>46285</v>
      </c>
      <c r="K47" s="303" t="s">
        <v>113</v>
      </c>
      <c r="L47" s="306">
        <v>45921</v>
      </c>
      <c r="M47" s="306">
        <v>46285</v>
      </c>
      <c r="N47" s="303" t="s">
        <v>18</v>
      </c>
      <c r="O47" s="303" t="s">
        <v>18</v>
      </c>
      <c r="P47" s="148">
        <f t="shared" si="37"/>
        <v>0.2</v>
      </c>
      <c r="Q47" s="282">
        <v>1</v>
      </c>
      <c r="R47" s="282">
        <v>0</v>
      </c>
      <c r="S47" s="282" t="str">
        <f t="shared" si="52"/>
        <v>In-Orbit</v>
      </c>
      <c r="T47" s="282" t="s">
        <v>13</v>
      </c>
      <c r="U47" s="303" t="s">
        <v>423</v>
      </c>
      <c r="V47" s="303" t="s">
        <v>29</v>
      </c>
      <c r="W47" s="303" t="s">
        <v>78</v>
      </c>
      <c r="X47" s="303" t="s">
        <v>424</v>
      </c>
      <c r="Y47" s="303" t="s">
        <v>325</v>
      </c>
      <c r="Z47" s="303" t="s">
        <v>337</v>
      </c>
      <c r="AA47" s="308">
        <v>6358762.8759999899</v>
      </c>
      <c r="AC47" s="289">
        <f t="shared" si="38"/>
        <v>0</v>
      </c>
      <c r="AD47" s="88" cm="1">
        <f t="array" ref="AD47">IF(AC47=0,0,INDEX(Summary!$S$4:$S$7,MATCH(AC47,Summary!$R$4:$R$7)+1))</f>
        <v>0</v>
      </c>
      <c r="AE47" s="88">
        <f>IFERROR(INDEX(Summary!$Y$4:$Y$6,MATCH('Input Data'!K47,Summary!$U$4:$U$6,0)),0)</f>
        <v>0.05</v>
      </c>
      <c r="AF47" s="88" t="b">
        <f t="shared" si="39"/>
        <v>1</v>
      </c>
      <c r="AG47" s="89">
        <f>IF(AF47,INDEX('IG Equity Share'!$B:$B,MATCH(YEAR(I47),'IG Equity Share'!$A:$A,0)),0)</f>
        <v>7.4999999999999997E-2</v>
      </c>
      <c r="AH47" s="383">
        <f>AJ47*AG47*_xlfn.XLOOKUP(I47,'S3123 Consortium Share'!$A$3:$A$5,'S3123 Consortium Share'!$F$3:$F$5,,-1)</f>
        <v>198711.33987499968</v>
      </c>
      <c r="AI47" s="14">
        <v>1</v>
      </c>
      <c r="AJ47" s="13">
        <f t="shared" si="40"/>
        <v>6358762.8759999899</v>
      </c>
      <c r="AK47" s="13">
        <f t="shared" si="41"/>
        <v>6358762.8759999899</v>
      </c>
      <c r="AL47" s="13" t="str">
        <f t="shared" si="3"/>
        <v>FUL</v>
      </c>
      <c r="AM47" s="52">
        <f t="shared" si="4"/>
        <v>2025</v>
      </c>
      <c r="AN47" s="4"/>
      <c r="AO47" s="13">
        <f t="shared" si="57"/>
        <v>0</v>
      </c>
      <c r="AP47" s="13">
        <f t="shared" si="57"/>
        <v>0</v>
      </c>
      <c r="AQ47" s="13">
        <f t="shared" si="57"/>
        <v>0</v>
      </c>
      <c r="AR47" s="13">
        <f t="shared" si="57"/>
        <v>0</v>
      </c>
      <c r="AS47" s="13">
        <f t="shared" si="57"/>
        <v>0</v>
      </c>
      <c r="AT47" s="13">
        <f t="shared" si="57"/>
        <v>0</v>
      </c>
      <c r="AU47" s="13">
        <f t="shared" si="57"/>
        <v>1271752.575199998</v>
      </c>
      <c r="AV47" s="13">
        <f t="shared" si="6"/>
        <v>0</v>
      </c>
      <c r="AW47" s="13"/>
      <c r="AX47" s="13"/>
      <c r="AY47" s="13">
        <f t="shared" si="42"/>
        <v>1271752.575199998</v>
      </c>
      <c r="AZ47" s="13">
        <f t="shared" si="58"/>
        <v>0</v>
      </c>
      <c r="BA47" s="74"/>
      <c r="BB47" s="25">
        <f t="shared" si="59"/>
        <v>5087010.3007999919</v>
      </c>
      <c r="BC47" s="13">
        <f t="shared" si="60"/>
        <v>0</v>
      </c>
      <c r="BD47" s="13" t="b">
        <f>AND(AF47,NOT(ISNUMBER(MATCH(G47,Table1[Excluded Spacecraft ID],0))))</f>
        <v>1</v>
      </c>
      <c r="BE47" s="13">
        <f>BD47*AK47*_xlfn.XLOOKUP(I47,Table2[Date From],Table2[Cession],"Error",-1)*_xlfn.XLOOKUP(I47,'S3123 Consortium Share'!$A$3:$A$5,'S3123 Consortium Share'!$F$3:$F$5,,-1)</f>
        <v>529896.90633333253</v>
      </c>
      <c r="BF47" s="13">
        <f t="shared" si="61"/>
        <v>5087010.3007999919</v>
      </c>
      <c r="BG47" s="89" cm="1">
        <f t="array" ref="BG47">IF(V47="FIBL",0,INDEX('IGR QS'!$A$1:$D$570,MATCH('Input Data'!V47&amp;'Input Data'!W47&amp;'Input Data'!AM47,'IGR QS'!A:A&amp;'IGR QS'!B:B&amp;'IGR QS'!C:C,0),4))</f>
        <v>0.5</v>
      </c>
      <c r="BH47" s="13">
        <f t="shared" si="62"/>
        <v>2543505.150399996</v>
      </c>
      <c r="BI47" s="13">
        <f t="shared" si="63"/>
        <v>2543505.150399996</v>
      </c>
      <c r="BJ47" s="13">
        <f t="shared" si="7"/>
        <v>0</v>
      </c>
      <c r="BK47" s="13">
        <f t="shared" si="64"/>
        <v>2543505.150399996</v>
      </c>
      <c r="BL47" s="13">
        <f t="shared" si="65"/>
        <v>2543505.150399996</v>
      </c>
      <c r="BM47" s="21"/>
      <c r="BN47" s="13">
        <f t="shared" si="8"/>
        <v>14120404.593972594</v>
      </c>
      <c r="BO47" s="13">
        <f t="shared" si="9"/>
        <v>12318061.835139982</v>
      </c>
      <c r="BP47" s="13">
        <f t="shared" si="10"/>
        <v>1802342.7588326111</v>
      </c>
      <c r="BQ47" s="13">
        <f t="shared" si="11"/>
        <v>22531337.46852478</v>
      </c>
      <c r="BR47" s="13">
        <f t="shared" si="12"/>
        <v>9162935.5156243462</v>
      </c>
      <c r="BT47" s="13">
        <f t="shared" si="13"/>
        <v>42889946.503245682</v>
      </c>
      <c r="BU47" s="13">
        <f t="shared" si="14"/>
        <v>15281915.425095754</v>
      </c>
      <c r="BV47" s="13">
        <f t="shared" si="15"/>
        <v>27608031.078149922</v>
      </c>
      <c r="BW47" s="13">
        <f t="shared" si="16"/>
        <v>10722486.62581142</v>
      </c>
      <c r="BX47" s="13"/>
      <c r="BY47" s="25">
        <f t="shared" si="17"/>
        <v>317938.1437999995</v>
      </c>
      <c r="BZ47" s="25">
        <f t="shared" si="18"/>
        <v>317938.1437999995</v>
      </c>
      <c r="CA47" s="25">
        <f t="shared" si="19"/>
        <v>0</v>
      </c>
      <c r="CB47" s="25">
        <f t="shared" si="20"/>
        <v>0</v>
      </c>
      <c r="CC47" s="25">
        <f t="shared" si="21"/>
        <v>158969.07189999975</v>
      </c>
      <c r="CD47" s="384">
        <f t="shared" si="22"/>
        <v>0</v>
      </c>
      <c r="CH47" t="str">
        <v>Astranis</v>
      </c>
      <c r="CR47" s="25">
        <f t="shared" si="25"/>
        <v>635876.28759999899</v>
      </c>
      <c r="CS47" s="25">
        <f t="shared" si="66"/>
        <v>635876.28759999899</v>
      </c>
      <c r="CT47" s="25">
        <f t="shared" si="66"/>
        <v>0</v>
      </c>
      <c r="CU47" s="25">
        <f t="shared" si="27"/>
        <v>0</v>
      </c>
      <c r="CV47" s="25">
        <f t="shared" si="28"/>
        <v>317938.1437999995</v>
      </c>
      <c r="CW47" s="25">
        <f t="shared" si="29"/>
        <v>0</v>
      </c>
      <c r="CY47" s="25">
        <f t="shared" si="30"/>
        <v>317938.1437999995</v>
      </c>
      <c r="CZ47" s="25">
        <f t="shared" si="31"/>
        <v>317938.1437999995</v>
      </c>
      <c r="DA47" s="25">
        <f t="shared" si="55"/>
        <v>0</v>
      </c>
      <c r="DB47" s="25">
        <f t="shared" si="33"/>
        <v>0</v>
      </c>
      <c r="DC47" s="25">
        <f t="shared" si="34"/>
        <v>158969.07189999975</v>
      </c>
      <c r="DD47" s="25">
        <f t="shared" si="35"/>
        <v>0</v>
      </c>
    </row>
    <row r="48" spans="1:108" x14ac:dyDescent="0.35">
      <c r="A48" s="282" t="str">
        <f t="shared" si="36"/>
        <v>351444_2</v>
      </c>
      <c r="B48" s="303">
        <v>351444</v>
      </c>
      <c r="C48" s="303">
        <v>2</v>
      </c>
      <c r="D48" s="319" t="str">
        <f>IFERROR(MATCH(C48,'[4]Custom Earning Pattern Not Popu'!$B$5:$B$428,0),"NA")</f>
        <v>NA</v>
      </c>
      <c r="E48" s="303" t="s">
        <v>228</v>
      </c>
      <c r="F48" s="303">
        <v>12</v>
      </c>
      <c r="G48" s="303">
        <v>9266</v>
      </c>
      <c r="H48" s="306">
        <v>43368</v>
      </c>
      <c r="I48" s="306">
        <v>45921</v>
      </c>
      <c r="J48" s="306">
        <v>46285</v>
      </c>
      <c r="K48" s="303" t="s">
        <v>113</v>
      </c>
      <c r="L48" s="306">
        <v>45921</v>
      </c>
      <c r="M48" s="306">
        <v>46285</v>
      </c>
      <c r="N48" s="303" t="s">
        <v>18</v>
      </c>
      <c r="O48" s="303" t="s">
        <v>18</v>
      </c>
      <c r="P48" s="148">
        <f t="shared" si="37"/>
        <v>0.2</v>
      </c>
      <c r="Q48" s="282">
        <v>1</v>
      </c>
      <c r="R48" s="282">
        <v>0</v>
      </c>
      <c r="S48" s="282" t="str">
        <f t="shared" si="52"/>
        <v>In-Orbit</v>
      </c>
      <c r="T48" s="282" t="s">
        <v>13</v>
      </c>
      <c r="U48" s="303" t="s">
        <v>423</v>
      </c>
      <c r="V48" s="303" t="s">
        <v>29</v>
      </c>
      <c r="W48" s="303" t="s">
        <v>78</v>
      </c>
      <c r="X48" s="303" t="s">
        <v>425</v>
      </c>
      <c r="Y48" s="303" t="s">
        <v>325</v>
      </c>
      <c r="Z48" s="303" t="s">
        <v>337</v>
      </c>
      <c r="AA48" s="308">
        <v>4082474.21999999</v>
      </c>
      <c r="AC48" s="289">
        <f t="shared" si="38"/>
        <v>0</v>
      </c>
      <c r="AD48" s="88" cm="1">
        <f t="array" ref="AD48">IF(AC48=0,0,INDEX(Summary!$S$4:$S$7,MATCH(AC48,Summary!$R$4:$R$7)+1))</f>
        <v>0</v>
      </c>
      <c r="AE48" s="88">
        <f>IFERROR(INDEX(Summary!$Y$4:$Y$6,MATCH('Input Data'!K48,Summary!$U$4:$U$6,0)),0)</f>
        <v>0.05</v>
      </c>
      <c r="AF48" s="88" t="b">
        <f t="shared" si="39"/>
        <v>1</v>
      </c>
      <c r="AG48" s="89">
        <f>IF(AF48,INDEX('IG Equity Share'!$B:$B,MATCH(YEAR(I48),'IG Equity Share'!$A:$A,0)),0)</f>
        <v>7.4999999999999997E-2</v>
      </c>
      <c r="AH48" s="383">
        <f>AJ48*AG48*_xlfn.XLOOKUP(I48,'S3123 Consortium Share'!$A$3:$A$5,'S3123 Consortium Share'!$F$3:$F$5,,-1)</f>
        <v>127577.3193749997</v>
      </c>
      <c r="AI48" s="14">
        <v>1</v>
      </c>
      <c r="AJ48" s="13">
        <f t="shared" si="40"/>
        <v>4082474.21999999</v>
      </c>
      <c r="AK48" s="13">
        <f t="shared" si="41"/>
        <v>4082474.21999999</v>
      </c>
      <c r="AL48" s="13" t="str">
        <f t="shared" si="3"/>
        <v>FUL</v>
      </c>
      <c r="AM48" s="52">
        <f t="shared" si="4"/>
        <v>2025</v>
      </c>
      <c r="AN48" s="4">
        <f>INDEX('[2]Input Data'!$AH:$AH,MATCH(A48,'[2]Input Data'!$A:$A,0),1)-AH48</f>
        <v>0</v>
      </c>
      <c r="AO48" s="13">
        <f t="shared" si="57"/>
        <v>0</v>
      </c>
      <c r="AP48" s="13">
        <f t="shared" si="57"/>
        <v>0</v>
      </c>
      <c r="AQ48" s="13">
        <f t="shared" si="57"/>
        <v>0</v>
      </c>
      <c r="AR48" s="13">
        <f t="shared" si="57"/>
        <v>0</v>
      </c>
      <c r="AS48" s="13">
        <f t="shared" si="57"/>
        <v>0</v>
      </c>
      <c r="AT48" s="13">
        <f t="shared" si="57"/>
        <v>0</v>
      </c>
      <c r="AU48" s="13">
        <f t="shared" si="57"/>
        <v>816494.84399999806</v>
      </c>
      <c r="AV48" s="13">
        <f t="shared" si="6"/>
        <v>0</v>
      </c>
      <c r="AW48" s="13"/>
      <c r="AX48" s="13"/>
      <c r="AY48" s="13">
        <f t="shared" si="42"/>
        <v>816494.84399999806</v>
      </c>
      <c r="AZ48" s="13">
        <f t="shared" si="58"/>
        <v>0</v>
      </c>
      <c r="BA48" s="74"/>
      <c r="BB48" s="25">
        <f t="shared" si="59"/>
        <v>3265979.3759999918</v>
      </c>
      <c r="BC48" s="13">
        <f t="shared" si="60"/>
        <v>0</v>
      </c>
      <c r="BD48" s="13" t="b">
        <f>AND(AF48,NOT(ISNUMBER(MATCH(G48,Table1[Excluded Spacecraft ID],0))))</f>
        <v>1</v>
      </c>
      <c r="BE48" s="13">
        <f>BD48*AK48*_xlfn.XLOOKUP(I48,Table2[Date From],Table2[Cession],"Error",-1)*_xlfn.XLOOKUP(I48,'S3123 Consortium Share'!$A$3:$A$5,'S3123 Consortium Share'!$F$3:$F$5,,-1)</f>
        <v>340206.18499999918</v>
      </c>
      <c r="BF48" s="13">
        <f t="shared" si="61"/>
        <v>3265979.3759999918</v>
      </c>
      <c r="BG48" s="89" cm="1">
        <f t="array" ref="BG48">IF(V48="FIBL",0,INDEX('IGR QS'!$A$1:$D$570,MATCH('Input Data'!V48&amp;'Input Data'!W48&amp;'Input Data'!AM48,'IGR QS'!A:A&amp;'IGR QS'!B:B&amp;'IGR QS'!C:C,0),4))</f>
        <v>0.5</v>
      </c>
      <c r="BH48" s="13">
        <f t="shared" si="62"/>
        <v>1632989.6879999959</v>
      </c>
      <c r="BI48" s="13">
        <f t="shared" si="63"/>
        <v>1632989.6879999959</v>
      </c>
      <c r="BJ48" s="13">
        <f t="shared" si="7"/>
        <v>0</v>
      </c>
      <c r="BK48" s="13">
        <f t="shared" si="64"/>
        <v>1632989.6879999959</v>
      </c>
      <c r="BL48" s="13">
        <f t="shared" si="65"/>
        <v>1632989.6879999959</v>
      </c>
      <c r="BM48" s="21"/>
      <c r="BN48" s="13">
        <f t="shared" si="8"/>
        <v>14120404.593972594</v>
      </c>
      <c r="BO48" s="13">
        <f t="shared" si="9"/>
        <v>12318061.835139982</v>
      </c>
      <c r="BP48" s="13">
        <f t="shared" si="10"/>
        <v>1802342.7588326111</v>
      </c>
      <c r="BQ48" s="13">
        <f t="shared" si="11"/>
        <v>22531337.46852478</v>
      </c>
      <c r="BR48" s="13">
        <f t="shared" si="12"/>
        <v>9162935.5156243462</v>
      </c>
      <c r="BT48" s="13">
        <f t="shared" si="13"/>
        <v>7958953.6734820129</v>
      </c>
      <c r="BU48" s="13">
        <f t="shared" si="14"/>
        <v>2365642.5283515682</v>
      </c>
      <c r="BV48" s="13">
        <f t="shared" si="15"/>
        <v>5593311.1451304462</v>
      </c>
      <c r="BW48" s="13">
        <f t="shared" si="16"/>
        <v>1989738.4183705035</v>
      </c>
      <c r="BX48" s="13"/>
      <c r="BY48" s="25">
        <f t="shared" si="17"/>
        <v>204123.71099999952</v>
      </c>
      <c r="BZ48" s="25">
        <f t="shared" si="18"/>
        <v>204123.71099999952</v>
      </c>
      <c r="CA48" s="25">
        <f t="shared" si="19"/>
        <v>0</v>
      </c>
      <c r="CB48" s="25">
        <f t="shared" si="20"/>
        <v>0</v>
      </c>
      <c r="CC48" s="25">
        <f t="shared" si="21"/>
        <v>102061.85549999976</v>
      </c>
      <c r="CD48" s="384">
        <f t="shared" si="22"/>
        <v>0</v>
      </c>
      <c r="CH48">
        <v>0</v>
      </c>
      <c r="CR48" s="25">
        <f t="shared" si="25"/>
        <v>408247.42199999903</v>
      </c>
      <c r="CS48" s="25">
        <f t="shared" si="66"/>
        <v>408247.42199999903</v>
      </c>
      <c r="CT48" s="25">
        <f t="shared" si="66"/>
        <v>0</v>
      </c>
      <c r="CU48" s="25">
        <f t="shared" si="27"/>
        <v>0</v>
      </c>
      <c r="CV48" s="25">
        <f t="shared" si="28"/>
        <v>204123.71099999952</v>
      </c>
      <c r="CW48" s="25">
        <f t="shared" si="29"/>
        <v>0</v>
      </c>
      <c r="CY48" s="25">
        <f t="shared" si="30"/>
        <v>204123.71099999952</v>
      </c>
      <c r="CZ48" s="25">
        <f t="shared" si="31"/>
        <v>204123.71099999952</v>
      </c>
      <c r="DA48" s="25">
        <f t="shared" si="55"/>
        <v>0</v>
      </c>
      <c r="DB48" s="25">
        <f t="shared" si="33"/>
        <v>0</v>
      </c>
      <c r="DC48" s="25">
        <f t="shared" si="34"/>
        <v>102061.85549999976</v>
      </c>
      <c r="DD48" s="25">
        <f t="shared" si="35"/>
        <v>0</v>
      </c>
    </row>
    <row r="49" spans="1:108" x14ac:dyDescent="0.35">
      <c r="A49" s="282" t="str">
        <f t="shared" si="36"/>
        <v>351444_3</v>
      </c>
      <c r="B49" s="303">
        <v>351444</v>
      </c>
      <c r="C49" s="303">
        <v>3</v>
      </c>
      <c r="D49" s="319" t="str">
        <f>IFERROR(MATCH(C49,'[4]Custom Earning Pattern Not Popu'!$B$5:$B$428,0),"NA")</f>
        <v>NA</v>
      </c>
      <c r="E49" s="303" t="s">
        <v>228</v>
      </c>
      <c r="F49" s="303">
        <v>12</v>
      </c>
      <c r="G49" s="303">
        <v>8834</v>
      </c>
      <c r="H49" s="306">
        <v>45141</v>
      </c>
      <c r="I49" s="306">
        <v>45921</v>
      </c>
      <c r="J49" s="306">
        <v>46285</v>
      </c>
      <c r="K49" s="303" t="s">
        <v>113</v>
      </c>
      <c r="L49" s="306">
        <v>45921</v>
      </c>
      <c r="M49" s="306">
        <v>46285</v>
      </c>
      <c r="N49" s="303" t="s">
        <v>18</v>
      </c>
      <c r="O49" s="303" t="s">
        <v>18</v>
      </c>
      <c r="P49" s="148">
        <f t="shared" si="37"/>
        <v>0.2</v>
      </c>
      <c r="Q49" s="282">
        <v>1</v>
      </c>
      <c r="R49" s="282">
        <v>0</v>
      </c>
      <c r="S49" s="282" t="str">
        <f t="shared" si="52"/>
        <v>In-Orbit</v>
      </c>
      <c r="T49" s="282" t="s">
        <v>13</v>
      </c>
      <c r="U49" s="303" t="s">
        <v>423</v>
      </c>
      <c r="V49" s="303" t="s">
        <v>29</v>
      </c>
      <c r="W49" s="303" t="s">
        <v>78</v>
      </c>
      <c r="X49" s="303" t="s">
        <v>426</v>
      </c>
      <c r="Y49" s="303" t="s">
        <v>325</v>
      </c>
      <c r="Z49" s="303" t="s">
        <v>338</v>
      </c>
      <c r="AA49" s="308">
        <v>6581443.2879999997</v>
      </c>
      <c r="AC49" s="289">
        <f t="shared" si="38"/>
        <v>0</v>
      </c>
      <c r="AD49" s="88" cm="1">
        <f t="array" ref="AD49">IF(AC49=0,0,INDEX(Summary!$S$4:$S$7,MATCH(AC49,Summary!$R$4:$R$7)+1))</f>
        <v>0</v>
      </c>
      <c r="AE49" s="88">
        <f>IFERROR(INDEX(Summary!$Y$4:$Y$6,MATCH('Input Data'!K49,Summary!$U$4:$U$6,0)),0)</f>
        <v>0.05</v>
      </c>
      <c r="AF49" s="88" t="b">
        <f t="shared" si="39"/>
        <v>1</v>
      </c>
      <c r="AG49" s="89">
        <f>IF(AF49,INDEX('IG Equity Share'!$B:$B,MATCH(YEAR(I49),'IG Equity Share'!$A:$A,0)),0)</f>
        <v>7.4999999999999997E-2</v>
      </c>
      <c r="AH49" s="383">
        <f>AJ49*AG49*_xlfn.XLOOKUP(I49,'S3123 Consortium Share'!$A$3:$A$5,'S3123 Consortium Share'!$F$3:$F$5,,-1)</f>
        <v>205670.10274999999</v>
      </c>
      <c r="AI49" s="14">
        <v>1</v>
      </c>
      <c r="AJ49" s="13">
        <f t="shared" si="40"/>
        <v>6581443.2879999997</v>
      </c>
      <c r="AK49" s="13">
        <f t="shared" si="41"/>
        <v>6581443.2879999997</v>
      </c>
      <c r="AL49" s="13" t="str">
        <f t="shared" si="3"/>
        <v>FUL</v>
      </c>
      <c r="AM49" s="52">
        <f t="shared" si="4"/>
        <v>2025</v>
      </c>
      <c r="AN49" s="4">
        <f>INDEX('[2]Input Data'!$AH:$AH,MATCH(A49,'[2]Input Data'!$A:$A,0),1)-AH49</f>
        <v>0</v>
      </c>
      <c r="AO49" s="13">
        <f t="shared" si="57"/>
        <v>0</v>
      </c>
      <c r="AP49" s="13">
        <f t="shared" si="57"/>
        <v>0</v>
      </c>
      <c r="AQ49" s="13">
        <f t="shared" si="57"/>
        <v>0</v>
      </c>
      <c r="AR49" s="13">
        <f t="shared" si="57"/>
        <v>0</v>
      </c>
      <c r="AS49" s="13">
        <f t="shared" si="57"/>
        <v>0</v>
      </c>
      <c r="AT49" s="13">
        <f t="shared" si="57"/>
        <v>0</v>
      </c>
      <c r="AU49" s="13">
        <f t="shared" si="57"/>
        <v>1316288.6576</v>
      </c>
      <c r="AV49" s="13">
        <f t="shared" si="6"/>
        <v>0</v>
      </c>
      <c r="AW49" s="13"/>
      <c r="AX49" s="13"/>
      <c r="AY49" s="13">
        <f t="shared" si="42"/>
        <v>1316288.6576</v>
      </c>
      <c r="AZ49" s="13">
        <f t="shared" si="58"/>
        <v>0</v>
      </c>
      <c r="BA49" s="74"/>
      <c r="BB49" s="25">
        <f t="shared" si="59"/>
        <v>5265154.6304000001</v>
      </c>
      <c r="BC49" s="13">
        <f t="shared" si="60"/>
        <v>0</v>
      </c>
      <c r="BD49" s="13" t="b">
        <f>AND(AF49,NOT(ISNUMBER(MATCH(G49,Table1[Excluded Spacecraft ID],0))))</f>
        <v>1</v>
      </c>
      <c r="BE49" s="13">
        <f>BD49*AK49*_xlfn.XLOOKUP(I49,Table2[Date From],Table2[Cession],"Error",-1)*_xlfn.XLOOKUP(I49,'S3123 Consortium Share'!$A$3:$A$5,'S3123 Consortium Share'!$F$3:$F$5,,-1)</f>
        <v>548453.60733333335</v>
      </c>
      <c r="BF49" s="13">
        <f t="shared" si="61"/>
        <v>5265154.6304000001</v>
      </c>
      <c r="BG49" s="89" cm="1">
        <f t="array" ref="BG49">IF(V49="FIBL",0,INDEX('IGR QS'!$A$1:$D$570,MATCH('Input Data'!V49&amp;'Input Data'!W49&amp;'Input Data'!AM49,'IGR QS'!A:A&amp;'IGR QS'!B:B&amp;'IGR QS'!C:C,0),4))</f>
        <v>0.5</v>
      </c>
      <c r="BH49" s="13">
        <f t="shared" si="62"/>
        <v>2632577.3152000001</v>
      </c>
      <c r="BI49" s="13">
        <f t="shared" si="63"/>
        <v>2632577.3152000001</v>
      </c>
      <c r="BJ49" s="13">
        <f t="shared" si="7"/>
        <v>0</v>
      </c>
      <c r="BK49" s="13">
        <f t="shared" si="64"/>
        <v>2632577.3152000001</v>
      </c>
      <c r="BL49" s="13">
        <f t="shared" si="65"/>
        <v>2632577.3152000001</v>
      </c>
      <c r="BM49" s="21"/>
      <c r="BN49" s="13">
        <f t="shared" si="8"/>
        <v>14120404.593972594</v>
      </c>
      <c r="BO49" s="13">
        <f t="shared" si="9"/>
        <v>12318061.835139982</v>
      </c>
      <c r="BP49" s="13">
        <f t="shared" si="10"/>
        <v>1802342.7588326111</v>
      </c>
      <c r="BQ49" s="13">
        <f t="shared" si="11"/>
        <v>22531337.46852478</v>
      </c>
      <c r="BR49" s="13">
        <f t="shared" si="12"/>
        <v>9162935.5156243462</v>
      </c>
      <c r="BT49" s="13">
        <f t="shared" si="13"/>
        <v>14303554.350748904</v>
      </c>
      <c r="BU49" s="13">
        <f t="shared" si="14"/>
        <v>5429275.3728778558</v>
      </c>
      <c r="BV49" s="13">
        <f t="shared" si="15"/>
        <v>8874278.9778710492</v>
      </c>
      <c r="BW49" s="13">
        <f t="shared" si="16"/>
        <v>3575888.587687226</v>
      </c>
      <c r="BX49" s="13"/>
      <c r="BY49" s="25">
        <f t="shared" si="17"/>
        <v>329072.16440000001</v>
      </c>
      <c r="BZ49" s="25">
        <f t="shared" si="18"/>
        <v>329072.16440000001</v>
      </c>
      <c r="CA49" s="25">
        <f t="shared" si="19"/>
        <v>0</v>
      </c>
      <c r="CB49" s="25">
        <f t="shared" si="20"/>
        <v>0</v>
      </c>
      <c r="CC49" s="25">
        <f t="shared" si="21"/>
        <v>164536.0822</v>
      </c>
      <c r="CD49" s="384">
        <f t="shared" si="22"/>
        <v>0</v>
      </c>
      <c r="CR49" s="25">
        <f t="shared" si="25"/>
        <v>658144.32880000002</v>
      </c>
      <c r="CS49" s="25">
        <f t="shared" si="66"/>
        <v>658144.32880000002</v>
      </c>
      <c r="CT49" s="25">
        <f t="shared" si="66"/>
        <v>0</v>
      </c>
      <c r="CU49" s="25">
        <f t="shared" si="27"/>
        <v>0</v>
      </c>
      <c r="CV49" s="25">
        <f t="shared" si="28"/>
        <v>329072.16440000001</v>
      </c>
      <c r="CW49" s="25">
        <f t="shared" si="29"/>
        <v>0</v>
      </c>
      <c r="CY49" s="25">
        <f t="shared" si="30"/>
        <v>329072.16440000001</v>
      </c>
      <c r="CZ49" s="25">
        <f t="shared" si="31"/>
        <v>329072.16440000001</v>
      </c>
      <c r="DA49" s="25">
        <f t="shared" si="55"/>
        <v>0</v>
      </c>
      <c r="DB49" s="25">
        <f t="shared" si="33"/>
        <v>0</v>
      </c>
      <c r="DC49" s="25">
        <f t="shared" si="34"/>
        <v>164536.0822</v>
      </c>
      <c r="DD49" s="25">
        <f t="shared" si="35"/>
        <v>0</v>
      </c>
    </row>
    <row r="50" spans="1:108" x14ac:dyDescent="0.35">
      <c r="A50" s="282" t="str">
        <f t="shared" si="36"/>
        <v>351444_4</v>
      </c>
      <c r="B50" s="303">
        <v>351444</v>
      </c>
      <c r="C50" s="303">
        <v>4</v>
      </c>
      <c r="D50" s="319" t="str">
        <f>IFERROR(MATCH(C50,'[4]Custom Earning Pattern Not Popu'!$B$5:$B$428,0),"NA")</f>
        <v>NA</v>
      </c>
      <c r="E50" s="303" t="s">
        <v>228</v>
      </c>
      <c r="F50" s="303">
        <v>12</v>
      </c>
      <c r="G50" s="303">
        <v>9267</v>
      </c>
      <c r="H50" s="306">
        <v>41022</v>
      </c>
      <c r="I50" s="306">
        <v>45921</v>
      </c>
      <c r="J50" s="306">
        <v>46285</v>
      </c>
      <c r="K50" s="303" t="s">
        <v>113</v>
      </c>
      <c r="L50" s="306">
        <v>45921</v>
      </c>
      <c r="M50" s="306">
        <v>46285</v>
      </c>
      <c r="N50" s="303" t="s">
        <v>18</v>
      </c>
      <c r="O50" s="303" t="s">
        <v>18</v>
      </c>
      <c r="P50" s="148">
        <f t="shared" si="37"/>
        <v>0.2</v>
      </c>
      <c r="Q50" s="282">
        <v>1</v>
      </c>
      <c r="R50" s="282">
        <v>0</v>
      </c>
      <c r="S50" s="282" t="str">
        <f t="shared" si="52"/>
        <v>In-Orbit</v>
      </c>
      <c r="T50" s="282" t="s">
        <v>13</v>
      </c>
      <c r="U50" s="303" t="s">
        <v>423</v>
      </c>
      <c r="V50" s="303" t="s">
        <v>29</v>
      </c>
      <c r="W50" s="303" t="s">
        <v>78</v>
      </c>
      <c r="X50" s="303" t="s">
        <v>427</v>
      </c>
      <c r="Y50" s="303" t="s">
        <v>325</v>
      </c>
      <c r="Z50" s="303" t="s">
        <v>339</v>
      </c>
      <c r="AA50" s="308">
        <v>4391752.5699999901</v>
      </c>
      <c r="AC50" s="289">
        <f t="shared" si="38"/>
        <v>0</v>
      </c>
      <c r="AD50" s="88" cm="1">
        <f t="array" ref="AD50">IF(AC50=0,0,INDEX(Summary!$S$4:$S$7,MATCH(AC50,Summary!$R$4:$R$7)+1))</f>
        <v>0</v>
      </c>
      <c r="AE50" s="88">
        <f>IFERROR(INDEX(Summary!$Y$4:$Y$6,MATCH('Input Data'!K50,Summary!$U$4:$U$6,0)),0)</f>
        <v>0.05</v>
      </c>
      <c r="AF50" s="88" t="b">
        <f t="shared" si="39"/>
        <v>1</v>
      </c>
      <c r="AG50" s="89">
        <f>IF(AF50,INDEX('IG Equity Share'!$B:$B,MATCH(YEAR(I50),'IG Equity Share'!$A:$A,0)),0)</f>
        <v>7.4999999999999997E-2</v>
      </c>
      <c r="AH50" s="383">
        <f>AJ50*AG50*_xlfn.XLOOKUP(I50,'S3123 Consortium Share'!$A$3:$A$5,'S3123 Consortium Share'!$F$3:$F$5,,-1)</f>
        <v>137242.26781249969</v>
      </c>
      <c r="AI50" s="14">
        <v>1</v>
      </c>
      <c r="AJ50" s="13">
        <f t="shared" si="40"/>
        <v>4391752.5699999901</v>
      </c>
      <c r="AK50" s="13">
        <f t="shared" si="41"/>
        <v>4391752.5699999901</v>
      </c>
      <c r="AL50" s="13" t="str">
        <f t="shared" si="3"/>
        <v>FUL</v>
      </c>
      <c r="AM50" s="52">
        <f t="shared" si="4"/>
        <v>2025</v>
      </c>
      <c r="AN50" s="4"/>
      <c r="AO50" s="13">
        <f t="shared" ref="AO50:AU59" si="67">+IF(AND($I50&lt;=AO$8,$I50&gt;=AO$7),$AK50*AO$11,0)</f>
        <v>0</v>
      </c>
      <c r="AP50" s="13">
        <f t="shared" si="67"/>
        <v>0</v>
      </c>
      <c r="AQ50" s="13">
        <f t="shared" si="67"/>
        <v>0</v>
      </c>
      <c r="AR50" s="13">
        <f t="shared" si="67"/>
        <v>0</v>
      </c>
      <c r="AS50" s="13">
        <f t="shared" si="67"/>
        <v>0</v>
      </c>
      <c r="AT50" s="13">
        <f t="shared" si="67"/>
        <v>0</v>
      </c>
      <c r="AU50" s="13">
        <f t="shared" si="67"/>
        <v>878350.5139999981</v>
      </c>
      <c r="AV50" s="13">
        <f t="shared" si="6"/>
        <v>0</v>
      </c>
      <c r="AW50" s="13"/>
      <c r="AX50" s="13"/>
      <c r="AY50" s="13">
        <f t="shared" si="42"/>
        <v>878350.5139999981</v>
      </c>
      <c r="AZ50" s="13">
        <f t="shared" si="58"/>
        <v>0</v>
      </c>
      <c r="BA50" s="74"/>
      <c r="BB50" s="25">
        <f t="shared" si="59"/>
        <v>3513402.0559999919</v>
      </c>
      <c r="BC50" s="13">
        <f t="shared" si="60"/>
        <v>0</v>
      </c>
      <c r="BD50" s="13" t="b">
        <f>AND(AF50,NOT(ISNUMBER(MATCH(G50,Table1[Excluded Spacecraft ID],0))))</f>
        <v>1</v>
      </c>
      <c r="BE50" s="13">
        <f>BD50*AK50*_xlfn.XLOOKUP(I50,Table2[Date From],Table2[Cession],"Error",-1)*_xlfn.XLOOKUP(I50,'S3123 Consortium Share'!$A$3:$A$5,'S3123 Consortium Share'!$F$3:$F$5,,-1)</f>
        <v>365979.38083333254</v>
      </c>
      <c r="BF50" s="13">
        <f t="shared" si="61"/>
        <v>3513402.0559999919</v>
      </c>
      <c r="BG50" s="89" cm="1">
        <f t="array" ref="BG50">IF(V50="FIBL",0,INDEX('IGR QS'!$A$1:$D$570,MATCH('Input Data'!V50&amp;'Input Data'!W50&amp;'Input Data'!AM50,'IGR QS'!A:A&amp;'IGR QS'!B:B&amp;'IGR QS'!C:C,0),4))</f>
        <v>0.5</v>
      </c>
      <c r="BH50" s="13">
        <f t="shared" si="62"/>
        <v>1756701.027999996</v>
      </c>
      <c r="BI50" s="13">
        <f t="shared" si="63"/>
        <v>1756701.027999996</v>
      </c>
      <c r="BJ50" s="13">
        <f t="shared" si="7"/>
        <v>0</v>
      </c>
      <c r="BK50" s="13">
        <f t="shared" si="64"/>
        <v>1756701.027999996</v>
      </c>
      <c r="BL50" s="13">
        <f t="shared" si="65"/>
        <v>1756701.027999996</v>
      </c>
      <c r="BM50" s="21"/>
      <c r="BN50" s="13">
        <f t="shared" si="8"/>
        <v>14120404.593972594</v>
      </c>
      <c r="BO50" s="13">
        <f t="shared" si="9"/>
        <v>12318061.835139982</v>
      </c>
      <c r="BP50" s="13">
        <f t="shared" si="10"/>
        <v>1802342.7588326111</v>
      </c>
      <c r="BQ50" s="13">
        <f t="shared" si="11"/>
        <v>22531337.46852478</v>
      </c>
      <c r="BR50" s="13">
        <f t="shared" si="12"/>
        <v>9162935.5156243462</v>
      </c>
      <c r="BT50" s="13">
        <f t="shared" si="13"/>
        <v>15269337.018879766</v>
      </c>
      <c r="BU50" s="13">
        <f t="shared" si="14"/>
        <v>3749450.4740072717</v>
      </c>
      <c r="BV50" s="13">
        <f t="shared" si="15"/>
        <v>11519886.544872493</v>
      </c>
      <c r="BW50" s="13">
        <f t="shared" si="16"/>
        <v>3817334.2547199414</v>
      </c>
      <c r="BX50" s="13"/>
      <c r="BY50" s="25">
        <f t="shared" si="17"/>
        <v>219587.62849999953</v>
      </c>
      <c r="BZ50" s="25">
        <f t="shared" si="18"/>
        <v>219587.62849999953</v>
      </c>
      <c r="CA50" s="25">
        <f t="shared" si="19"/>
        <v>0</v>
      </c>
      <c r="CB50" s="25">
        <f t="shared" si="20"/>
        <v>0</v>
      </c>
      <c r="CC50" s="25">
        <f t="shared" si="21"/>
        <v>109793.81424999976</v>
      </c>
      <c r="CD50" s="384">
        <f t="shared" si="22"/>
        <v>0</v>
      </c>
      <c r="CR50" s="25">
        <f t="shared" si="25"/>
        <v>439175.25699999905</v>
      </c>
      <c r="CS50" s="25">
        <f t="shared" si="66"/>
        <v>439175.25699999905</v>
      </c>
      <c r="CT50" s="25">
        <f t="shared" si="66"/>
        <v>0</v>
      </c>
      <c r="CU50" s="25">
        <f t="shared" si="27"/>
        <v>0</v>
      </c>
      <c r="CV50" s="25">
        <f t="shared" si="28"/>
        <v>219587.62849999953</v>
      </c>
      <c r="CW50" s="25">
        <f t="shared" si="29"/>
        <v>0</v>
      </c>
      <c r="CY50" s="25">
        <f t="shared" si="30"/>
        <v>219587.62849999953</v>
      </c>
      <c r="CZ50" s="25">
        <f t="shared" si="31"/>
        <v>219587.62849999953</v>
      </c>
      <c r="DA50" s="25">
        <f t="shared" si="55"/>
        <v>0</v>
      </c>
      <c r="DB50" s="25">
        <f t="shared" si="33"/>
        <v>0</v>
      </c>
      <c r="DC50" s="25">
        <f t="shared" si="34"/>
        <v>109793.81424999976</v>
      </c>
      <c r="DD50" s="25">
        <f t="shared" si="35"/>
        <v>0</v>
      </c>
    </row>
    <row r="51" spans="1:108" x14ac:dyDescent="0.35">
      <c r="A51" s="282" t="str">
        <f t="shared" si="36"/>
        <v>351444_5</v>
      </c>
      <c r="B51" s="303">
        <v>351444</v>
      </c>
      <c r="C51" s="303">
        <v>5</v>
      </c>
      <c r="D51" s="319" t="str">
        <f>IFERROR(MATCH(C51,'[4]Custom Earning Pattern Not Popu'!$B$5:$B$428,0),"NA")</f>
        <v>NA</v>
      </c>
      <c r="E51" s="303" t="s">
        <v>228</v>
      </c>
      <c r="F51" s="303">
        <v>12</v>
      </c>
      <c r="G51" s="303">
        <v>9607</v>
      </c>
      <c r="H51" s="306">
        <v>42648</v>
      </c>
      <c r="I51" s="306">
        <v>45921</v>
      </c>
      <c r="J51" s="306">
        <v>46285</v>
      </c>
      <c r="K51" s="303" t="s">
        <v>113</v>
      </c>
      <c r="L51" s="306">
        <v>45921</v>
      </c>
      <c r="M51" s="306">
        <v>46285</v>
      </c>
      <c r="N51" s="303" t="s">
        <v>18</v>
      </c>
      <c r="O51" s="303" t="s">
        <v>18</v>
      </c>
      <c r="P51" s="148">
        <f t="shared" si="37"/>
        <v>0.2</v>
      </c>
      <c r="Q51" s="282">
        <v>1</v>
      </c>
      <c r="R51" s="282">
        <v>0</v>
      </c>
      <c r="S51" s="282" t="str">
        <f t="shared" si="52"/>
        <v>In-Orbit</v>
      </c>
      <c r="T51" s="282" t="s">
        <v>13</v>
      </c>
      <c r="U51" s="303" t="s">
        <v>423</v>
      </c>
      <c r="V51" s="303" t="s">
        <v>29</v>
      </c>
      <c r="W51" s="303" t="s">
        <v>78</v>
      </c>
      <c r="X51" s="303" t="s">
        <v>428</v>
      </c>
      <c r="Y51" s="303" t="s">
        <v>325</v>
      </c>
      <c r="Z51" s="303" t="s">
        <v>337</v>
      </c>
      <c r="AA51" s="308">
        <v>9380721.6338499896</v>
      </c>
      <c r="AC51" s="289">
        <f t="shared" si="38"/>
        <v>0</v>
      </c>
      <c r="AD51" s="88" cm="1">
        <f t="array" ref="AD51">IF(AC51=0,0,INDEX(Summary!$S$4:$S$7,MATCH(AC51,Summary!$R$4:$R$7)+1))</f>
        <v>0</v>
      </c>
      <c r="AE51" s="88">
        <f>IFERROR(INDEX(Summary!$Y$4:$Y$6,MATCH('Input Data'!K51,Summary!$U$4:$U$6,0)),0)</f>
        <v>0.05</v>
      </c>
      <c r="AF51" s="88" t="b">
        <f t="shared" si="39"/>
        <v>1</v>
      </c>
      <c r="AG51" s="89">
        <f>IF(AF51,INDEX('IG Equity Share'!$B:$B,MATCH(YEAR(I51),'IG Equity Share'!$A:$A,0)),0)</f>
        <v>7.4999999999999997E-2</v>
      </c>
      <c r="AH51" s="383">
        <f>AJ51*AG51*_xlfn.XLOOKUP(I51,'S3123 Consortium Share'!$A$3:$A$5,'S3123 Consortium Share'!$F$3:$F$5,,-1)</f>
        <v>293147.55105781218</v>
      </c>
      <c r="AI51" s="14">
        <v>1</v>
      </c>
      <c r="AJ51" s="13">
        <f t="shared" si="40"/>
        <v>9380721.6338499896</v>
      </c>
      <c r="AK51" s="13">
        <f t="shared" si="41"/>
        <v>9380721.6338499896</v>
      </c>
      <c r="AL51" s="13" t="str">
        <f t="shared" si="3"/>
        <v>FUL</v>
      </c>
      <c r="AM51" s="52">
        <f t="shared" si="4"/>
        <v>2025</v>
      </c>
      <c r="AN51" s="4"/>
      <c r="AO51" s="13">
        <f t="shared" si="67"/>
        <v>0</v>
      </c>
      <c r="AP51" s="13">
        <f t="shared" si="67"/>
        <v>0</v>
      </c>
      <c r="AQ51" s="13">
        <f t="shared" si="67"/>
        <v>0</v>
      </c>
      <c r="AR51" s="13">
        <f t="shared" si="67"/>
        <v>0</v>
      </c>
      <c r="AS51" s="13">
        <f t="shared" si="67"/>
        <v>0</v>
      </c>
      <c r="AT51" s="13">
        <f t="shared" si="67"/>
        <v>0</v>
      </c>
      <c r="AU51" s="13">
        <f t="shared" si="67"/>
        <v>1876144.3267699981</v>
      </c>
      <c r="AV51" s="13">
        <f t="shared" si="6"/>
        <v>0</v>
      </c>
      <c r="AW51" s="13"/>
      <c r="AX51" s="13"/>
      <c r="AY51" s="13">
        <f t="shared" si="42"/>
        <v>1876144.3267699981</v>
      </c>
      <c r="AZ51" s="13">
        <f t="shared" si="58"/>
        <v>0</v>
      </c>
      <c r="BA51" s="74"/>
      <c r="BB51" s="25">
        <f t="shared" si="59"/>
        <v>7504577.3070799913</v>
      </c>
      <c r="BC51" s="13">
        <f t="shared" si="60"/>
        <v>0</v>
      </c>
      <c r="BD51" s="13" t="b">
        <f>AND(AF51,NOT(ISNUMBER(MATCH(G51,Table1[Excluded Spacecraft ID],0))))</f>
        <v>1</v>
      </c>
      <c r="BE51" s="13">
        <f>BD51*AK51*_xlfn.XLOOKUP(I51,Table2[Date From],Table2[Cession],"Error",-1)*_xlfn.XLOOKUP(I51,'S3123 Consortium Share'!$A$3:$A$5,'S3123 Consortium Share'!$F$3:$F$5,,-1)</f>
        <v>781726.80282083258</v>
      </c>
      <c r="BF51" s="13">
        <f t="shared" si="61"/>
        <v>7504577.3070799913</v>
      </c>
      <c r="BG51" s="89" cm="1">
        <f t="array" ref="BG51">IF(V51="FIBL",0,INDEX('IGR QS'!$A$1:$D$570,MATCH('Input Data'!V51&amp;'Input Data'!W51&amp;'Input Data'!AM51,'IGR QS'!A:A&amp;'IGR QS'!B:B&amp;'IGR QS'!C:C,0),4))</f>
        <v>0.5</v>
      </c>
      <c r="BH51" s="13">
        <f t="shared" si="62"/>
        <v>3752288.6535399957</v>
      </c>
      <c r="BI51" s="13">
        <f t="shared" si="63"/>
        <v>3752288.6535399957</v>
      </c>
      <c r="BJ51" s="13">
        <f t="shared" si="7"/>
        <v>0</v>
      </c>
      <c r="BK51" s="13">
        <f t="shared" si="64"/>
        <v>3752288.6535399957</v>
      </c>
      <c r="BL51" s="13">
        <f t="shared" si="65"/>
        <v>3752288.6535399957</v>
      </c>
      <c r="BM51" s="21"/>
      <c r="BN51" s="13">
        <f t="shared" si="8"/>
        <v>14120404.593972594</v>
      </c>
      <c r="BO51" s="13">
        <f t="shared" si="9"/>
        <v>12318061.835139982</v>
      </c>
      <c r="BP51" s="13">
        <f t="shared" si="10"/>
        <v>1802342.7588326111</v>
      </c>
      <c r="BQ51" s="13">
        <f t="shared" si="11"/>
        <v>22531337.46852478</v>
      </c>
      <c r="BR51" s="13">
        <f t="shared" si="12"/>
        <v>9162935.5156243462</v>
      </c>
      <c r="BT51" s="13">
        <f t="shared" si="13"/>
        <v>24656652.101783186</v>
      </c>
      <c r="BU51" s="13">
        <f t="shared" si="14"/>
        <v>8989906.7260086015</v>
      </c>
      <c r="BV51" s="13">
        <f t="shared" si="15"/>
        <v>15666745.375774585</v>
      </c>
      <c r="BW51" s="13">
        <f t="shared" si="16"/>
        <v>6164163.0254457965</v>
      </c>
      <c r="BX51" s="13"/>
      <c r="BY51" s="25">
        <f t="shared" si="17"/>
        <v>469036.08169249952</v>
      </c>
      <c r="BZ51" s="25">
        <f t="shared" si="18"/>
        <v>469036.08169249952</v>
      </c>
      <c r="CA51" s="25">
        <f t="shared" si="19"/>
        <v>0</v>
      </c>
      <c r="CB51" s="25">
        <f t="shared" si="20"/>
        <v>0</v>
      </c>
      <c r="CC51" s="25">
        <f t="shared" si="21"/>
        <v>234518.04084624976</v>
      </c>
      <c r="CD51" s="384">
        <f t="shared" si="22"/>
        <v>0</v>
      </c>
      <c r="CR51" s="25">
        <f t="shared" si="25"/>
        <v>938072.16338499903</v>
      </c>
      <c r="CS51" s="25">
        <f t="shared" si="66"/>
        <v>938072.16338499903</v>
      </c>
      <c r="CT51" s="25">
        <f t="shared" si="66"/>
        <v>0</v>
      </c>
      <c r="CU51" s="25">
        <f t="shared" si="27"/>
        <v>0</v>
      </c>
      <c r="CV51" s="25">
        <f t="shared" si="28"/>
        <v>469036.08169249952</v>
      </c>
      <c r="CW51" s="25">
        <f t="shared" si="29"/>
        <v>0</v>
      </c>
      <c r="CY51" s="25">
        <f t="shared" si="30"/>
        <v>469036.08169249952</v>
      </c>
      <c r="CZ51" s="25">
        <f t="shared" si="31"/>
        <v>469036.08169249952</v>
      </c>
      <c r="DA51" s="25">
        <f t="shared" si="55"/>
        <v>0</v>
      </c>
      <c r="DB51" s="25">
        <f t="shared" si="33"/>
        <v>0</v>
      </c>
      <c r="DC51" s="25">
        <f t="shared" si="34"/>
        <v>234518.04084624976</v>
      </c>
      <c r="DD51" s="25">
        <f t="shared" si="35"/>
        <v>0</v>
      </c>
    </row>
    <row r="52" spans="1:108" x14ac:dyDescent="0.35">
      <c r="A52" s="282" t="str">
        <f t="shared" si="36"/>
        <v>344558_18</v>
      </c>
      <c r="B52" s="303">
        <v>344558</v>
      </c>
      <c r="C52" s="303">
        <v>18</v>
      </c>
      <c r="D52" s="319" t="str">
        <f>IFERROR(MATCH(C52,'[4]Custom Earning Pattern Not Popu'!$B$5:$B$428,0),"NA")</f>
        <v>NA</v>
      </c>
      <c r="E52" s="303" t="s">
        <v>17</v>
      </c>
      <c r="F52" s="303">
        <v>12</v>
      </c>
      <c r="G52" s="303">
        <v>10733</v>
      </c>
      <c r="H52" s="306">
        <v>40355</v>
      </c>
      <c r="I52" s="306">
        <v>45839</v>
      </c>
      <c r="J52" s="306">
        <v>46203</v>
      </c>
      <c r="K52" s="303" t="s">
        <v>113</v>
      </c>
      <c r="L52" s="306">
        <v>45839</v>
      </c>
      <c r="M52" s="306">
        <v>46203</v>
      </c>
      <c r="N52" s="303" t="s">
        <v>18</v>
      </c>
      <c r="O52" s="303" t="s">
        <v>18</v>
      </c>
      <c r="P52" s="148">
        <f t="shared" si="37"/>
        <v>0.2</v>
      </c>
      <c r="Q52" s="282">
        <v>1</v>
      </c>
      <c r="R52" s="282">
        <v>0</v>
      </c>
      <c r="S52" s="282" t="str">
        <f t="shared" si="52"/>
        <v>Orbit</v>
      </c>
      <c r="T52" s="282" t="s">
        <v>13</v>
      </c>
      <c r="U52" s="303" t="s">
        <v>248</v>
      </c>
      <c r="V52" s="303" t="s">
        <v>31</v>
      </c>
      <c r="W52" s="303" t="s">
        <v>78</v>
      </c>
      <c r="X52" s="303" t="s">
        <v>272</v>
      </c>
      <c r="Y52" s="303" t="s">
        <v>319</v>
      </c>
      <c r="Z52" s="303" t="s">
        <v>13</v>
      </c>
      <c r="AA52" s="308">
        <v>3094813.59839442</v>
      </c>
      <c r="AC52" s="289">
        <f t="shared" si="38"/>
        <v>0</v>
      </c>
      <c r="AD52" s="88" cm="1">
        <f t="array" ref="AD52">IF(AC52=0,0,INDEX(Summary!$S$4:$S$7,MATCH(AC52,Summary!$R$4:$R$7)+1))</f>
        <v>0</v>
      </c>
      <c r="AE52" s="88">
        <f>IFERROR(INDEX(Summary!$Y$4:$Y$6,MATCH('Input Data'!K52,Summary!$U$4:$U$6,0)),0)</f>
        <v>0.05</v>
      </c>
      <c r="AF52" s="88" t="b">
        <f t="shared" ref="AF52:AF83" si="68">IF(I52&gt;=DATE(2024,7,1),TRUE,FALSE)</f>
        <v>1</v>
      </c>
      <c r="AG52" s="89">
        <f>IF(AF52,INDEX('IG Equity Share'!$B:$B,MATCH(YEAR(I52),'IG Equity Share'!$A:$A,0)),0)</f>
        <v>7.4999999999999997E-2</v>
      </c>
      <c r="AH52" s="383">
        <f>AJ52*AG52*_xlfn.XLOOKUP(I52,'S3123 Consortium Share'!$A$3:$A$5,'S3123 Consortium Share'!$F$3:$F$5,,-1)</f>
        <v>96712.924949825625</v>
      </c>
      <c r="AI52" s="14">
        <v>1</v>
      </c>
      <c r="AJ52" s="13">
        <f t="shared" ref="AJ52:AJ83" si="69">AA52</f>
        <v>3094813.59839442</v>
      </c>
      <c r="AK52" s="13">
        <f t="shared" ref="AK52:AK83" si="70">AJ52/AI52*Q52</f>
        <v>3094813.59839442</v>
      </c>
      <c r="AL52" s="13" t="str">
        <f t="shared" ref="AL52:AL83" si="71">V52</f>
        <v>FIID</v>
      </c>
      <c r="AM52" s="52">
        <f t="shared" ref="AM52:AM83" si="72">YEAR(I52)</f>
        <v>2025</v>
      </c>
      <c r="AN52" s="4"/>
      <c r="AO52" s="13">
        <f t="shared" si="67"/>
        <v>0</v>
      </c>
      <c r="AP52" s="13">
        <f t="shared" si="67"/>
        <v>0</v>
      </c>
      <c r="AQ52" s="13">
        <f t="shared" si="67"/>
        <v>0</v>
      </c>
      <c r="AR52" s="13">
        <f t="shared" si="67"/>
        <v>0</v>
      </c>
      <c r="AS52" s="13">
        <f t="shared" si="67"/>
        <v>0</v>
      </c>
      <c r="AT52" s="13">
        <f t="shared" si="67"/>
        <v>0</v>
      </c>
      <c r="AU52" s="13">
        <f t="shared" si="67"/>
        <v>618962.71967888402</v>
      </c>
      <c r="AV52" s="13">
        <f t="shared" si="6"/>
        <v>0</v>
      </c>
      <c r="AW52" s="13"/>
      <c r="AX52" s="13"/>
      <c r="AY52" s="13">
        <f t="shared" si="42"/>
        <v>618962.71967888402</v>
      </c>
      <c r="AZ52" s="13">
        <f t="shared" si="58"/>
        <v>0</v>
      </c>
      <c r="BA52" s="74"/>
      <c r="BB52" s="25">
        <f t="shared" si="59"/>
        <v>2475850.8787155361</v>
      </c>
      <c r="BC52" s="13">
        <f t="shared" si="60"/>
        <v>0</v>
      </c>
      <c r="BD52" s="13" t="b">
        <f>AND(AF52,NOT(ISNUMBER(MATCH(G52,Table1[Excluded Spacecraft ID],0))))</f>
        <v>1</v>
      </c>
      <c r="BE52" s="13">
        <f>BD52*AK52*_xlfn.XLOOKUP(I52,Table2[Date From],Table2[Cession],"Error",-1)*_xlfn.XLOOKUP(I52,'S3123 Consortium Share'!$A$3:$A$5,'S3123 Consortium Share'!$F$3:$F$5,,-1)</f>
        <v>257901.13319953502</v>
      </c>
      <c r="BF52" s="13">
        <f t="shared" si="61"/>
        <v>2475850.8787155361</v>
      </c>
      <c r="BG52" s="89" cm="1">
        <f t="array" ref="BG52">IF(V52="FIBL",0,INDEX('IGR QS'!$A$1:$D$570,MATCH('Input Data'!V52&amp;'Input Data'!W52&amp;'Input Data'!AM52,'IGR QS'!A:A&amp;'IGR QS'!B:B&amp;'IGR QS'!C:C,0),4))</f>
        <v>0.85</v>
      </c>
      <c r="BH52" s="13">
        <f t="shared" si="62"/>
        <v>2104473.2469082056</v>
      </c>
      <c r="BI52" s="13">
        <f t="shared" si="63"/>
        <v>371377.63180733053</v>
      </c>
      <c r="BJ52" s="13">
        <f t="shared" ref="BJ52:BJ83" si="73">IF(AND(V52=FIID,(BI52&gt;FIID_Deductible)),MIN(BI52-FIID_Deductible,FIID_Limit),IF(AND(V52=FUL,(BI52&gt;FUL_Deductible)),MIN(BI52-FUL_Deductible,FUL_Limit),0))</f>
        <v>0</v>
      </c>
      <c r="BK52" s="13">
        <f t="shared" si="64"/>
        <v>2104473.2469082056</v>
      </c>
      <c r="BL52" s="13">
        <f t="shared" si="65"/>
        <v>371377.63180733053</v>
      </c>
      <c r="BM52" s="21"/>
      <c r="BN52" s="13">
        <f t="shared" ref="BN52:BN83" si="74">SUMIFS($BL:$BL,$N:$N,$N52,$Q:$Q,1)</f>
        <v>14120404.593972594</v>
      </c>
      <c r="BO52" s="13">
        <f t="shared" ref="BO52:BO83" si="75">SUMIFS($BL:$BL,$N:$N,$N52,$Q:$Q,1,$AL:$AL,$BO$18)</f>
        <v>12318061.835139982</v>
      </c>
      <c r="BP52" s="13">
        <f t="shared" ref="BP52:BP83" si="76">SUMIFS($BL:$BL,$N:$N,$N52,$V:$V,BP$18)</f>
        <v>1802342.7588326111</v>
      </c>
      <c r="BQ52" s="13">
        <f t="shared" ref="BQ52:BQ83" si="77">SUMIFS($BK:$BK,$N:$N,$N52)</f>
        <v>22531337.46852478</v>
      </c>
      <c r="BR52" s="13">
        <f t="shared" ref="BR52:BR83" si="78">SUMIFS($AY:$AY,$N:$N,$N52)</f>
        <v>9162935.5156243462</v>
      </c>
      <c r="BT52" s="13">
        <f t="shared" ref="BT52:BT83" si="79">SUMIFS($BF:$BF,$C:$C,$C52)</f>
        <v>2475850.8787155361</v>
      </c>
      <c r="BU52" s="13">
        <f t="shared" ref="BU52:BU83" si="80">SUMIFS($BL:$BL,$C:$C,$C52)</f>
        <v>371377.63180733053</v>
      </c>
      <c r="BV52" s="13">
        <f t="shared" ref="BV52:BV83" si="81">SUMIFS($BK:$BK,$C:$C,$C52)</f>
        <v>2104473.2469082056</v>
      </c>
      <c r="BW52" s="13">
        <f t="shared" ref="BW52:BW83" si="82">SUMIFS($AY:$AY,$C:$C,$C52)</f>
        <v>618962.71967888402</v>
      </c>
      <c r="BX52" s="13"/>
      <c r="BY52" s="25">
        <f t="shared" ref="BY52:BY83" si="83">IF($K52="GEO-GSO",$AK52*Proton_Flare_InsLoss,0)*Q52</f>
        <v>154740.67991972101</v>
      </c>
      <c r="BZ52" s="25">
        <f t="shared" ref="BZ52:BZ83" si="84">IF(AND($K52="GEO-GSO",AL52="FUL"),$AK52*Proton_Flare_InsLoss,0)*$Q52</f>
        <v>0</v>
      </c>
      <c r="CA52" s="25">
        <f t="shared" ref="CA52:CA83" si="85">IF(AND($K52="GEO-GSO",AL52="FIID"),$AK52*Proton_Flare_InsLoss,0)*$Q52</f>
        <v>154740.67991972101</v>
      </c>
      <c r="CB52" s="25">
        <f t="shared" ref="CB52:CB83" si="86">IF(AND($K52="GEO-GSO",AL52="FIBL"),$AK52*Proton_Flare_InsLoss,0)*$Q52</f>
        <v>0</v>
      </c>
      <c r="CC52" s="25">
        <f t="shared" ref="CC52:CC83" si="87">IF($K52="GEO-GSO",(AK52*BG52-BJ52)*Proton_Flare_InsLoss,0)*Q52</f>
        <v>131529.57793176285</v>
      </c>
      <c r="CD52" s="384">
        <f t="shared" ref="CD52:CD83" si="88">IF($K52="GEO-GSO",$AK52*Proton_Flare_InsLoss,0)*$Q52*$R52*0.2</f>
        <v>0</v>
      </c>
      <c r="CR52" s="25">
        <f t="shared" ref="CR52:CR83" si="89">IF(OR($K52="GEO-GSO",$K52="MEO"),$AK52*Generic_Defect_Loss,0)*$Q52*$P52</f>
        <v>309481.35983944201</v>
      </c>
      <c r="CS52" s="25">
        <f t="shared" si="66"/>
        <v>0</v>
      </c>
      <c r="CT52" s="25">
        <f t="shared" si="66"/>
        <v>309481.35983944201</v>
      </c>
      <c r="CU52" s="25">
        <f t="shared" ref="CU52:CU83" si="90">IF(AND(OR($K52="GEO-GSO",$K52="MEO"),$AL52="FIBL"),$AK52*Generic_Defect_Loss,0)*$Q52*$P52</f>
        <v>0</v>
      </c>
      <c r="CV52" s="25">
        <f t="shared" ref="CV52:CV83" si="91">IF(OR($K52="GEO-GSO",$K52="MEO"),($AK52*BG52-BJ52)*Generic_Defect_Loss,0)*$Q52*$P52</f>
        <v>263059.1558635257</v>
      </c>
      <c r="CW52" s="25">
        <f t="shared" ref="CW52:CW83" si="92">IF(OR($K52="GEO-GSO",$K52="MEO"),$AK52*Generic_Defect_Loss,0)*$Q52*$P52*$R52*0.2</f>
        <v>0</v>
      </c>
      <c r="CY52" s="25">
        <f t="shared" ref="CY52:CY83" si="93">IF(OR($K52="GEO-GSO",$K52="MEO"),$AK52*Space_Debris_Loss,0)*$Q52*$AE52</f>
        <v>154740.67991972101</v>
      </c>
      <c r="CZ52" s="25">
        <f t="shared" ref="CZ52:CZ83" si="94">IF(AND(OR($K52="GEO-GSO",$K52="MEO"),$AL52=CZ$19),$AK52*Space_Debris_Loss,0)*$Q52*$AE52</f>
        <v>0</v>
      </c>
      <c r="DA52" s="25">
        <f t="shared" si="55"/>
        <v>154740.67991972101</v>
      </c>
      <c r="DB52" s="25">
        <f t="shared" ref="DB52:DB83" si="95">IF(AND(OR($K52="GEO-GSO",$K52="MEO"),$AL52="FIBL"),$AK52*Space_Debris_Loss,0)*$Q52*$AE52</f>
        <v>0</v>
      </c>
      <c r="DC52" s="25">
        <f t="shared" ref="DC52:DC83" si="96">IF(OR($K52="GEO-GSO",$K52="MEO"),($AK52*BG52-BJ52)*Space_Debris_Loss,0)*$Q52*$AE52</f>
        <v>131529.57793176285</v>
      </c>
      <c r="DD52" s="25">
        <f t="shared" ref="DD52:DD83" si="97">IF(OR($K52="GEO-GSO",$K52="MEO"),$AK52*1,0)*$Q52*$AE52*$R52*0.2</f>
        <v>0</v>
      </c>
    </row>
    <row r="53" spans="1:108" x14ac:dyDescent="0.35">
      <c r="A53" s="282" t="str">
        <f t="shared" si="36"/>
        <v>344558_19</v>
      </c>
      <c r="B53" s="303">
        <v>344558</v>
      </c>
      <c r="C53" s="303">
        <v>19</v>
      </c>
      <c r="D53" s="319" t="str">
        <f>IFERROR(MATCH(C53,'[4]Custom Earning Pattern Not Popu'!$B$5:$B$428,0),"NA")</f>
        <v>NA</v>
      </c>
      <c r="E53" s="303" t="s">
        <v>17</v>
      </c>
      <c r="F53" s="303">
        <v>12</v>
      </c>
      <c r="G53" s="303">
        <v>13924</v>
      </c>
      <c r="H53" s="306">
        <v>43501</v>
      </c>
      <c r="I53" s="306">
        <v>45839</v>
      </c>
      <c r="J53" s="306">
        <v>46203</v>
      </c>
      <c r="K53" s="303" t="s">
        <v>113</v>
      </c>
      <c r="L53" s="306">
        <v>45839</v>
      </c>
      <c r="M53" s="306">
        <v>46203</v>
      </c>
      <c r="N53" s="303" t="s">
        <v>234</v>
      </c>
      <c r="O53" s="303" t="s">
        <v>234</v>
      </c>
      <c r="P53" s="148">
        <f t="shared" si="37"/>
        <v>0.2</v>
      </c>
      <c r="Q53" s="282">
        <v>1</v>
      </c>
      <c r="R53" s="282">
        <v>0</v>
      </c>
      <c r="S53" s="282" t="str">
        <f t="shared" si="52"/>
        <v>Orbit</v>
      </c>
      <c r="T53" s="282" t="s">
        <v>13</v>
      </c>
      <c r="U53" s="303" t="s">
        <v>248</v>
      </c>
      <c r="V53" s="303" t="s">
        <v>31</v>
      </c>
      <c r="W53" s="303" t="s">
        <v>78</v>
      </c>
      <c r="X53" s="303" t="s">
        <v>273</v>
      </c>
      <c r="Y53" s="303" t="s">
        <v>321</v>
      </c>
      <c r="Z53" s="303" t="s">
        <v>13</v>
      </c>
      <c r="AA53" s="308">
        <v>8602524.4033901896</v>
      </c>
      <c r="AC53" s="289">
        <f t="shared" si="38"/>
        <v>0</v>
      </c>
      <c r="AD53" s="88" cm="1">
        <f t="array" ref="AD53">IF(AC53=0,0,INDEX(Summary!$S$4:$S$7,MATCH(AC53,Summary!$R$4:$R$7)+1))</f>
        <v>0</v>
      </c>
      <c r="AE53" s="88">
        <f>IFERROR(INDEX(Summary!$Y$4:$Y$6,MATCH('Input Data'!K53,Summary!$U$4:$U$6,0)),0)</f>
        <v>0.05</v>
      </c>
      <c r="AF53" s="88" t="b">
        <f t="shared" si="68"/>
        <v>1</v>
      </c>
      <c r="AG53" s="89">
        <f>IF(AF53,INDEX('IG Equity Share'!$B:$B,MATCH(YEAR(I53),'IG Equity Share'!$A:$A,0)),0)</f>
        <v>7.4999999999999997E-2</v>
      </c>
      <c r="AH53" s="383">
        <f>AJ53*AG53*_xlfn.XLOOKUP(I53,'S3123 Consortium Share'!$A$3:$A$5,'S3123 Consortium Share'!$F$3:$F$5,,-1)</f>
        <v>268828.88760594343</v>
      </c>
      <c r="AI53" s="14">
        <v>1</v>
      </c>
      <c r="AJ53" s="13">
        <f t="shared" si="69"/>
        <v>8602524.4033901896</v>
      </c>
      <c r="AK53" s="13">
        <f t="shared" si="70"/>
        <v>8602524.4033901896</v>
      </c>
      <c r="AL53" s="13" t="str">
        <f t="shared" si="71"/>
        <v>FIID</v>
      </c>
      <c r="AM53" s="52">
        <f t="shared" si="72"/>
        <v>2025</v>
      </c>
      <c r="AN53" s="4"/>
      <c r="AO53" s="13">
        <f t="shared" si="67"/>
        <v>0</v>
      </c>
      <c r="AP53" s="13">
        <f t="shared" si="67"/>
        <v>0</v>
      </c>
      <c r="AQ53" s="13">
        <f t="shared" si="67"/>
        <v>0</v>
      </c>
      <c r="AR53" s="13">
        <f t="shared" si="67"/>
        <v>0</v>
      </c>
      <c r="AS53" s="13">
        <f t="shared" si="67"/>
        <v>0</v>
      </c>
      <c r="AT53" s="13">
        <f t="shared" si="67"/>
        <v>0</v>
      </c>
      <c r="AU53" s="13">
        <f t="shared" si="67"/>
        <v>1720504.8806780381</v>
      </c>
      <c r="AV53" s="13">
        <f t="shared" ref="AV53:AV84" si="98">+IF(AND($I53&lt;=AV$8,$I53&gt;=AV$7),$AK53*AV$11,0)</f>
        <v>0</v>
      </c>
      <c r="AW53" s="13"/>
      <c r="AX53" s="13"/>
      <c r="AY53" s="13">
        <f t="shared" si="42"/>
        <v>1720504.8806780381</v>
      </c>
      <c r="AZ53" s="13">
        <f t="shared" si="58"/>
        <v>0</v>
      </c>
      <c r="BA53" s="74"/>
      <c r="BB53" s="25">
        <f t="shared" si="59"/>
        <v>6882019.5227121515</v>
      </c>
      <c r="BC53" s="13">
        <f t="shared" si="60"/>
        <v>0</v>
      </c>
      <c r="BD53" s="13" t="b">
        <f>AND(AF53,NOT(ISNUMBER(MATCH(G53,Table1[Excluded Spacecraft ID],0))))</f>
        <v>1</v>
      </c>
      <c r="BE53" s="13">
        <f>BD53*AK53*_xlfn.XLOOKUP(I53,Table2[Date From],Table2[Cession],"Error",-1)*_xlfn.XLOOKUP(I53,'S3123 Consortium Share'!$A$3:$A$5,'S3123 Consortium Share'!$F$3:$F$5,,-1)</f>
        <v>716877.03361584921</v>
      </c>
      <c r="BF53" s="13">
        <f t="shared" si="61"/>
        <v>6882019.5227121515</v>
      </c>
      <c r="BG53" s="89" cm="1">
        <f t="array" ref="BG53">IF(V53="FIBL",0,INDEX('IGR QS'!$A$1:$D$570,MATCH('Input Data'!V53&amp;'Input Data'!W53&amp;'Input Data'!AM53,'IGR QS'!A:A&amp;'IGR QS'!B:B&amp;'IGR QS'!C:C,0),4))</f>
        <v>0.85</v>
      </c>
      <c r="BH53" s="13">
        <f t="shared" si="62"/>
        <v>5849716.594305329</v>
      </c>
      <c r="BI53" s="13">
        <f t="shared" si="63"/>
        <v>1032302.9284068225</v>
      </c>
      <c r="BJ53" s="13">
        <f t="shared" si="73"/>
        <v>0</v>
      </c>
      <c r="BK53" s="13">
        <f t="shared" si="64"/>
        <v>5849716.594305329</v>
      </c>
      <c r="BL53" s="13">
        <f t="shared" si="65"/>
        <v>1032302.9284068225</v>
      </c>
      <c r="BM53" s="21"/>
      <c r="BN53" s="13">
        <f t="shared" si="74"/>
        <v>33962303.368542388</v>
      </c>
      <c r="BO53" s="13">
        <f t="shared" si="75"/>
        <v>20011429.248113245</v>
      </c>
      <c r="BP53" s="13">
        <f t="shared" si="76"/>
        <v>13950874.12042914</v>
      </c>
      <c r="BQ53" s="13">
        <f t="shared" si="77"/>
        <v>99066382.597211704</v>
      </c>
      <c r="BR53" s="13">
        <f t="shared" si="78"/>
        <v>33257171.491438523</v>
      </c>
      <c r="BT53" s="13">
        <f t="shared" si="79"/>
        <v>6882019.5227121515</v>
      </c>
      <c r="BU53" s="13">
        <f t="shared" si="80"/>
        <v>1032302.9284068225</v>
      </c>
      <c r="BV53" s="13">
        <f t="shared" si="81"/>
        <v>5849716.594305329</v>
      </c>
      <c r="BW53" s="13">
        <f t="shared" si="82"/>
        <v>1720504.8806780381</v>
      </c>
      <c r="BX53" s="13"/>
      <c r="BY53" s="25">
        <f t="shared" si="83"/>
        <v>430126.22016950953</v>
      </c>
      <c r="BZ53" s="25">
        <f t="shared" si="84"/>
        <v>0</v>
      </c>
      <c r="CA53" s="25">
        <f t="shared" si="85"/>
        <v>430126.22016950953</v>
      </c>
      <c r="CB53" s="25">
        <f t="shared" si="86"/>
        <v>0</v>
      </c>
      <c r="CC53" s="25">
        <f t="shared" si="87"/>
        <v>365607.28714408306</v>
      </c>
      <c r="CD53" s="384">
        <f t="shared" si="88"/>
        <v>0</v>
      </c>
      <c r="CR53" s="25">
        <f t="shared" si="89"/>
        <v>860252.44033901906</v>
      </c>
      <c r="CS53" s="25">
        <f t="shared" si="66"/>
        <v>0</v>
      </c>
      <c r="CT53" s="25">
        <f t="shared" si="66"/>
        <v>860252.44033901906</v>
      </c>
      <c r="CU53" s="25">
        <f t="shared" si="90"/>
        <v>0</v>
      </c>
      <c r="CV53" s="25">
        <f t="shared" si="91"/>
        <v>731214.57428816613</v>
      </c>
      <c r="CW53" s="25">
        <f t="shared" si="92"/>
        <v>0</v>
      </c>
      <c r="CY53" s="25">
        <f t="shared" si="93"/>
        <v>430126.22016950953</v>
      </c>
      <c r="CZ53" s="25">
        <f t="shared" si="94"/>
        <v>0</v>
      </c>
      <c r="DA53" s="25">
        <f t="shared" si="55"/>
        <v>430126.22016950953</v>
      </c>
      <c r="DB53" s="25">
        <f t="shared" si="95"/>
        <v>0</v>
      </c>
      <c r="DC53" s="25">
        <f t="shared" si="96"/>
        <v>365607.28714408306</v>
      </c>
      <c r="DD53" s="25">
        <f t="shared" si="97"/>
        <v>0</v>
      </c>
    </row>
    <row r="54" spans="1:108" x14ac:dyDescent="0.35">
      <c r="A54" s="282" t="str">
        <f t="shared" si="36"/>
        <v>344558_21</v>
      </c>
      <c r="B54" s="303">
        <v>344558</v>
      </c>
      <c r="C54" s="303">
        <v>21</v>
      </c>
      <c r="D54" s="319" t="str">
        <f>IFERROR(MATCH(C54,'[4]Custom Earning Pattern Not Popu'!$B$5:$B$428,0),"NA")</f>
        <v>NA</v>
      </c>
      <c r="E54" s="303" t="s">
        <v>17</v>
      </c>
      <c r="F54" s="303">
        <v>12</v>
      </c>
      <c r="G54" s="303">
        <v>10519</v>
      </c>
      <c r="H54" s="306">
        <v>40355</v>
      </c>
      <c r="I54" s="306">
        <v>45839</v>
      </c>
      <c r="J54" s="306">
        <v>46203</v>
      </c>
      <c r="K54" s="303" t="s">
        <v>113</v>
      </c>
      <c r="L54" s="306">
        <v>45839</v>
      </c>
      <c r="M54" s="306">
        <v>46203</v>
      </c>
      <c r="N54" s="303" t="s">
        <v>234</v>
      </c>
      <c r="O54" s="303" t="s">
        <v>234</v>
      </c>
      <c r="P54" s="148">
        <f t="shared" si="37"/>
        <v>0.2</v>
      </c>
      <c r="Q54" s="282">
        <v>1</v>
      </c>
      <c r="R54" s="282">
        <v>0</v>
      </c>
      <c r="S54" s="282" t="str">
        <f t="shared" si="52"/>
        <v>Orbit</v>
      </c>
      <c r="T54" s="282" t="s">
        <v>13</v>
      </c>
      <c r="U54" s="303" t="s">
        <v>248</v>
      </c>
      <c r="V54" s="303" t="s">
        <v>31</v>
      </c>
      <c r="W54" s="303" t="s">
        <v>78</v>
      </c>
      <c r="X54" s="303" t="s">
        <v>274</v>
      </c>
      <c r="Y54" s="303" t="s">
        <v>321</v>
      </c>
      <c r="Z54" s="303" t="s">
        <v>13</v>
      </c>
      <c r="AA54" s="308">
        <v>16937675.495607499</v>
      </c>
      <c r="AC54" s="289">
        <f t="shared" si="38"/>
        <v>0</v>
      </c>
      <c r="AD54" s="88" cm="1">
        <f t="array" ref="AD54">IF(AC54=0,0,INDEX(Summary!$S$4:$S$7,MATCH(AC54,Summary!$R$4:$R$7)+1))</f>
        <v>0</v>
      </c>
      <c r="AE54" s="88">
        <f>IFERROR(INDEX(Summary!$Y$4:$Y$6,MATCH('Input Data'!K54,Summary!$U$4:$U$6,0)),0)</f>
        <v>0.05</v>
      </c>
      <c r="AF54" s="88" t="b">
        <f t="shared" si="68"/>
        <v>1</v>
      </c>
      <c r="AG54" s="89">
        <f>IF(AF54,INDEX('IG Equity Share'!$B:$B,MATCH(YEAR(I54),'IG Equity Share'!$A:$A,0)),0)</f>
        <v>7.4999999999999997E-2</v>
      </c>
      <c r="AH54" s="383">
        <f>AJ54*AG54*_xlfn.XLOOKUP(I54,'S3123 Consortium Share'!$A$3:$A$5,'S3123 Consortium Share'!$F$3:$F$5,,-1)</f>
        <v>529302.35923773434</v>
      </c>
      <c r="AI54" s="14">
        <v>1</v>
      </c>
      <c r="AJ54" s="13">
        <f t="shared" si="69"/>
        <v>16937675.495607499</v>
      </c>
      <c r="AK54" s="13">
        <f t="shared" si="70"/>
        <v>16937675.495607499</v>
      </c>
      <c r="AL54" s="13" t="str">
        <f t="shared" si="71"/>
        <v>FIID</v>
      </c>
      <c r="AM54" s="52">
        <f t="shared" si="72"/>
        <v>2025</v>
      </c>
      <c r="AN54" s="4"/>
      <c r="AO54" s="13">
        <f t="shared" si="67"/>
        <v>0</v>
      </c>
      <c r="AP54" s="13">
        <f t="shared" si="67"/>
        <v>0</v>
      </c>
      <c r="AQ54" s="13">
        <f t="shared" si="67"/>
        <v>0</v>
      </c>
      <c r="AR54" s="13">
        <f t="shared" si="67"/>
        <v>0</v>
      </c>
      <c r="AS54" s="13">
        <f t="shared" si="67"/>
        <v>0</v>
      </c>
      <c r="AT54" s="13">
        <f t="shared" si="67"/>
        <v>0</v>
      </c>
      <c r="AU54" s="13">
        <f t="shared" si="67"/>
        <v>3387535.0991214998</v>
      </c>
      <c r="AV54" s="13">
        <f t="shared" si="98"/>
        <v>0</v>
      </c>
      <c r="AW54" s="13"/>
      <c r="AX54" s="13"/>
      <c r="AY54" s="13">
        <f t="shared" si="42"/>
        <v>3387535.0991214998</v>
      </c>
      <c r="AZ54" s="13">
        <f t="shared" si="58"/>
        <v>0</v>
      </c>
      <c r="BA54" s="74"/>
      <c r="BB54" s="25">
        <f t="shared" si="59"/>
        <v>13550140.396485999</v>
      </c>
      <c r="BC54" s="13">
        <f t="shared" si="60"/>
        <v>0</v>
      </c>
      <c r="BD54" s="13" t="b">
        <f>AND(AF54,NOT(ISNUMBER(MATCH(G54,Table1[Excluded Spacecraft ID],0))))</f>
        <v>1</v>
      </c>
      <c r="BE54" s="13">
        <f>BD54*AK54*_xlfn.XLOOKUP(I54,Table2[Date From],Table2[Cession],"Error",-1)*_xlfn.XLOOKUP(I54,'S3123 Consortium Share'!$A$3:$A$5,'S3123 Consortium Share'!$F$3:$F$5,,-1)</f>
        <v>1411472.9579672916</v>
      </c>
      <c r="BF54" s="13">
        <f t="shared" si="61"/>
        <v>13550140.396485999</v>
      </c>
      <c r="BG54" s="89" cm="1">
        <f t="array" ref="BG54">IF(V54="FIBL",0,INDEX('IGR QS'!$A$1:$D$570,MATCH('Input Data'!V54&amp;'Input Data'!W54&amp;'Input Data'!AM54,'IGR QS'!A:A&amp;'IGR QS'!B:B&amp;'IGR QS'!C:C,0),4))</f>
        <v>0.85</v>
      </c>
      <c r="BH54" s="13">
        <f t="shared" si="62"/>
        <v>11517619.337013099</v>
      </c>
      <c r="BI54" s="13">
        <f t="shared" si="63"/>
        <v>2032521.0594728999</v>
      </c>
      <c r="BJ54" s="13">
        <f t="shared" si="73"/>
        <v>0</v>
      </c>
      <c r="BK54" s="13">
        <f t="shared" si="64"/>
        <v>11517619.337013099</v>
      </c>
      <c r="BL54" s="13">
        <f t="shared" si="65"/>
        <v>2032521.0594728999</v>
      </c>
      <c r="BM54" s="21"/>
      <c r="BN54" s="13">
        <f t="shared" si="74"/>
        <v>33962303.368542388</v>
      </c>
      <c r="BO54" s="13">
        <f t="shared" si="75"/>
        <v>20011429.248113245</v>
      </c>
      <c r="BP54" s="13">
        <f t="shared" si="76"/>
        <v>13950874.12042914</v>
      </c>
      <c r="BQ54" s="13">
        <f t="shared" si="77"/>
        <v>99066382.597211704</v>
      </c>
      <c r="BR54" s="13">
        <f t="shared" si="78"/>
        <v>33257171.491438523</v>
      </c>
      <c r="BT54" s="13">
        <f t="shared" si="79"/>
        <v>13550140.396485999</v>
      </c>
      <c r="BU54" s="13">
        <f t="shared" si="80"/>
        <v>2032521.0594728999</v>
      </c>
      <c r="BV54" s="13">
        <f t="shared" si="81"/>
        <v>11517619.337013099</v>
      </c>
      <c r="BW54" s="13">
        <f t="shared" si="82"/>
        <v>3387535.0991214998</v>
      </c>
      <c r="BX54" s="13"/>
      <c r="BY54" s="25">
        <f t="shared" si="83"/>
        <v>846883.77478037495</v>
      </c>
      <c r="BZ54" s="25">
        <f t="shared" si="84"/>
        <v>0</v>
      </c>
      <c r="CA54" s="25">
        <f t="shared" si="85"/>
        <v>846883.77478037495</v>
      </c>
      <c r="CB54" s="25">
        <f t="shared" si="86"/>
        <v>0</v>
      </c>
      <c r="CC54" s="25">
        <f t="shared" si="87"/>
        <v>719851.20856331871</v>
      </c>
      <c r="CD54" s="384">
        <f t="shared" si="88"/>
        <v>0</v>
      </c>
      <c r="CR54" s="25">
        <f t="shared" si="89"/>
        <v>1693767.5495607499</v>
      </c>
      <c r="CS54" s="25">
        <f t="shared" si="66"/>
        <v>0</v>
      </c>
      <c r="CT54" s="25">
        <f t="shared" si="66"/>
        <v>1693767.5495607499</v>
      </c>
      <c r="CU54" s="25">
        <f t="shared" si="90"/>
        <v>0</v>
      </c>
      <c r="CV54" s="25">
        <f t="shared" si="91"/>
        <v>1439702.4171266374</v>
      </c>
      <c r="CW54" s="25">
        <f t="shared" si="92"/>
        <v>0</v>
      </c>
      <c r="CY54" s="25">
        <f t="shared" si="93"/>
        <v>846883.77478037495</v>
      </c>
      <c r="CZ54" s="25">
        <f t="shared" si="94"/>
        <v>0</v>
      </c>
      <c r="DA54" s="25">
        <f t="shared" si="55"/>
        <v>846883.77478037495</v>
      </c>
      <c r="DB54" s="25">
        <f t="shared" si="95"/>
        <v>0</v>
      </c>
      <c r="DC54" s="25">
        <f t="shared" si="96"/>
        <v>719851.20856331871</v>
      </c>
      <c r="DD54" s="25">
        <f t="shared" si="97"/>
        <v>0</v>
      </c>
    </row>
    <row r="55" spans="1:108" x14ac:dyDescent="0.35">
      <c r="A55" s="282" t="str">
        <f t="shared" si="36"/>
        <v>344558_20</v>
      </c>
      <c r="B55" s="303">
        <v>344558</v>
      </c>
      <c r="C55" s="303">
        <v>20</v>
      </c>
      <c r="D55" s="319" t="str">
        <f>IFERROR(MATCH(C55,'[4]Custom Earning Pattern Not Popu'!$B$5:$B$428,0),"NA")</f>
        <v>NA</v>
      </c>
      <c r="E55" s="303" t="s">
        <v>17</v>
      </c>
      <c r="F55" s="303">
        <v>12</v>
      </c>
      <c r="G55" s="303">
        <v>13009</v>
      </c>
      <c r="H55" s="306">
        <v>44868</v>
      </c>
      <c r="I55" s="306">
        <v>45839</v>
      </c>
      <c r="J55" s="306">
        <v>46203</v>
      </c>
      <c r="K55" s="303" t="s">
        <v>113</v>
      </c>
      <c r="L55" s="306">
        <v>45839</v>
      </c>
      <c r="M55" s="306">
        <v>46203</v>
      </c>
      <c r="N55" s="303" t="s">
        <v>230</v>
      </c>
      <c r="O55" s="303" t="s">
        <v>230</v>
      </c>
      <c r="P55" s="148">
        <f t="shared" si="37"/>
        <v>0.2</v>
      </c>
      <c r="Q55" s="282">
        <v>1</v>
      </c>
      <c r="R55" s="282">
        <v>0</v>
      </c>
      <c r="S55" s="282" t="str">
        <f t="shared" si="52"/>
        <v>Orbit</v>
      </c>
      <c r="T55" s="282" t="s">
        <v>13</v>
      </c>
      <c r="U55" s="303" t="s">
        <v>248</v>
      </c>
      <c r="V55" s="303" t="s">
        <v>31</v>
      </c>
      <c r="W55" s="303" t="s">
        <v>78</v>
      </c>
      <c r="X55" s="303" t="s">
        <v>275</v>
      </c>
      <c r="Y55" s="303" t="s">
        <v>322</v>
      </c>
      <c r="Z55" s="303" t="s">
        <v>13</v>
      </c>
      <c r="AA55" s="308">
        <v>19814782.423728701</v>
      </c>
      <c r="AC55" s="289">
        <f t="shared" si="38"/>
        <v>0</v>
      </c>
      <c r="AD55" s="88" cm="1">
        <f t="array" ref="AD55">IF(AC55=0,0,INDEX(Summary!$S$4:$S$7,MATCH(AC55,Summary!$R$4:$R$7)+1))</f>
        <v>0</v>
      </c>
      <c r="AE55" s="88">
        <f>IFERROR(INDEX(Summary!$Y$4:$Y$6,MATCH('Input Data'!K55,Summary!$U$4:$U$6,0)),0)</f>
        <v>0.05</v>
      </c>
      <c r="AF55" s="88" t="b">
        <f t="shared" si="68"/>
        <v>1</v>
      </c>
      <c r="AG55" s="89">
        <f>IF(AF55,INDEX('IG Equity Share'!$B:$B,MATCH(YEAR(I55),'IG Equity Share'!$A:$A,0)),0)</f>
        <v>7.4999999999999997E-2</v>
      </c>
      <c r="AH55" s="383">
        <f>AJ55*AG55*_xlfn.XLOOKUP(I55,'S3123 Consortium Share'!$A$3:$A$5,'S3123 Consortium Share'!$F$3:$F$5,,-1)</f>
        <v>619211.9507415219</v>
      </c>
      <c r="AI55" s="14">
        <v>1</v>
      </c>
      <c r="AJ55" s="13">
        <f t="shared" si="69"/>
        <v>19814782.423728701</v>
      </c>
      <c r="AK55" s="13">
        <f t="shared" si="70"/>
        <v>19814782.423728701</v>
      </c>
      <c r="AL55" s="13" t="str">
        <f t="shared" si="71"/>
        <v>FIID</v>
      </c>
      <c r="AM55" s="52">
        <f t="shared" si="72"/>
        <v>2025</v>
      </c>
      <c r="AN55" s="4">
        <f>INDEX('[2]Input Data'!$AH:$AH,MATCH(A55,'[2]Input Data'!$A:$A,0),1)-AH55</f>
        <v>0</v>
      </c>
      <c r="AO55" s="13">
        <f t="shared" si="67"/>
        <v>0</v>
      </c>
      <c r="AP55" s="13">
        <f t="shared" si="67"/>
        <v>0</v>
      </c>
      <c r="AQ55" s="13">
        <f t="shared" si="67"/>
        <v>0</v>
      </c>
      <c r="AR55" s="13">
        <f t="shared" si="67"/>
        <v>0</v>
      </c>
      <c r="AS55" s="13">
        <f t="shared" si="67"/>
        <v>0</v>
      </c>
      <c r="AT55" s="13">
        <f t="shared" si="67"/>
        <v>0</v>
      </c>
      <c r="AU55" s="13">
        <f t="shared" si="67"/>
        <v>3962956.4847457404</v>
      </c>
      <c r="AV55" s="13">
        <f t="shared" si="98"/>
        <v>0</v>
      </c>
      <c r="AW55" s="13"/>
      <c r="AX55" s="13"/>
      <c r="AY55" s="13">
        <f t="shared" si="42"/>
        <v>3962956.4847457404</v>
      </c>
      <c r="AZ55" s="13">
        <f t="shared" si="58"/>
        <v>0</v>
      </c>
      <c r="BA55" s="74"/>
      <c r="BB55" s="25">
        <f t="shared" si="59"/>
        <v>15851825.93898296</v>
      </c>
      <c r="BC55" s="13">
        <f t="shared" si="60"/>
        <v>0</v>
      </c>
      <c r="BD55" s="13" t="b">
        <f>AND(AF55,NOT(ISNUMBER(MATCH(G55,Table1[Excluded Spacecraft ID],0))))</f>
        <v>1</v>
      </c>
      <c r="BE55" s="13">
        <f>BD55*AK55*_xlfn.XLOOKUP(I55,Table2[Date From],Table2[Cession],"Error",-1)*_xlfn.XLOOKUP(I55,'S3123 Consortium Share'!$A$3:$A$5,'S3123 Consortium Share'!$F$3:$F$5,,-1)</f>
        <v>1651231.8686440585</v>
      </c>
      <c r="BF55" s="13">
        <f t="shared" si="61"/>
        <v>15851825.93898296</v>
      </c>
      <c r="BG55" s="89" cm="1">
        <f t="array" ref="BG55">IF(V55="FIBL",0,INDEX('IGR QS'!$A$1:$D$570,MATCH('Input Data'!V55&amp;'Input Data'!W55&amp;'Input Data'!AM55,'IGR QS'!A:A&amp;'IGR QS'!B:B&amp;'IGR QS'!C:C,0),4))</f>
        <v>0.85</v>
      </c>
      <c r="BH55" s="13">
        <f t="shared" si="62"/>
        <v>13474052.048135515</v>
      </c>
      <c r="BI55" s="13">
        <f t="shared" si="63"/>
        <v>2377773.8908474445</v>
      </c>
      <c r="BJ55" s="13">
        <f t="shared" si="73"/>
        <v>0</v>
      </c>
      <c r="BK55" s="13">
        <f t="shared" si="64"/>
        <v>13474052.048135515</v>
      </c>
      <c r="BL55" s="13">
        <f t="shared" si="65"/>
        <v>2377773.8908474445</v>
      </c>
      <c r="BM55" s="21"/>
      <c r="BN55" s="13">
        <f t="shared" si="74"/>
        <v>66471396.42403952</v>
      </c>
      <c r="BO55" s="13">
        <f t="shared" si="75"/>
        <v>49043091.716622137</v>
      </c>
      <c r="BP55" s="13">
        <f t="shared" si="76"/>
        <v>17428304.707417384</v>
      </c>
      <c r="BQ55" s="13">
        <f t="shared" si="77"/>
        <v>147803485.05865392</v>
      </c>
      <c r="BR55" s="13">
        <f t="shared" si="78"/>
        <v>53568720.370673373</v>
      </c>
      <c r="BT55" s="13">
        <f t="shared" si="79"/>
        <v>15851825.93898296</v>
      </c>
      <c r="BU55" s="13">
        <f t="shared" si="80"/>
        <v>2377773.8908474445</v>
      </c>
      <c r="BV55" s="13">
        <f t="shared" si="81"/>
        <v>13474052.048135515</v>
      </c>
      <c r="BW55" s="13">
        <f t="shared" si="82"/>
        <v>3962956.4847457404</v>
      </c>
      <c r="BX55" s="13"/>
      <c r="BY55" s="25">
        <f t="shared" si="83"/>
        <v>990739.12118643511</v>
      </c>
      <c r="BZ55" s="25">
        <f t="shared" si="84"/>
        <v>0</v>
      </c>
      <c r="CA55" s="25">
        <f t="shared" si="85"/>
        <v>990739.12118643511</v>
      </c>
      <c r="CB55" s="25">
        <f t="shared" si="86"/>
        <v>0</v>
      </c>
      <c r="CC55" s="25">
        <f t="shared" si="87"/>
        <v>842128.25300846982</v>
      </c>
      <c r="CD55" s="384">
        <f t="shared" si="88"/>
        <v>0</v>
      </c>
      <c r="CR55" s="25">
        <f t="shared" si="89"/>
        <v>1981478.2423728702</v>
      </c>
      <c r="CS55" s="25">
        <f t="shared" si="66"/>
        <v>0</v>
      </c>
      <c r="CT55" s="25">
        <f t="shared" si="66"/>
        <v>1981478.2423728702</v>
      </c>
      <c r="CU55" s="25">
        <f t="shared" si="90"/>
        <v>0</v>
      </c>
      <c r="CV55" s="25">
        <f t="shared" si="91"/>
        <v>1684256.5060169396</v>
      </c>
      <c r="CW55" s="25">
        <f t="shared" si="92"/>
        <v>0</v>
      </c>
      <c r="CY55" s="25">
        <f t="shared" si="93"/>
        <v>990739.12118643511</v>
      </c>
      <c r="CZ55" s="25">
        <f t="shared" si="94"/>
        <v>0</v>
      </c>
      <c r="DA55" s="25">
        <f t="shared" si="55"/>
        <v>990739.12118643511</v>
      </c>
      <c r="DB55" s="25">
        <f t="shared" si="95"/>
        <v>0</v>
      </c>
      <c r="DC55" s="25">
        <f t="shared" si="96"/>
        <v>842128.25300846982</v>
      </c>
      <c r="DD55" s="25">
        <f t="shared" si="97"/>
        <v>0</v>
      </c>
    </row>
    <row r="56" spans="1:108" x14ac:dyDescent="0.35">
      <c r="A56" s="282" t="str">
        <f t="shared" si="36"/>
        <v>344558_22</v>
      </c>
      <c r="B56" s="303">
        <v>344558</v>
      </c>
      <c r="C56" s="303">
        <v>22</v>
      </c>
      <c r="D56" s="319" t="str">
        <f>IFERROR(MATCH(C56,'[4]Custom Earning Pattern Not Popu'!$B$5:$B$428,0),"NA")</f>
        <v>NA</v>
      </c>
      <c r="E56" s="303" t="s">
        <v>17</v>
      </c>
      <c r="F56" s="303">
        <v>12</v>
      </c>
      <c r="G56" s="303">
        <v>14159</v>
      </c>
      <c r="H56" s="306">
        <v>40332</v>
      </c>
      <c r="I56" s="306">
        <v>45839</v>
      </c>
      <c r="J56" s="306">
        <v>46203</v>
      </c>
      <c r="K56" s="303" t="s">
        <v>113</v>
      </c>
      <c r="L56" s="306">
        <v>45839</v>
      </c>
      <c r="M56" s="306">
        <v>46203</v>
      </c>
      <c r="N56" s="303" t="s">
        <v>234</v>
      </c>
      <c r="O56" s="303" t="s">
        <v>234</v>
      </c>
      <c r="P56" s="148">
        <f t="shared" si="37"/>
        <v>0.2</v>
      </c>
      <c r="Q56" s="282">
        <v>1</v>
      </c>
      <c r="R56" s="282">
        <v>0</v>
      </c>
      <c r="S56" s="282" t="str">
        <f t="shared" si="52"/>
        <v>Orbit</v>
      </c>
      <c r="T56" s="282" t="s">
        <v>13</v>
      </c>
      <c r="U56" s="303" t="s">
        <v>248</v>
      </c>
      <c r="V56" s="303" t="s">
        <v>31</v>
      </c>
      <c r="W56" s="303" t="s">
        <v>78</v>
      </c>
      <c r="X56" s="303" t="s">
        <v>276</v>
      </c>
      <c r="Y56" s="303" t="s">
        <v>321</v>
      </c>
      <c r="Z56" s="303" t="s">
        <v>13</v>
      </c>
      <c r="AA56" s="308">
        <v>19814782.423728701</v>
      </c>
      <c r="AC56" s="289">
        <f t="shared" si="38"/>
        <v>0</v>
      </c>
      <c r="AD56" s="88" cm="1">
        <f t="array" ref="AD56">IF(AC56=0,0,INDEX(Summary!$S$4:$S$7,MATCH(AC56,Summary!$R$4:$R$7)+1))</f>
        <v>0</v>
      </c>
      <c r="AE56" s="88">
        <f>IFERROR(INDEX(Summary!$Y$4:$Y$6,MATCH('Input Data'!K56,Summary!$U$4:$U$6,0)),0)</f>
        <v>0.05</v>
      </c>
      <c r="AF56" s="88" t="b">
        <f t="shared" si="68"/>
        <v>1</v>
      </c>
      <c r="AG56" s="89">
        <f>IF(AF56,INDEX('IG Equity Share'!$B:$B,MATCH(YEAR(I56),'IG Equity Share'!$A:$A,0)),0)</f>
        <v>7.4999999999999997E-2</v>
      </c>
      <c r="AH56" s="383">
        <f>AJ56*AG56*_xlfn.XLOOKUP(I56,'S3123 Consortium Share'!$A$3:$A$5,'S3123 Consortium Share'!$F$3:$F$5,,-1)</f>
        <v>619211.9507415219</v>
      </c>
      <c r="AI56" s="14">
        <v>1</v>
      </c>
      <c r="AJ56" s="13">
        <f t="shared" si="69"/>
        <v>19814782.423728701</v>
      </c>
      <c r="AK56" s="13">
        <f t="shared" si="70"/>
        <v>19814782.423728701</v>
      </c>
      <c r="AL56" s="13" t="str">
        <f t="shared" si="71"/>
        <v>FIID</v>
      </c>
      <c r="AM56" s="52">
        <f t="shared" si="72"/>
        <v>2025</v>
      </c>
      <c r="AN56" s="4"/>
      <c r="AO56" s="13">
        <f t="shared" si="67"/>
        <v>0</v>
      </c>
      <c r="AP56" s="13">
        <f t="shared" si="67"/>
        <v>0</v>
      </c>
      <c r="AQ56" s="13">
        <f t="shared" si="67"/>
        <v>0</v>
      </c>
      <c r="AR56" s="13">
        <f t="shared" si="67"/>
        <v>0</v>
      </c>
      <c r="AS56" s="13">
        <f t="shared" si="67"/>
        <v>0</v>
      </c>
      <c r="AT56" s="13">
        <f t="shared" si="67"/>
        <v>0</v>
      </c>
      <c r="AU56" s="13">
        <f t="shared" si="67"/>
        <v>3962956.4847457404</v>
      </c>
      <c r="AV56" s="13">
        <f t="shared" si="98"/>
        <v>0</v>
      </c>
      <c r="AW56" s="13"/>
      <c r="AX56" s="13"/>
      <c r="AY56" s="13">
        <f t="shared" si="42"/>
        <v>3962956.4847457404</v>
      </c>
      <c r="AZ56" s="13">
        <f t="shared" si="58"/>
        <v>0</v>
      </c>
      <c r="BA56" s="74"/>
      <c r="BB56" s="25">
        <f t="shared" si="59"/>
        <v>15851825.93898296</v>
      </c>
      <c r="BC56" s="13">
        <f t="shared" si="60"/>
        <v>0</v>
      </c>
      <c r="BD56" s="13" t="b">
        <f>AND(AF56,NOT(ISNUMBER(MATCH(G56,Table1[Excluded Spacecraft ID],0))))</f>
        <v>1</v>
      </c>
      <c r="BE56" s="13">
        <f>BD56*AK56*_xlfn.XLOOKUP(I56,Table2[Date From],Table2[Cession],"Error",-1)*_xlfn.XLOOKUP(I56,'S3123 Consortium Share'!$A$3:$A$5,'S3123 Consortium Share'!$F$3:$F$5,,-1)</f>
        <v>1651231.8686440585</v>
      </c>
      <c r="BF56" s="13">
        <f t="shared" si="61"/>
        <v>15851825.93898296</v>
      </c>
      <c r="BG56" s="89" cm="1">
        <f t="array" ref="BG56">IF(V56="FIBL",0,INDEX('IGR QS'!$A$1:$D$570,MATCH('Input Data'!V56&amp;'Input Data'!W56&amp;'Input Data'!AM56,'IGR QS'!A:A&amp;'IGR QS'!B:B&amp;'IGR QS'!C:C,0),4))</f>
        <v>0.85</v>
      </c>
      <c r="BH56" s="13">
        <f t="shared" si="62"/>
        <v>13474052.048135515</v>
      </c>
      <c r="BI56" s="13">
        <f t="shared" si="63"/>
        <v>2377773.8908474445</v>
      </c>
      <c r="BJ56" s="13">
        <f t="shared" si="73"/>
        <v>0</v>
      </c>
      <c r="BK56" s="13">
        <f t="shared" si="64"/>
        <v>13474052.048135515</v>
      </c>
      <c r="BL56" s="13">
        <f t="shared" si="65"/>
        <v>2377773.8908474445</v>
      </c>
      <c r="BM56" s="21"/>
      <c r="BN56" s="13">
        <f t="shared" si="74"/>
        <v>33962303.368542388</v>
      </c>
      <c r="BO56" s="13">
        <f t="shared" si="75"/>
        <v>20011429.248113245</v>
      </c>
      <c r="BP56" s="13">
        <f t="shared" si="76"/>
        <v>13950874.12042914</v>
      </c>
      <c r="BQ56" s="13">
        <f t="shared" si="77"/>
        <v>99066382.597211704</v>
      </c>
      <c r="BR56" s="13">
        <f t="shared" si="78"/>
        <v>33257171.491438523</v>
      </c>
      <c r="BT56" s="13">
        <f t="shared" si="79"/>
        <v>15851825.93898296</v>
      </c>
      <c r="BU56" s="13">
        <f t="shared" si="80"/>
        <v>2377773.8908474445</v>
      </c>
      <c r="BV56" s="13">
        <f t="shared" si="81"/>
        <v>13474052.048135515</v>
      </c>
      <c r="BW56" s="13">
        <f t="shared" si="82"/>
        <v>3962956.4847457404</v>
      </c>
      <c r="BX56" s="13"/>
      <c r="BY56" s="25">
        <f t="shared" si="83"/>
        <v>990739.12118643511</v>
      </c>
      <c r="BZ56" s="25">
        <f t="shared" si="84"/>
        <v>0</v>
      </c>
      <c r="CA56" s="25">
        <f t="shared" si="85"/>
        <v>990739.12118643511</v>
      </c>
      <c r="CB56" s="25">
        <f t="shared" si="86"/>
        <v>0</v>
      </c>
      <c r="CC56" s="25">
        <f t="shared" si="87"/>
        <v>842128.25300846982</v>
      </c>
      <c r="CD56" s="384">
        <f t="shared" si="88"/>
        <v>0</v>
      </c>
      <c r="CR56" s="25">
        <f t="shared" si="89"/>
        <v>1981478.2423728702</v>
      </c>
      <c r="CS56" s="25">
        <f t="shared" si="66"/>
        <v>0</v>
      </c>
      <c r="CT56" s="25">
        <f t="shared" si="66"/>
        <v>1981478.2423728702</v>
      </c>
      <c r="CU56" s="25">
        <f t="shared" si="90"/>
        <v>0</v>
      </c>
      <c r="CV56" s="25">
        <f t="shared" si="91"/>
        <v>1684256.5060169396</v>
      </c>
      <c r="CW56" s="25">
        <f t="shared" si="92"/>
        <v>0</v>
      </c>
      <c r="CY56" s="25">
        <f t="shared" si="93"/>
        <v>990739.12118643511</v>
      </c>
      <c r="CZ56" s="25">
        <f t="shared" si="94"/>
        <v>0</v>
      </c>
      <c r="DA56" s="25">
        <f t="shared" si="55"/>
        <v>990739.12118643511</v>
      </c>
      <c r="DB56" s="25">
        <f t="shared" si="95"/>
        <v>0</v>
      </c>
      <c r="DC56" s="25">
        <f t="shared" si="96"/>
        <v>842128.25300846982</v>
      </c>
      <c r="DD56" s="25">
        <f t="shared" si="97"/>
        <v>0</v>
      </c>
    </row>
    <row r="57" spans="1:108" x14ac:dyDescent="0.35">
      <c r="A57" s="282" t="str">
        <f t="shared" si="36"/>
        <v>344558_23</v>
      </c>
      <c r="B57" s="303">
        <v>344558</v>
      </c>
      <c r="C57" s="303">
        <v>23</v>
      </c>
      <c r="D57" s="319" t="str">
        <f>IFERROR(MATCH(C57,'[4]Custom Earning Pattern Not Popu'!$B$5:$B$428,0),"NA")</f>
        <v>NA</v>
      </c>
      <c r="E57" s="303" t="s">
        <v>17</v>
      </c>
      <c r="F57" s="303">
        <v>12</v>
      </c>
      <c r="G57" s="303">
        <v>13008</v>
      </c>
      <c r="H57" s="306">
        <v>40807</v>
      </c>
      <c r="I57" s="306">
        <v>45839</v>
      </c>
      <c r="J57" s="306">
        <v>46203</v>
      </c>
      <c r="K57" s="303" t="s">
        <v>113</v>
      </c>
      <c r="L57" s="306">
        <v>45839</v>
      </c>
      <c r="M57" s="306">
        <v>46203</v>
      </c>
      <c r="N57" s="303" t="s">
        <v>230</v>
      </c>
      <c r="O57" s="303" t="s">
        <v>230</v>
      </c>
      <c r="P57" s="148">
        <f t="shared" si="37"/>
        <v>0.2</v>
      </c>
      <c r="Q57" s="282">
        <v>1</v>
      </c>
      <c r="R57" s="282">
        <v>0</v>
      </c>
      <c r="S57" s="282" t="str">
        <f t="shared" si="52"/>
        <v>Orbit</v>
      </c>
      <c r="T57" s="282" t="s">
        <v>13</v>
      </c>
      <c r="U57" s="303" t="s">
        <v>248</v>
      </c>
      <c r="V57" s="303" t="s">
        <v>31</v>
      </c>
      <c r="W57" s="303" t="s">
        <v>78</v>
      </c>
      <c r="X57" s="303" t="s">
        <v>277</v>
      </c>
      <c r="Y57" s="303" t="s">
        <v>322</v>
      </c>
      <c r="Z57" s="303" t="s">
        <v>13</v>
      </c>
      <c r="AA57" s="308">
        <v>19814782.423728701</v>
      </c>
      <c r="AC57" s="289">
        <f t="shared" si="38"/>
        <v>0</v>
      </c>
      <c r="AD57" s="88" cm="1">
        <f t="array" ref="AD57">IF(AC57=0,0,INDEX(Summary!$S$4:$S$7,MATCH(AC57,Summary!$R$4:$R$7)+1))</f>
        <v>0</v>
      </c>
      <c r="AE57" s="88">
        <f>IFERROR(INDEX(Summary!$Y$4:$Y$6,MATCH('Input Data'!K57,Summary!$U$4:$U$6,0)),0)</f>
        <v>0.05</v>
      </c>
      <c r="AF57" s="88" t="b">
        <f t="shared" si="68"/>
        <v>1</v>
      </c>
      <c r="AG57" s="89">
        <f>IF(AF57,INDEX('IG Equity Share'!$B:$B,MATCH(YEAR(I57),'IG Equity Share'!$A:$A,0)),0)</f>
        <v>7.4999999999999997E-2</v>
      </c>
      <c r="AH57" s="383">
        <f>AJ57*AG57*_xlfn.XLOOKUP(I57,'S3123 Consortium Share'!$A$3:$A$5,'S3123 Consortium Share'!$F$3:$F$5,,-1)</f>
        <v>619211.9507415219</v>
      </c>
      <c r="AI57" s="14">
        <v>1</v>
      </c>
      <c r="AJ57" s="13">
        <f t="shared" si="69"/>
        <v>19814782.423728701</v>
      </c>
      <c r="AK57" s="13">
        <f t="shared" si="70"/>
        <v>19814782.423728701</v>
      </c>
      <c r="AL57" s="13" t="str">
        <f t="shared" si="71"/>
        <v>FIID</v>
      </c>
      <c r="AM57" s="52">
        <f t="shared" si="72"/>
        <v>2025</v>
      </c>
      <c r="AN57" s="4">
        <f>INDEX('[2]Input Data'!$AH:$AH,MATCH(A57,'[2]Input Data'!$A:$A,0),1)-AH57</f>
        <v>0</v>
      </c>
      <c r="AO57" s="13">
        <f t="shared" si="67"/>
        <v>0</v>
      </c>
      <c r="AP57" s="13">
        <f t="shared" si="67"/>
        <v>0</v>
      </c>
      <c r="AQ57" s="13">
        <f t="shared" si="67"/>
        <v>0</v>
      </c>
      <c r="AR57" s="13">
        <f t="shared" si="67"/>
        <v>0</v>
      </c>
      <c r="AS57" s="13">
        <f t="shared" si="67"/>
        <v>0</v>
      </c>
      <c r="AT57" s="13">
        <f t="shared" si="67"/>
        <v>0</v>
      </c>
      <c r="AU57" s="13">
        <f t="shared" si="67"/>
        <v>3962956.4847457404</v>
      </c>
      <c r="AV57" s="13">
        <f t="shared" si="98"/>
        <v>0</v>
      </c>
      <c r="AW57" s="13"/>
      <c r="AX57" s="13"/>
      <c r="AY57" s="13">
        <f t="shared" si="42"/>
        <v>3962956.4847457404</v>
      </c>
      <c r="AZ57" s="13">
        <f t="shared" si="58"/>
        <v>0</v>
      </c>
      <c r="BA57" s="74"/>
      <c r="BB57" s="25">
        <f t="shared" si="59"/>
        <v>15851825.93898296</v>
      </c>
      <c r="BC57" s="13">
        <f t="shared" si="60"/>
        <v>0</v>
      </c>
      <c r="BD57" s="13" t="b">
        <f>AND(AF57,NOT(ISNUMBER(MATCH(G57,Table1[Excluded Spacecraft ID],0))))</f>
        <v>1</v>
      </c>
      <c r="BE57" s="13">
        <f>BD57*AK57*_xlfn.XLOOKUP(I57,Table2[Date From],Table2[Cession],"Error",-1)*_xlfn.XLOOKUP(I57,'S3123 Consortium Share'!$A$3:$A$5,'S3123 Consortium Share'!$F$3:$F$5,,-1)</f>
        <v>1651231.8686440585</v>
      </c>
      <c r="BF57" s="13">
        <f t="shared" si="61"/>
        <v>15851825.93898296</v>
      </c>
      <c r="BG57" s="89" cm="1">
        <f t="array" ref="BG57">IF(V57="FIBL",0,INDEX('IGR QS'!$A$1:$D$570,MATCH('Input Data'!V57&amp;'Input Data'!W57&amp;'Input Data'!AM57,'IGR QS'!A:A&amp;'IGR QS'!B:B&amp;'IGR QS'!C:C,0),4))</f>
        <v>0.85</v>
      </c>
      <c r="BH57" s="13">
        <f t="shared" si="62"/>
        <v>13474052.048135515</v>
      </c>
      <c r="BI57" s="13">
        <f t="shared" si="63"/>
        <v>2377773.8908474445</v>
      </c>
      <c r="BJ57" s="13">
        <f t="shared" si="73"/>
        <v>0</v>
      </c>
      <c r="BK57" s="13">
        <f t="shared" si="64"/>
        <v>13474052.048135515</v>
      </c>
      <c r="BL57" s="13">
        <f t="shared" si="65"/>
        <v>2377773.8908474445</v>
      </c>
      <c r="BM57" s="21"/>
      <c r="BN57" s="13">
        <f t="shared" si="74"/>
        <v>66471396.42403952</v>
      </c>
      <c r="BO57" s="13">
        <f t="shared" si="75"/>
        <v>49043091.716622137</v>
      </c>
      <c r="BP57" s="13">
        <f t="shared" si="76"/>
        <v>17428304.707417384</v>
      </c>
      <c r="BQ57" s="13">
        <f t="shared" si="77"/>
        <v>147803485.05865392</v>
      </c>
      <c r="BR57" s="13">
        <f t="shared" si="78"/>
        <v>53568720.370673373</v>
      </c>
      <c r="BT57" s="13">
        <f t="shared" si="79"/>
        <v>15851825.93898296</v>
      </c>
      <c r="BU57" s="13">
        <f t="shared" si="80"/>
        <v>2377773.8908474445</v>
      </c>
      <c r="BV57" s="13">
        <f t="shared" si="81"/>
        <v>13474052.048135515</v>
      </c>
      <c r="BW57" s="13">
        <f t="shared" si="82"/>
        <v>3962956.4847457404</v>
      </c>
      <c r="BX57" s="13"/>
      <c r="BY57" s="25">
        <f t="shared" si="83"/>
        <v>990739.12118643511</v>
      </c>
      <c r="BZ57" s="25">
        <f t="shared" si="84"/>
        <v>0</v>
      </c>
      <c r="CA57" s="25">
        <f t="shared" si="85"/>
        <v>990739.12118643511</v>
      </c>
      <c r="CB57" s="25">
        <f t="shared" si="86"/>
        <v>0</v>
      </c>
      <c r="CC57" s="25">
        <f t="shared" si="87"/>
        <v>842128.25300846982</v>
      </c>
      <c r="CD57" s="384">
        <f t="shared" si="88"/>
        <v>0</v>
      </c>
      <c r="CR57" s="25">
        <f t="shared" si="89"/>
        <v>1981478.2423728702</v>
      </c>
      <c r="CS57" s="25">
        <f t="shared" si="66"/>
        <v>0</v>
      </c>
      <c r="CT57" s="25">
        <f t="shared" si="66"/>
        <v>1981478.2423728702</v>
      </c>
      <c r="CU57" s="25">
        <f t="shared" si="90"/>
        <v>0</v>
      </c>
      <c r="CV57" s="25">
        <f t="shared" si="91"/>
        <v>1684256.5060169396</v>
      </c>
      <c r="CW57" s="25">
        <f t="shared" si="92"/>
        <v>0</v>
      </c>
      <c r="CY57" s="25">
        <f t="shared" si="93"/>
        <v>990739.12118643511</v>
      </c>
      <c r="CZ57" s="25">
        <f t="shared" si="94"/>
        <v>0</v>
      </c>
      <c r="DA57" s="25">
        <f t="shared" si="55"/>
        <v>990739.12118643511</v>
      </c>
      <c r="DB57" s="25">
        <f t="shared" si="95"/>
        <v>0</v>
      </c>
      <c r="DC57" s="25">
        <f t="shared" si="96"/>
        <v>842128.25300846982</v>
      </c>
      <c r="DD57" s="25">
        <f t="shared" si="97"/>
        <v>0</v>
      </c>
    </row>
    <row r="58" spans="1:108" x14ac:dyDescent="0.35">
      <c r="A58" s="282" t="str">
        <f t="shared" si="36"/>
        <v>328274_433090</v>
      </c>
      <c r="B58" s="303">
        <v>328274</v>
      </c>
      <c r="C58" s="303">
        <v>433090</v>
      </c>
      <c r="D58" s="319" t="str">
        <f>IFERROR(MATCH(C58,'[4]Custom Earning Pattern Not Popu'!$B$5:$B$428,0),"NA")</f>
        <v>NA</v>
      </c>
      <c r="E58" s="303" t="s">
        <v>347</v>
      </c>
      <c r="F58" s="316">
        <v>16</v>
      </c>
      <c r="G58" s="303">
        <v>13257</v>
      </c>
      <c r="H58" s="306">
        <v>45687</v>
      </c>
      <c r="I58" s="306">
        <v>45641</v>
      </c>
      <c r="J58" s="306">
        <v>46370</v>
      </c>
      <c r="K58" s="303" t="s">
        <v>113</v>
      </c>
      <c r="L58" s="306">
        <v>45687</v>
      </c>
      <c r="M58" s="317">
        <f>EDATE(L58,F58)</f>
        <v>46172</v>
      </c>
      <c r="N58" s="303" t="s">
        <v>230</v>
      </c>
      <c r="O58" s="303" t="s">
        <v>239</v>
      </c>
      <c r="P58" s="148">
        <f t="shared" si="37"/>
        <v>0.2</v>
      </c>
      <c r="Q58" s="282">
        <v>1</v>
      </c>
      <c r="R58" s="282">
        <v>0</v>
      </c>
      <c r="S58" s="282" t="str">
        <f t="shared" si="52"/>
        <v>L + 24 Months</v>
      </c>
      <c r="T58" s="282" t="s">
        <v>13</v>
      </c>
      <c r="U58" s="303" t="s">
        <v>548</v>
      </c>
      <c r="V58" s="303" t="s">
        <v>31</v>
      </c>
      <c r="W58" s="303" t="s">
        <v>80</v>
      </c>
      <c r="X58" s="303" t="s">
        <v>348</v>
      </c>
      <c r="Y58" s="303" t="s">
        <v>322</v>
      </c>
      <c r="Z58" s="303" t="s">
        <v>338</v>
      </c>
      <c r="AA58" s="308">
        <v>26601157.9806302</v>
      </c>
      <c r="AC58" s="289">
        <f t="shared" si="38"/>
        <v>0</v>
      </c>
      <c r="AD58" s="88" cm="1">
        <f t="array" ref="AD58">IF(AC58=0,0,INDEX(Summary!$S$4:$S$7,MATCH(AC58,Summary!$R$4:$R$7)+1))</f>
        <v>0</v>
      </c>
      <c r="AE58" s="88">
        <f>IFERROR(INDEX(Summary!$Y$4:$Y$6,MATCH('Input Data'!K58,Summary!$U$4:$U$6,0)),0)</f>
        <v>0.05</v>
      </c>
      <c r="AF58" s="88" t="b">
        <f t="shared" si="68"/>
        <v>1</v>
      </c>
      <c r="AG58" s="89">
        <f>IF(AF58,INDEX('IG Equity Share'!$B:$B,MATCH(YEAR(I58),'IG Equity Share'!$A:$A,0)),0)</f>
        <v>9.9000000000000005E-2</v>
      </c>
      <c r="AH58" s="383">
        <f>AJ58*AG58*_xlfn.XLOOKUP(I58,'S3123 Consortium Share'!$A$3:$A$5,'S3123 Consortium Share'!$F$3:$F$5,,-1)</f>
        <v>1097297.7667009959</v>
      </c>
      <c r="AI58" s="14">
        <v>1</v>
      </c>
      <c r="AJ58" s="13">
        <f t="shared" si="69"/>
        <v>26601157.9806302</v>
      </c>
      <c r="AK58" s="13">
        <f t="shared" si="70"/>
        <v>26601157.9806302</v>
      </c>
      <c r="AL58" s="13" t="str">
        <f t="shared" si="71"/>
        <v>FIID</v>
      </c>
      <c r="AM58" s="52">
        <f t="shared" si="72"/>
        <v>2024</v>
      </c>
      <c r="AN58" s="4"/>
      <c r="AO58" s="13">
        <f t="shared" si="67"/>
        <v>0</v>
      </c>
      <c r="AP58" s="13">
        <f t="shared" si="67"/>
        <v>0</v>
      </c>
      <c r="AQ58" s="13">
        <f t="shared" si="67"/>
        <v>0</v>
      </c>
      <c r="AR58" s="13">
        <f t="shared" si="67"/>
        <v>0</v>
      </c>
      <c r="AS58" s="13">
        <f t="shared" si="67"/>
        <v>0</v>
      </c>
      <c r="AT58" s="13">
        <f t="shared" si="67"/>
        <v>5320231.5961260404</v>
      </c>
      <c r="AU58" s="13">
        <f t="shared" si="67"/>
        <v>0</v>
      </c>
      <c r="AV58" s="13">
        <f t="shared" si="98"/>
        <v>0</v>
      </c>
      <c r="AW58" s="13"/>
      <c r="AX58" s="13"/>
      <c r="AY58" s="13">
        <f t="shared" si="42"/>
        <v>5320231.5961260404</v>
      </c>
      <c r="AZ58" s="13">
        <f t="shared" si="58"/>
        <v>0</v>
      </c>
      <c r="BA58" s="74"/>
      <c r="BB58" s="25">
        <f t="shared" si="59"/>
        <v>21280926.384504162</v>
      </c>
      <c r="BC58" s="13">
        <f t="shared" si="60"/>
        <v>0</v>
      </c>
      <c r="BD58" s="13" t="b">
        <f>AND(AF58,NOT(ISNUMBER(MATCH(G58,Table1[Excluded Spacecraft ID],0))))</f>
        <v>0</v>
      </c>
      <c r="BE58" s="13">
        <f>BD58*AK58*_xlfn.XLOOKUP(I58,Table2[Date From],Table2[Cession],"Error",-1)*_xlfn.XLOOKUP(I58,'S3123 Consortium Share'!$A$3:$A$5,'S3123 Consortium Share'!$F$3:$F$5,,-1)</f>
        <v>0</v>
      </c>
      <c r="BF58" s="13">
        <f t="shared" si="61"/>
        <v>21280926.384504162</v>
      </c>
      <c r="BG58" s="89" cm="1">
        <f t="array" ref="BG58">IF(V58="FIBL",0,INDEX('IGR QS'!$A$1:$D$570,MATCH('Input Data'!V58&amp;'Input Data'!W58&amp;'Input Data'!AM58,'IGR QS'!A:A&amp;'IGR QS'!B:B&amp;'IGR QS'!C:C,0),4))</f>
        <v>0.85</v>
      </c>
      <c r="BH58" s="13">
        <f t="shared" si="62"/>
        <v>18088787.426828537</v>
      </c>
      <c r="BI58" s="13">
        <f t="shared" si="63"/>
        <v>3192138.9576756246</v>
      </c>
      <c r="BJ58" s="13">
        <f t="shared" si="73"/>
        <v>0</v>
      </c>
      <c r="BK58" s="13">
        <f t="shared" si="64"/>
        <v>18088787.426828537</v>
      </c>
      <c r="BL58" s="13">
        <f t="shared" si="65"/>
        <v>3192138.9576756246</v>
      </c>
      <c r="BM58" s="21"/>
      <c r="BN58" s="13">
        <f t="shared" si="74"/>
        <v>66471396.42403952</v>
      </c>
      <c r="BO58" s="13">
        <f t="shared" si="75"/>
        <v>49043091.716622137</v>
      </c>
      <c r="BP58" s="13">
        <f t="shared" si="76"/>
        <v>17428304.707417384</v>
      </c>
      <c r="BQ58" s="13">
        <f t="shared" si="77"/>
        <v>147803485.05865392</v>
      </c>
      <c r="BR58" s="13">
        <f t="shared" si="78"/>
        <v>53568720.370673373</v>
      </c>
      <c r="BT58" s="13">
        <f t="shared" si="79"/>
        <v>21280926.384504162</v>
      </c>
      <c r="BU58" s="13">
        <f t="shared" si="80"/>
        <v>3192138.9576756246</v>
      </c>
      <c r="BV58" s="13">
        <f t="shared" si="81"/>
        <v>18088787.426828537</v>
      </c>
      <c r="BW58" s="13">
        <f t="shared" si="82"/>
        <v>5320231.5961260404</v>
      </c>
      <c r="BX58" s="13"/>
      <c r="BY58" s="25">
        <f t="shared" si="83"/>
        <v>1330057.8990315101</v>
      </c>
      <c r="BZ58" s="25">
        <f t="shared" si="84"/>
        <v>0</v>
      </c>
      <c r="CA58" s="25">
        <f t="shared" si="85"/>
        <v>1330057.8990315101</v>
      </c>
      <c r="CB58" s="25">
        <f t="shared" si="86"/>
        <v>0</v>
      </c>
      <c r="CC58" s="25">
        <f t="shared" si="87"/>
        <v>1130549.2141767836</v>
      </c>
      <c r="CD58" s="384">
        <f t="shared" si="88"/>
        <v>0</v>
      </c>
      <c r="CR58" s="25">
        <f t="shared" si="89"/>
        <v>2660115.7980630202</v>
      </c>
      <c r="CS58" s="25">
        <f t="shared" si="66"/>
        <v>0</v>
      </c>
      <c r="CT58" s="25">
        <f t="shared" si="66"/>
        <v>2660115.7980630202</v>
      </c>
      <c r="CU58" s="25">
        <f t="shared" si="90"/>
        <v>0</v>
      </c>
      <c r="CV58" s="25">
        <f t="shared" si="91"/>
        <v>2261098.4283535671</v>
      </c>
      <c r="CW58" s="25">
        <f t="shared" si="92"/>
        <v>0</v>
      </c>
      <c r="CY58" s="25">
        <f t="shared" si="93"/>
        <v>1330057.8990315101</v>
      </c>
      <c r="CZ58" s="25">
        <f t="shared" si="94"/>
        <v>0</v>
      </c>
      <c r="DA58" s="25">
        <f t="shared" ref="DA58:DA89" si="99">IF(AND(OR($K58="GEO-GSO",$K58="MEO"),$AL58=DA$19),$AK58*Space_Debris_Loss,0)*$Q58*$AE58</f>
        <v>1330057.8990315101</v>
      </c>
      <c r="DB58" s="25">
        <f t="shared" si="95"/>
        <v>0</v>
      </c>
      <c r="DC58" s="25">
        <f t="shared" si="96"/>
        <v>1130549.2141767836</v>
      </c>
      <c r="DD58" s="25">
        <f t="shared" si="97"/>
        <v>0</v>
      </c>
    </row>
    <row r="59" spans="1:108" x14ac:dyDescent="0.35">
      <c r="A59" s="282" t="str">
        <f t="shared" si="36"/>
        <v>328274_436566</v>
      </c>
      <c r="B59" s="303">
        <v>328274</v>
      </c>
      <c r="C59" s="303">
        <v>436566</v>
      </c>
      <c r="D59" s="319" t="str">
        <f>IFERROR(MATCH(C59,'[4]Custom Earning Pattern Not Popu'!$B$5:$B$428,0),"NA")</f>
        <v>NA</v>
      </c>
      <c r="E59" s="303" t="s">
        <v>347</v>
      </c>
      <c r="F59" s="316">
        <v>16</v>
      </c>
      <c r="G59" s="303">
        <v>13258</v>
      </c>
      <c r="H59" s="306">
        <v>45954</v>
      </c>
      <c r="I59" s="306">
        <v>45641</v>
      </c>
      <c r="J59" s="306">
        <v>46370</v>
      </c>
      <c r="K59" s="303" t="s">
        <v>113</v>
      </c>
      <c r="L59" s="306">
        <v>45954</v>
      </c>
      <c r="M59" s="317">
        <f>EDATE(L59,F59)</f>
        <v>46442</v>
      </c>
      <c r="N59" s="303" t="s">
        <v>230</v>
      </c>
      <c r="O59" s="303" t="s">
        <v>239</v>
      </c>
      <c r="P59" s="148">
        <f t="shared" si="37"/>
        <v>0.4</v>
      </c>
      <c r="Q59" s="282">
        <v>1</v>
      </c>
      <c r="R59" s="282">
        <v>0</v>
      </c>
      <c r="S59" s="282" t="str">
        <f t="shared" si="52"/>
        <v>L + 24 Months</v>
      </c>
      <c r="T59" s="282" t="s">
        <v>13</v>
      </c>
      <c r="U59" s="303" t="s">
        <v>548</v>
      </c>
      <c r="V59" s="303" t="s">
        <v>31</v>
      </c>
      <c r="W59" s="303" t="s">
        <v>80</v>
      </c>
      <c r="X59" s="303" t="s">
        <v>485</v>
      </c>
      <c r="Y59" s="303" t="s">
        <v>322</v>
      </c>
      <c r="Z59" s="303" t="s">
        <v>338</v>
      </c>
      <c r="AA59" s="308">
        <v>26601157.9806302</v>
      </c>
      <c r="AC59" s="289">
        <f t="shared" si="38"/>
        <v>0</v>
      </c>
      <c r="AD59" s="88" cm="1">
        <f t="array" ref="AD59">IF(AC59=0,0,INDEX(Summary!$S$4:$S$7,MATCH(AC59,Summary!$R$4:$R$7)+1))</f>
        <v>0</v>
      </c>
      <c r="AE59" s="88">
        <f>IFERROR(INDEX(Summary!$Y$4:$Y$6,MATCH('Input Data'!K59,Summary!$U$4:$U$6,0)),0)</f>
        <v>0.05</v>
      </c>
      <c r="AF59" s="88" t="b">
        <f t="shared" si="68"/>
        <v>1</v>
      </c>
      <c r="AG59" s="89">
        <f>IF(AF59,INDEX('IG Equity Share'!$B:$B,MATCH(YEAR(I59),'IG Equity Share'!$A:$A,0)),0)</f>
        <v>9.9000000000000005E-2</v>
      </c>
      <c r="AH59" s="383">
        <f>AJ59*AG59*_xlfn.XLOOKUP(I59,'S3123 Consortium Share'!$A$3:$A$5,'S3123 Consortium Share'!$F$3:$F$5,,-1)</f>
        <v>1097297.7667009959</v>
      </c>
      <c r="AI59" s="14">
        <v>1</v>
      </c>
      <c r="AJ59" s="13">
        <f t="shared" si="69"/>
        <v>26601157.9806302</v>
      </c>
      <c r="AK59" s="13">
        <f t="shared" si="70"/>
        <v>26601157.9806302</v>
      </c>
      <c r="AL59" s="13" t="str">
        <f t="shared" si="71"/>
        <v>FIID</v>
      </c>
      <c r="AM59" s="52">
        <f t="shared" si="72"/>
        <v>2024</v>
      </c>
      <c r="AN59" s="4"/>
      <c r="AO59" s="13">
        <f t="shared" si="67"/>
        <v>0</v>
      </c>
      <c r="AP59" s="13">
        <f t="shared" si="67"/>
        <v>0</v>
      </c>
      <c r="AQ59" s="13">
        <f t="shared" si="67"/>
        <v>0</v>
      </c>
      <c r="AR59" s="13">
        <f t="shared" si="67"/>
        <v>0</v>
      </c>
      <c r="AS59" s="13">
        <f t="shared" si="67"/>
        <v>0</v>
      </c>
      <c r="AT59" s="13">
        <f t="shared" si="67"/>
        <v>5320231.5961260404</v>
      </c>
      <c r="AU59" s="13">
        <f t="shared" si="67"/>
        <v>0</v>
      </c>
      <c r="AV59" s="13">
        <f t="shared" si="98"/>
        <v>0</v>
      </c>
      <c r="AW59" s="13"/>
      <c r="AX59" s="13"/>
      <c r="AY59" s="13">
        <f t="shared" si="42"/>
        <v>5320231.5961260404</v>
      </c>
      <c r="AZ59" s="13">
        <f t="shared" si="58"/>
        <v>0</v>
      </c>
      <c r="BA59" s="74"/>
      <c r="BB59" s="25">
        <f t="shared" si="59"/>
        <v>21280926.384504162</v>
      </c>
      <c r="BC59" s="13">
        <f t="shared" si="60"/>
        <v>0</v>
      </c>
      <c r="BD59" s="13" t="b">
        <f>AND(AF59,NOT(ISNUMBER(MATCH(G59,Table1[Excluded Spacecraft ID],0))))</f>
        <v>1</v>
      </c>
      <c r="BE59" s="13">
        <f>BD59*AK59*_xlfn.XLOOKUP(I59,Table2[Date From],Table2[Cession],"Error",-1)*_xlfn.XLOOKUP(I59,'S3123 Consortium Share'!$A$3:$A$5,'S3123 Consortium Share'!$F$3:$F$5,,-1)</f>
        <v>2216763.1650525169</v>
      </c>
      <c r="BF59" s="13">
        <f t="shared" si="61"/>
        <v>21280926.384504162</v>
      </c>
      <c r="BG59" s="89" cm="1">
        <f t="array" ref="BG59">IF(V59="FIBL",0,INDEX('IGR QS'!$A$1:$D$570,MATCH('Input Data'!V59&amp;'Input Data'!W59&amp;'Input Data'!AM59,'IGR QS'!A:A&amp;'IGR QS'!B:B&amp;'IGR QS'!C:C,0),4))</f>
        <v>0.85</v>
      </c>
      <c r="BH59" s="13">
        <f t="shared" si="62"/>
        <v>18088787.426828537</v>
      </c>
      <c r="BI59" s="13">
        <f t="shared" si="63"/>
        <v>3192138.9576756246</v>
      </c>
      <c r="BJ59" s="13">
        <f t="shared" si="73"/>
        <v>0</v>
      </c>
      <c r="BK59" s="13">
        <f t="shared" si="64"/>
        <v>18088787.426828537</v>
      </c>
      <c r="BL59" s="13">
        <f t="shared" si="65"/>
        <v>3192138.9576756246</v>
      </c>
      <c r="BM59" s="21"/>
      <c r="BN59" s="13">
        <f t="shared" si="74"/>
        <v>66471396.42403952</v>
      </c>
      <c r="BO59" s="13">
        <f t="shared" si="75"/>
        <v>49043091.716622137</v>
      </c>
      <c r="BP59" s="13">
        <f t="shared" si="76"/>
        <v>17428304.707417384</v>
      </c>
      <c r="BQ59" s="13">
        <f t="shared" si="77"/>
        <v>147803485.05865392</v>
      </c>
      <c r="BR59" s="13">
        <f t="shared" si="78"/>
        <v>53568720.370673373</v>
      </c>
      <c r="BT59" s="13">
        <f t="shared" si="79"/>
        <v>21280926.384504162</v>
      </c>
      <c r="BU59" s="13">
        <f t="shared" si="80"/>
        <v>3192138.9576756246</v>
      </c>
      <c r="BV59" s="13">
        <f t="shared" si="81"/>
        <v>18088787.426828537</v>
      </c>
      <c r="BW59" s="13">
        <f t="shared" si="82"/>
        <v>5320231.5961260404</v>
      </c>
      <c r="BX59" s="13"/>
      <c r="BY59" s="25">
        <f t="shared" si="83"/>
        <v>1330057.8990315101</v>
      </c>
      <c r="BZ59" s="25">
        <f t="shared" si="84"/>
        <v>0</v>
      </c>
      <c r="CA59" s="25">
        <f t="shared" si="85"/>
        <v>1330057.8990315101</v>
      </c>
      <c r="CB59" s="25">
        <f t="shared" si="86"/>
        <v>0</v>
      </c>
      <c r="CC59" s="25">
        <f t="shared" si="87"/>
        <v>1130549.2141767836</v>
      </c>
      <c r="CD59" s="384">
        <f t="shared" si="88"/>
        <v>0</v>
      </c>
      <c r="CR59" s="25">
        <f t="shared" si="89"/>
        <v>5320231.5961260404</v>
      </c>
      <c r="CS59" s="25">
        <f t="shared" si="66"/>
        <v>0</v>
      </c>
      <c r="CT59" s="25">
        <f t="shared" si="66"/>
        <v>5320231.5961260404</v>
      </c>
      <c r="CU59" s="25">
        <f t="shared" si="90"/>
        <v>0</v>
      </c>
      <c r="CV59" s="25">
        <f t="shared" si="91"/>
        <v>4522196.8567071343</v>
      </c>
      <c r="CW59" s="25">
        <f t="shared" si="92"/>
        <v>0</v>
      </c>
      <c r="CY59" s="25">
        <f t="shared" si="93"/>
        <v>1330057.8990315101</v>
      </c>
      <c r="CZ59" s="25">
        <f t="shared" si="94"/>
        <v>0</v>
      </c>
      <c r="DA59" s="25">
        <f t="shared" si="99"/>
        <v>1330057.8990315101</v>
      </c>
      <c r="DB59" s="25">
        <f t="shared" si="95"/>
        <v>0</v>
      </c>
      <c r="DC59" s="25">
        <f t="shared" si="96"/>
        <v>1130549.2141767836</v>
      </c>
      <c r="DD59" s="25">
        <f t="shared" si="97"/>
        <v>0</v>
      </c>
    </row>
    <row r="60" spans="1:108" x14ac:dyDescent="0.35">
      <c r="A60" s="282" t="str">
        <f t="shared" si="36"/>
        <v>334082_445095</v>
      </c>
      <c r="B60" s="303">
        <v>334082</v>
      </c>
      <c r="C60" s="303">
        <v>445095</v>
      </c>
      <c r="D60" s="319" t="str">
        <f>IFERROR(MATCH(C60,'[4]Custom Earning Pattern Not Popu'!$B$5:$B$428,0),"NA")</f>
        <v>NA</v>
      </c>
      <c r="E60" s="303" t="s">
        <v>347</v>
      </c>
      <c r="F60" s="309">
        <v>16</v>
      </c>
      <c r="G60" s="303">
        <v>13257</v>
      </c>
      <c r="H60" s="306">
        <v>45687</v>
      </c>
      <c r="I60" s="306">
        <v>45673</v>
      </c>
      <c r="J60" s="306">
        <v>46402</v>
      </c>
      <c r="K60" s="303" t="s">
        <v>113</v>
      </c>
      <c r="L60" s="306">
        <v>45687</v>
      </c>
      <c r="M60" s="317">
        <f>EDATE(L60,F60)</f>
        <v>46172</v>
      </c>
      <c r="N60" s="303" t="s">
        <v>230</v>
      </c>
      <c r="O60" s="303" t="s">
        <v>239</v>
      </c>
      <c r="P60" s="148">
        <f t="shared" si="37"/>
        <v>0.2</v>
      </c>
      <c r="Q60" s="282">
        <v>1</v>
      </c>
      <c r="R60" s="282">
        <v>0</v>
      </c>
      <c r="S60" s="282" t="str">
        <f t="shared" si="52"/>
        <v>L + 24 Months</v>
      </c>
      <c r="T60" s="282" t="s">
        <v>13</v>
      </c>
      <c r="U60" s="303" t="s">
        <v>349</v>
      </c>
      <c r="V60" s="303" t="s">
        <v>31</v>
      </c>
      <c r="W60" s="303" t="s">
        <v>80</v>
      </c>
      <c r="X60" s="303" t="s">
        <v>348</v>
      </c>
      <c r="Y60" s="303" t="s">
        <v>322</v>
      </c>
      <c r="Z60" s="303" t="s">
        <v>338</v>
      </c>
      <c r="AA60" s="308">
        <v>2256469.3948105499</v>
      </c>
      <c r="AC60" s="289">
        <f t="shared" si="38"/>
        <v>0</v>
      </c>
      <c r="AD60" s="88" cm="1">
        <f t="array" ref="AD60">IF(AC60=0,0,INDEX(Summary!$S$4:$S$7,MATCH(AC60,Summary!$R$4:$R$7)+1))</f>
        <v>0</v>
      </c>
      <c r="AE60" s="88">
        <f>IFERROR(INDEX(Summary!$Y$4:$Y$6,MATCH('Input Data'!K60,Summary!$U$4:$U$6,0)),0)</f>
        <v>0.05</v>
      </c>
      <c r="AF60" s="88" t="b">
        <f t="shared" si="68"/>
        <v>1</v>
      </c>
      <c r="AG60" s="89">
        <f>IF(AF60,INDEX('IG Equity Share'!$B:$B,MATCH(YEAR(I60),'IG Equity Share'!$A:$A,0)),0)</f>
        <v>7.4999999999999997E-2</v>
      </c>
      <c r="AH60" s="383">
        <f>AJ60*AG60*_xlfn.XLOOKUP(I60,'S3123 Consortium Share'!$A$3:$A$5,'S3123 Consortium Share'!$F$3:$F$5,,-1)</f>
        <v>70514.668587829685</v>
      </c>
      <c r="AI60" s="14">
        <v>1</v>
      </c>
      <c r="AJ60" s="13">
        <f t="shared" si="69"/>
        <v>2256469.3948105499</v>
      </c>
      <c r="AK60" s="13">
        <f t="shared" si="70"/>
        <v>2256469.3948105499</v>
      </c>
      <c r="AL60" s="13" t="str">
        <f t="shared" si="71"/>
        <v>FIID</v>
      </c>
      <c r="AM60" s="52">
        <f t="shared" si="72"/>
        <v>2025</v>
      </c>
      <c r="AN60" s="4"/>
      <c r="AO60" s="13">
        <f t="shared" ref="AO60:AU69" si="100">+IF(AND($I60&lt;=AO$8,$I60&gt;=AO$7),$AK60*AO$11,0)</f>
        <v>0</v>
      </c>
      <c r="AP60" s="13">
        <f t="shared" si="100"/>
        <v>0</v>
      </c>
      <c r="AQ60" s="13">
        <f t="shared" si="100"/>
        <v>0</v>
      </c>
      <c r="AR60" s="13">
        <f t="shared" si="100"/>
        <v>0</v>
      </c>
      <c r="AS60" s="13">
        <f t="shared" si="100"/>
        <v>0</v>
      </c>
      <c r="AT60" s="13">
        <f t="shared" si="100"/>
        <v>0</v>
      </c>
      <c r="AU60" s="13">
        <f t="shared" si="100"/>
        <v>451293.87896211003</v>
      </c>
      <c r="AV60" s="13">
        <f t="shared" si="98"/>
        <v>0</v>
      </c>
      <c r="AW60" s="13"/>
      <c r="AX60" s="13"/>
      <c r="AY60" s="13">
        <f t="shared" si="42"/>
        <v>451293.87896211003</v>
      </c>
      <c r="AZ60" s="13">
        <f t="shared" si="58"/>
        <v>0</v>
      </c>
      <c r="BA60" s="74"/>
      <c r="BB60" s="25">
        <f t="shared" si="59"/>
        <v>1805175.5158484399</v>
      </c>
      <c r="BC60" s="13">
        <f t="shared" si="60"/>
        <v>0</v>
      </c>
      <c r="BD60" s="13" t="b">
        <f>AND(AF60,NOT(ISNUMBER(MATCH(G60,Table1[Excluded Spacecraft ID],0))))</f>
        <v>0</v>
      </c>
      <c r="BE60" s="13">
        <f>BD60*AK60*_xlfn.XLOOKUP(I60,Table2[Date From],Table2[Cession],"Error",-1)*_xlfn.XLOOKUP(I60,'S3123 Consortium Share'!$A$3:$A$5,'S3123 Consortium Share'!$F$3:$F$5,,-1)</f>
        <v>0</v>
      </c>
      <c r="BF60" s="13">
        <f t="shared" si="61"/>
        <v>1805175.5158484399</v>
      </c>
      <c r="BG60" s="89" cm="1">
        <f t="array" ref="BG60">IF(V60="FIBL",0,INDEX('IGR QS'!$A$1:$D$570,MATCH('Input Data'!V60&amp;'Input Data'!W60&amp;'Input Data'!AM60,'IGR QS'!A:A&amp;'IGR QS'!B:B&amp;'IGR QS'!C:C,0),4))</f>
        <v>0.85</v>
      </c>
      <c r="BH60" s="13">
        <f t="shared" si="62"/>
        <v>1534399.1884711739</v>
      </c>
      <c r="BI60" s="13">
        <f t="shared" si="63"/>
        <v>270776.32737726602</v>
      </c>
      <c r="BJ60" s="13">
        <f t="shared" si="73"/>
        <v>0</v>
      </c>
      <c r="BK60" s="13">
        <f t="shared" si="64"/>
        <v>1534399.1884711739</v>
      </c>
      <c r="BL60" s="13">
        <f t="shared" si="65"/>
        <v>270776.32737726602</v>
      </c>
      <c r="BM60" s="21"/>
      <c r="BN60" s="13">
        <f t="shared" si="74"/>
        <v>66471396.42403952</v>
      </c>
      <c r="BO60" s="13">
        <f t="shared" si="75"/>
        <v>49043091.716622137</v>
      </c>
      <c r="BP60" s="13">
        <f t="shared" si="76"/>
        <v>17428304.707417384</v>
      </c>
      <c r="BQ60" s="13">
        <f t="shared" si="77"/>
        <v>147803485.05865392</v>
      </c>
      <c r="BR60" s="13">
        <f t="shared" si="78"/>
        <v>53568720.370673373</v>
      </c>
      <c r="BT60" s="13">
        <f t="shared" si="79"/>
        <v>1805175.5158484399</v>
      </c>
      <c r="BU60" s="13">
        <f t="shared" si="80"/>
        <v>270776.32737726602</v>
      </c>
      <c r="BV60" s="13">
        <f t="shared" si="81"/>
        <v>1534399.1884711739</v>
      </c>
      <c r="BW60" s="13">
        <f t="shared" si="82"/>
        <v>451293.87896211003</v>
      </c>
      <c r="BX60" s="13"/>
      <c r="BY60" s="25">
        <f t="shared" si="83"/>
        <v>112823.46974052751</v>
      </c>
      <c r="BZ60" s="25">
        <f t="shared" si="84"/>
        <v>0</v>
      </c>
      <c r="CA60" s="25">
        <f t="shared" si="85"/>
        <v>112823.46974052751</v>
      </c>
      <c r="CB60" s="25">
        <f t="shared" si="86"/>
        <v>0</v>
      </c>
      <c r="CC60" s="25">
        <f t="shared" si="87"/>
        <v>95899.949279448367</v>
      </c>
      <c r="CD60" s="384">
        <f t="shared" si="88"/>
        <v>0</v>
      </c>
      <c r="CR60" s="25">
        <f t="shared" si="89"/>
        <v>225646.93948105501</v>
      </c>
      <c r="CS60" s="25">
        <f t="shared" ref="CS60:CT79" si="101">IF(AND(OR($K60="GEO-GSO",$K60="MEO"),$AL60=CS$19),$AK60*Generic_Defect_Loss,0)*$Q60*$P60</f>
        <v>0</v>
      </c>
      <c r="CT60" s="25">
        <f t="shared" si="101"/>
        <v>225646.93948105501</v>
      </c>
      <c r="CU60" s="25">
        <f t="shared" si="90"/>
        <v>0</v>
      </c>
      <c r="CV60" s="25">
        <f t="shared" si="91"/>
        <v>191799.89855889673</v>
      </c>
      <c r="CW60" s="25">
        <f t="shared" si="92"/>
        <v>0</v>
      </c>
      <c r="CY60" s="25">
        <f t="shared" si="93"/>
        <v>112823.46974052751</v>
      </c>
      <c r="CZ60" s="25">
        <f t="shared" si="94"/>
        <v>0</v>
      </c>
      <c r="DA60" s="25">
        <f t="shared" si="99"/>
        <v>112823.46974052751</v>
      </c>
      <c r="DB60" s="25">
        <f t="shared" si="95"/>
        <v>0</v>
      </c>
      <c r="DC60" s="25">
        <f t="shared" si="96"/>
        <v>95899.949279448367</v>
      </c>
      <c r="DD60" s="25">
        <f t="shared" si="97"/>
        <v>0</v>
      </c>
    </row>
    <row r="61" spans="1:108" x14ac:dyDescent="0.35">
      <c r="A61" s="282" t="str">
        <f t="shared" si="36"/>
        <v>334902_446645</v>
      </c>
      <c r="B61" s="303">
        <v>334902</v>
      </c>
      <c r="C61" s="303">
        <v>446645</v>
      </c>
      <c r="D61" s="319" t="str">
        <f>IFERROR(MATCH(C61,'[4]Custom Earning Pattern Not Popu'!$B$5:$B$428,0),"NA")</f>
        <v>NA</v>
      </c>
      <c r="E61" s="303" t="s">
        <v>228</v>
      </c>
      <c r="F61" s="303">
        <v>15</v>
      </c>
      <c r="G61" s="303">
        <v>13325</v>
      </c>
      <c r="H61" s="306">
        <v>45294</v>
      </c>
      <c r="I61" s="306">
        <v>45689</v>
      </c>
      <c r="J61" s="306">
        <v>46142</v>
      </c>
      <c r="K61" s="303" t="s">
        <v>113</v>
      </c>
      <c r="L61" s="306">
        <v>45689</v>
      </c>
      <c r="M61" s="306">
        <v>46142</v>
      </c>
      <c r="N61" s="303" t="s">
        <v>466</v>
      </c>
      <c r="O61" s="303" t="s">
        <v>466</v>
      </c>
      <c r="P61" s="148">
        <f t="shared" si="37"/>
        <v>0.2</v>
      </c>
      <c r="Q61" s="282">
        <v>1</v>
      </c>
      <c r="R61" s="282">
        <v>0</v>
      </c>
      <c r="S61" s="282" t="str">
        <f t="shared" si="52"/>
        <v>In-Orbit</v>
      </c>
      <c r="T61" s="282" t="s">
        <v>13</v>
      </c>
      <c r="U61" s="303" t="s">
        <v>351</v>
      </c>
      <c r="V61" s="303" t="s">
        <v>31</v>
      </c>
      <c r="W61" s="303" t="s">
        <v>78</v>
      </c>
      <c r="X61" s="303" t="s">
        <v>352</v>
      </c>
      <c r="Y61" s="303" t="s">
        <v>334</v>
      </c>
      <c r="Z61" s="303" t="s">
        <v>338</v>
      </c>
      <c r="AA61" s="308">
        <v>10824710.7036082</v>
      </c>
      <c r="AC61" s="289">
        <f t="shared" si="38"/>
        <v>0</v>
      </c>
      <c r="AD61" s="88" cm="1">
        <f t="array" ref="AD61">IF(AC61=0,0,INDEX(Summary!$S$4:$S$7,MATCH(AC61,Summary!$R$4:$R$7)+1))</f>
        <v>0</v>
      </c>
      <c r="AE61" s="88">
        <f>IFERROR(INDEX(Summary!$Y$4:$Y$6,MATCH('Input Data'!K61,Summary!$U$4:$U$6,0)),0)</f>
        <v>0.05</v>
      </c>
      <c r="AF61" s="88" t="b">
        <f t="shared" si="68"/>
        <v>1</v>
      </c>
      <c r="AG61" s="89">
        <f>IF(AF61,INDEX('IG Equity Share'!$B:$B,MATCH(YEAR(I61),'IG Equity Share'!$A:$A,0)),0)</f>
        <v>7.4999999999999997E-2</v>
      </c>
      <c r="AH61" s="383">
        <f>AJ61*AG61*_xlfn.XLOOKUP(I61,'S3123 Consortium Share'!$A$3:$A$5,'S3123 Consortium Share'!$F$3:$F$5,,-1)</f>
        <v>338272.20948775625</v>
      </c>
      <c r="AI61" s="14">
        <v>1</v>
      </c>
      <c r="AJ61" s="13">
        <f t="shared" si="69"/>
        <v>10824710.7036082</v>
      </c>
      <c r="AK61" s="13">
        <f t="shared" si="70"/>
        <v>10824710.7036082</v>
      </c>
      <c r="AL61" s="13" t="str">
        <f t="shared" si="71"/>
        <v>FIID</v>
      </c>
      <c r="AM61" s="52">
        <f t="shared" si="72"/>
        <v>2025</v>
      </c>
      <c r="AN61" s="4"/>
      <c r="AO61" s="13">
        <f t="shared" si="100"/>
        <v>0</v>
      </c>
      <c r="AP61" s="13">
        <f t="shared" si="100"/>
        <v>0</v>
      </c>
      <c r="AQ61" s="13">
        <f t="shared" si="100"/>
        <v>0</v>
      </c>
      <c r="AR61" s="13">
        <f t="shared" si="100"/>
        <v>0</v>
      </c>
      <c r="AS61" s="13">
        <f t="shared" si="100"/>
        <v>0</v>
      </c>
      <c r="AT61" s="13">
        <f t="shared" si="100"/>
        <v>0</v>
      </c>
      <c r="AU61" s="13">
        <f t="shared" si="100"/>
        <v>2164942.1407216401</v>
      </c>
      <c r="AV61" s="13">
        <f t="shared" si="98"/>
        <v>0</v>
      </c>
      <c r="AW61" s="13"/>
      <c r="AX61" s="13"/>
      <c r="AY61" s="13">
        <f t="shared" si="42"/>
        <v>2164942.1407216401</v>
      </c>
      <c r="AZ61" s="13">
        <f t="shared" si="58"/>
        <v>0</v>
      </c>
      <c r="BA61" s="74"/>
      <c r="BB61" s="25">
        <f t="shared" si="59"/>
        <v>8659768.5628865603</v>
      </c>
      <c r="BC61" s="13">
        <f t="shared" si="60"/>
        <v>0</v>
      </c>
      <c r="BD61" s="13" t="b">
        <f>AND(AF61,NOT(ISNUMBER(MATCH(G61,Table1[Excluded Spacecraft ID],0))))</f>
        <v>1</v>
      </c>
      <c r="BE61" s="13">
        <f>BD61*AK61*_xlfn.XLOOKUP(I61,Table2[Date From],Table2[Cession],"Error",-1)*_xlfn.XLOOKUP(I61,'S3123 Consortium Share'!$A$3:$A$5,'S3123 Consortium Share'!$F$3:$F$5,,-1)</f>
        <v>902059.22530068341</v>
      </c>
      <c r="BF61" s="13">
        <f t="shared" si="61"/>
        <v>8659768.5628865603</v>
      </c>
      <c r="BG61" s="89" cm="1">
        <f t="array" ref="BG61">IF(V61="FIBL",0,INDEX('IGR QS'!$A$1:$D$570,MATCH('Input Data'!V61&amp;'Input Data'!W61&amp;'Input Data'!AM61,'IGR QS'!A:A&amp;'IGR QS'!B:B&amp;'IGR QS'!C:C,0),4))</f>
        <v>0.85</v>
      </c>
      <c r="BH61" s="13">
        <f t="shared" si="62"/>
        <v>7360803.2784535764</v>
      </c>
      <c r="BI61" s="13">
        <f t="shared" si="63"/>
        <v>1298965.284432984</v>
      </c>
      <c r="BJ61" s="13">
        <f t="shared" si="73"/>
        <v>0</v>
      </c>
      <c r="BK61" s="13">
        <f t="shared" si="64"/>
        <v>7360803.2784535764</v>
      </c>
      <c r="BL61" s="13">
        <f t="shared" si="65"/>
        <v>1298965.284432984</v>
      </c>
      <c r="BM61" s="21"/>
      <c r="BN61" s="13">
        <f t="shared" si="74"/>
        <v>42320200.903406374</v>
      </c>
      <c r="BO61" s="13">
        <f t="shared" si="75"/>
        <v>39234742.262773834</v>
      </c>
      <c r="BP61" s="13">
        <f t="shared" si="76"/>
        <v>3085458.6406325367</v>
      </c>
      <c r="BQ61" s="13">
        <f t="shared" si="77"/>
        <v>50319014.293024875</v>
      </c>
      <c r="BR61" s="13">
        <f t="shared" si="78"/>
        <v>23159803.799107812</v>
      </c>
      <c r="BT61" s="13">
        <f t="shared" si="79"/>
        <v>8659768.5628865603</v>
      </c>
      <c r="BU61" s="13">
        <f t="shared" si="80"/>
        <v>1298965.284432984</v>
      </c>
      <c r="BV61" s="13">
        <f t="shared" si="81"/>
        <v>7360803.2784535764</v>
      </c>
      <c r="BW61" s="13">
        <f t="shared" si="82"/>
        <v>2164942.1407216401</v>
      </c>
      <c r="BX61" s="13"/>
      <c r="BY61" s="25">
        <f t="shared" si="83"/>
        <v>541235.53518041002</v>
      </c>
      <c r="BZ61" s="25">
        <f t="shared" si="84"/>
        <v>0</v>
      </c>
      <c r="CA61" s="25">
        <f t="shared" si="85"/>
        <v>541235.53518041002</v>
      </c>
      <c r="CB61" s="25">
        <f t="shared" si="86"/>
        <v>0</v>
      </c>
      <c r="CC61" s="25">
        <f t="shared" si="87"/>
        <v>460050.20490334847</v>
      </c>
      <c r="CD61" s="384">
        <f t="shared" si="88"/>
        <v>0</v>
      </c>
      <c r="CR61" s="25">
        <f t="shared" si="89"/>
        <v>1082471.07036082</v>
      </c>
      <c r="CS61" s="25">
        <f t="shared" si="101"/>
        <v>0</v>
      </c>
      <c r="CT61" s="25">
        <f t="shared" si="101"/>
        <v>1082471.07036082</v>
      </c>
      <c r="CU61" s="25">
        <f t="shared" si="90"/>
        <v>0</v>
      </c>
      <c r="CV61" s="25">
        <f t="shared" si="91"/>
        <v>920100.40980669693</v>
      </c>
      <c r="CW61" s="25">
        <f t="shared" si="92"/>
        <v>0</v>
      </c>
      <c r="CY61" s="25">
        <f t="shared" si="93"/>
        <v>541235.53518041002</v>
      </c>
      <c r="CZ61" s="25">
        <f t="shared" si="94"/>
        <v>0</v>
      </c>
      <c r="DA61" s="25">
        <f t="shared" si="99"/>
        <v>541235.53518041002</v>
      </c>
      <c r="DB61" s="25">
        <f t="shared" si="95"/>
        <v>0</v>
      </c>
      <c r="DC61" s="25">
        <f t="shared" si="96"/>
        <v>460050.20490334847</v>
      </c>
      <c r="DD61" s="25">
        <f t="shared" si="97"/>
        <v>0</v>
      </c>
    </row>
    <row r="62" spans="1:108" x14ac:dyDescent="0.35">
      <c r="A62" s="282" t="str">
        <f t="shared" si="36"/>
        <v>335513_447941</v>
      </c>
      <c r="B62" s="303">
        <v>335513</v>
      </c>
      <c r="C62" s="303">
        <v>447941</v>
      </c>
      <c r="D62" s="319" t="str">
        <f>IFERROR(MATCH(C62,'[4]Custom Earning Pattern Not Popu'!$B$5:$B$428,0),"NA")</f>
        <v>NA</v>
      </c>
      <c r="E62" s="303" t="s">
        <v>228</v>
      </c>
      <c r="F62" s="303">
        <v>12</v>
      </c>
      <c r="G62" s="303">
        <v>12548</v>
      </c>
      <c r="H62" s="306">
        <v>45442</v>
      </c>
      <c r="I62" s="306">
        <v>45807</v>
      </c>
      <c r="J62" s="306">
        <v>46171</v>
      </c>
      <c r="K62" s="303" t="s">
        <v>113</v>
      </c>
      <c r="L62" s="306">
        <v>45807</v>
      </c>
      <c r="M62" s="306">
        <v>46171</v>
      </c>
      <c r="N62" s="303" t="s">
        <v>519</v>
      </c>
      <c r="O62" s="303" t="s">
        <v>242</v>
      </c>
      <c r="P62" s="148">
        <f t="shared" si="37"/>
        <v>0.2</v>
      </c>
      <c r="Q62" s="282">
        <v>1</v>
      </c>
      <c r="R62" s="282">
        <v>0</v>
      </c>
      <c r="S62" s="282" t="str">
        <f t="shared" si="52"/>
        <v>In-Orbit</v>
      </c>
      <c r="T62" s="282" t="s">
        <v>13</v>
      </c>
      <c r="U62" s="303" t="s">
        <v>374</v>
      </c>
      <c r="V62" s="303" t="s">
        <v>29</v>
      </c>
      <c r="W62" s="303" t="s">
        <v>78</v>
      </c>
      <c r="X62" s="303" t="s">
        <v>378</v>
      </c>
      <c r="Y62" s="303" t="s">
        <v>330</v>
      </c>
      <c r="Z62" s="303" t="s">
        <v>344</v>
      </c>
      <c r="AA62" s="308">
        <v>21649484.5</v>
      </c>
      <c r="AC62" s="289">
        <f t="shared" si="38"/>
        <v>0</v>
      </c>
      <c r="AD62" s="88" cm="1">
        <f t="array" ref="AD62">IF(AC62=0,0,INDEX(Summary!$S$4:$S$7,MATCH(AC62,Summary!$R$4:$R$7)+1))</f>
        <v>0</v>
      </c>
      <c r="AE62" s="88">
        <f>IFERROR(INDEX(Summary!$Y$4:$Y$6,MATCH('Input Data'!K62,Summary!$U$4:$U$6,0)),0)</f>
        <v>0.05</v>
      </c>
      <c r="AF62" s="88" t="b">
        <f t="shared" si="68"/>
        <v>1</v>
      </c>
      <c r="AG62" s="89">
        <f>IF(AF62,INDEX('IG Equity Share'!$B:$B,MATCH(YEAR(I62),'IG Equity Share'!$A:$A,0)),0)</f>
        <v>7.4999999999999997E-2</v>
      </c>
      <c r="AH62" s="383">
        <f>AJ62*AG62*_xlfn.XLOOKUP(I62,'S3123 Consortium Share'!$A$3:$A$5,'S3123 Consortium Share'!$F$3:$F$5,,-1)</f>
        <v>676546.390625</v>
      </c>
      <c r="AI62" s="14">
        <v>1</v>
      </c>
      <c r="AJ62" s="13">
        <f t="shared" si="69"/>
        <v>21649484.5</v>
      </c>
      <c r="AK62" s="13">
        <f t="shared" si="70"/>
        <v>21649484.5</v>
      </c>
      <c r="AL62" s="13" t="str">
        <f t="shared" si="71"/>
        <v>FUL</v>
      </c>
      <c r="AM62" s="52">
        <f t="shared" si="72"/>
        <v>2025</v>
      </c>
      <c r="AN62" s="4"/>
      <c r="AO62" s="13">
        <f t="shared" si="100"/>
        <v>0</v>
      </c>
      <c r="AP62" s="13">
        <f t="shared" si="100"/>
        <v>0</v>
      </c>
      <c r="AQ62" s="13">
        <f t="shared" si="100"/>
        <v>0</v>
      </c>
      <c r="AR62" s="13">
        <f t="shared" si="100"/>
        <v>0</v>
      </c>
      <c r="AS62" s="13">
        <f t="shared" si="100"/>
        <v>0</v>
      </c>
      <c r="AT62" s="13">
        <f t="shared" si="100"/>
        <v>0</v>
      </c>
      <c r="AU62" s="13">
        <f t="shared" si="100"/>
        <v>4329896.9000000004</v>
      </c>
      <c r="AV62" s="13">
        <f t="shared" si="98"/>
        <v>0</v>
      </c>
      <c r="AW62" s="13"/>
      <c r="AX62" s="13"/>
      <c r="AY62" s="13">
        <f t="shared" si="42"/>
        <v>4329896.9000000004</v>
      </c>
      <c r="AZ62" s="13">
        <f t="shared" si="58"/>
        <v>0</v>
      </c>
      <c r="BA62" s="74"/>
      <c r="BB62" s="25">
        <f t="shared" si="59"/>
        <v>17319587.600000001</v>
      </c>
      <c r="BC62" s="13">
        <f t="shared" si="60"/>
        <v>0</v>
      </c>
      <c r="BD62" s="13" t="b">
        <f>AND(AF62,NOT(ISNUMBER(MATCH(G62,Table1[Excluded Spacecraft ID],0))))</f>
        <v>1</v>
      </c>
      <c r="BE62" s="13">
        <f>BD62*AK62*_xlfn.XLOOKUP(I62,Table2[Date From],Table2[Cession],"Error",-1)*_xlfn.XLOOKUP(I62,'S3123 Consortium Share'!$A$3:$A$5,'S3123 Consortium Share'!$F$3:$F$5,,-1)</f>
        <v>1804123.7083333335</v>
      </c>
      <c r="BF62" s="13">
        <f t="shared" si="61"/>
        <v>17319587.600000001</v>
      </c>
      <c r="BG62" s="89" cm="1">
        <f t="array" ref="BG62">IF(V62="FIBL",0,INDEX('IGR QS'!$A$1:$D$570,MATCH('Input Data'!V62&amp;'Input Data'!W62&amp;'Input Data'!AM62,'IGR QS'!A:A&amp;'IGR QS'!B:B&amp;'IGR QS'!C:C,0),4))</f>
        <v>0.5</v>
      </c>
      <c r="BH62" s="13">
        <f t="shared" si="62"/>
        <v>8659793.8000000007</v>
      </c>
      <c r="BI62" s="13">
        <f t="shared" si="63"/>
        <v>8659793.8000000007</v>
      </c>
      <c r="BJ62" s="13">
        <f t="shared" si="73"/>
        <v>0</v>
      </c>
      <c r="BK62" s="13">
        <f t="shared" si="64"/>
        <v>8659793.8000000007</v>
      </c>
      <c r="BL62" s="13">
        <f t="shared" si="65"/>
        <v>8659793.8000000007</v>
      </c>
      <c r="BM62" s="21"/>
      <c r="BN62" s="13">
        <f t="shared" si="74"/>
        <v>16659733</v>
      </c>
      <c r="BO62" s="13">
        <f t="shared" si="75"/>
        <v>8659793.8000000007</v>
      </c>
      <c r="BP62" s="13">
        <f t="shared" si="76"/>
        <v>0</v>
      </c>
      <c r="BQ62" s="13">
        <f t="shared" si="77"/>
        <v>8659793.8000000007</v>
      </c>
      <c r="BR62" s="13">
        <f t="shared" si="78"/>
        <v>6329881.7000000002</v>
      </c>
      <c r="BT62" s="13">
        <f t="shared" si="79"/>
        <v>17319587.600000001</v>
      </c>
      <c r="BU62" s="13">
        <f t="shared" si="80"/>
        <v>8659793.8000000007</v>
      </c>
      <c r="BV62" s="13">
        <f t="shared" si="81"/>
        <v>8659793.8000000007</v>
      </c>
      <c r="BW62" s="13">
        <f t="shared" si="82"/>
        <v>4329896.9000000004</v>
      </c>
      <c r="BX62" s="13"/>
      <c r="BY62" s="25">
        <f t="shared" si="83"/>
        <v>1082474.2250000001</v>
      </c>
      <c r="BZ62" s="25">
        <f t="shared" si="84"/>
        <v>1082474.2250000001</v>
      </c>
      <c r="CA62" s="25">
        <f t="shared" si="85"/>
        <v>0</v>
      </c>
      <c r="CB62" s="25">
        <f t="shared" si="86"/>
        <v>0</v>
      </c>
      <c r="CC62" s="25">
        <f t="shared" si="87"/>
        <v>541237.11250000005</v>
      </c>
      <c r="CD62" s="384">
        <f t="shared" si="88"/>
        <v>0</v>
      </c>
      <c r="CR62" s="25">
        <f t="shared" si="89"/>
        <v>2164948.4500000002</v>
      </c>
      <c r="CS62" s="25">
        <f t="shared" si="101"/>
        <v>2164948.4500000002</v>
      </c>
      <c r="CT62" s="25">
        <f t="shared" si="101"/>
        <v>0</v>
      </c>
      <c r="CU62" s="25">
        <f t="shared" si="90"/>
        <v>0</v>
      </c>
      <c r="CV62" s="25">
        <f t="shared" si="91"/>
        <v>1082474.2250000001</v>
      </c>
      <c r="CW62" s="25">
        <f t="shared" si="92"/>
        <v>0</v>
      </c>
      <c r="CY62" s="25">
        <f t="shared" si="93"/>
        <v>1082474.2250000001</v>
      </c>
      <c r="CZ62" s="25">
        <f t="shared" si="94"/>
        <v>1082474.2250000001</v>
      </c>
      <c r="DA62" s="25">
        <f t="shared" si="99"/>
        <v>0</v>
      </c>
      <c r="DB62" s="25">
        <f t="shared" si="95"/>
        <v>0</v>
      </c>
      <c r="DC62" s="25">
        <f t="shared" si="96"/>
        <v>541237.11250000005</v>
      </c>
      <c r="DD62" s="25">
        <f t="shared" si="97"/>
        <v>0</v>
      </c>
    </row>
    <row r="63" spans="1:108" x14ac:dyDescent="0.35">
      <c r="A63" s="282" t="str">
        <f t="shared" si="36"/>
        <v>340072_456306</v>
      </c>
      <c r="B63" s="303">
        <v>340072</v>
      </c>
      <c r="C63" s="303">
        <v>456306</v>
      </c>
      <c r="D63" s="319" t="str">
        <f>IFERROR(MATCH(C63,'[4]Custom Earning Pattern Not Popu'!$B$5:$B$428,0),"NA")</f>
        <v>NA</v>
      </c>
      <c r="E63" s="303" t="s">
        <v>228</v>
      </c>
      <c r="F63" s="303">
        <v>12</v>
      </c>
      <c r="G63" s="303">
        <v>9688</v>
      </c>
      <c r="H63" s="306">
        <v>42517</v>
      </c>
      <c r="I63" s="306">
        <v>45805</v>
      </c>
      <c r="J63" s="306">
        <v>46169</v>
      </c>
      <c r="K63" s="303" t="s">
        <v>113</v>
      </c>
      <c r="L63" s="306">
        <v>45805</v>
      </c>
      <c r="M63" s="306">
        <v>46169</v>
      </c>
      <c r="N63" s="303" t="s">
        <v>240</v>
      </c>
      <c r="O63" s="303" t="s">
        <v>240</v>
      </c>
      <c r="P63" s="148">
        <f t="shared" si="37"/>
        <v>0.2</v>
      </c>
      <c r="Q63" s="282">
        <v>1</v>
      </c>
      <c r="R63" s="282">
        <v>0</v>
      </c>
      <c r="S63" s="282" t="str">
        <f t="shared" si="52"/>
        <v>In-Orbit</v>
      </c>
      <c r="T63" s="282" t="s">
        <v>13</v>
      </c>
      <c r="U63" s="303" t="s">
        <v>549</v>
      </c>
      <c r="V63" s="303" t="s">
        <v>29</v>
      </c>
      <c r="W63" s="303" t="s">
        <v>78</v>
      </c>
      <c r="X63" s="303" t="s">
        <v>379</v>
      </c>
      <c r="Y63" s="303" t="s">
        <v>329</v>
      </c>
      <c r="Z63" s="303" t="s">
        <v>338</v>
      </c>
      <c r="AA63" s="308">
        <v>11134020.6</v>
      </c>
      <c r="AC63" s="289">
        <f t="shared" si="38"/>
        <v>0</v>
      </c>
      <c r="AD63" s="88" cm="1">
        <f t="array" ref="AD63">IF(AC63=0,0,INDEX(Summary!$S$4:$S$7,MATCH(AC63,Summary!$R$4:$R$7)+1))</f>
        <v>0</v>
      </c>
      <c r="AE63" s="88">
        <f>IFERROR(INDEX(Summary!$Y$4:$Y$6,MATCH('Input Data'!K63,Summary!$U$4:$U$6,0)),0)</f>
        <v>0.05</v>
      </c>
      <c r="AF63" s="88" t="b">
        <f t="shared" si="68"/>
        <v>1</v>
      </c>
      <c r="AG63" s="89">
        <f>IF(AF63,INDEX('IG Equity Share'!$B:$B,MATCH(YEAR(I63),'IG Equity Share'!$A:$A,0)),0)</f>
        <v>7.4999999999999997E-2</v>
      </c>
      <c r="AH63" s="383">
        <f>AJ63*AG63*_xlfn.XLOOKUP(I63,'S3123 Consortium Share'!$A$3:$A$5,'S3123 Consortium Share'!$F$3:$F$5,,-1)</f>
        <v>347938.14374999999</v>
      </c>
      <c r="AI63" s="14">
        <v>1</v>
      </c>
      <c r="AJ63" s="13">
        <f t="shared" si="69"/>
        <v>11134020.6</v>
      </c>
      <c r="AK63" s="13">
        <f t="shared" si="70"/>
        <v>11134020.6</v>
      </c>
      <c r="AL63" s="13" t="str">
        <f t="shared" si="71"/>
        <v>FUL</v>
      </c>
      <c r="AM63" s="52">
        <f t="shared" si="72"/>
        <v>2025</v>
      </c>
      <c r="AN63" s="4"/>
      <c r="AO63" s="13">
        <f t="shared" si="100"/>
        <v>0</v>
      </c>
      <c r="AP63" s="13">
        <f t="shared" si="100"/>
        <v>0</v>
      </c>
      <c r="AQ63" s="13">
        <f t="shared" si="100"/>
        <v>0</v>
      </c>
      <c r="AR63" s="13">
        <f t="shared" si="100"/>
        <v>0</v>
      </c>
      <c r="AS63" s="13">
        <f t="shared" si="100"/>
        <v>0</v>
      </c>
      <c r="AT63" s="13">
        <f t="shared" si="100"/>
        <v>0</v>
      </c>
      <c r="AU63" s="13">
        <f t="shared" si="100"/>
        <v>2226804.12</v>
      </c>
      <c r="AV63" s="13">
        <f t="shared" si="98"/>
        <v>0</v>
      </c>
      <c r="AW63" s="13"/>
      <c r="AX63" s="13"/>
      <c r="AY63" s="13">
        <f t="shared" si="42"/>
        <v>2226804.12</v>
      </c>
      <c r="AZ63" s="13">
        <f t="shared" si="58"/>
        <v>0</v>
      </c>
      <c r="BA63" s="74"/>
      <c r="BB63" s="25">
        <f t="shared" si="59"/>
        <v>8907216.4800000004</v>
      </c>
      <c r="BC63" s="13">
        <f t="shared" si="60"/>
        <v>0</v>
      </c>
      <c r="BD63" s="13" t="b">
        <f>AND(AF63,NOT(ISNUMBER(MATCH(G63,Table1[Excluded Spacecraft ID],0))))</f>
        <v>1</v>
      </c>
      <c r="BE63" s="13">
        <f>BD63*AK63*_xlfn.XLOOKUP(I63,Table2[Date From],Table2[Cession],"Error",-1)*_xlfn.XLOOKUP(I63,'S3123 Consortium Share'!$A$3:$A$5,'S3123 Consortium Share'!$F$3:$F$5,,-1)</f>
        <v>927835.05</v>
      </c>
      <c r="BF63" s="13">
        <f t="shared" si="61"/>
        <v>8907216.4800000004</v>
      </c>
      <c r="BG63" s="89" cm="1">
        <f t="array" ref="BG63">IF(V63="FIBL",0,INDEX('IGR QS'!$A$1:$D$570,MATCH('Input Data'!V63&amp;'Input Data'!W63&amp;'Input Data'!AM63,'IGR QS'!A:A&amp;'IGR QS'!B:B&amp;'IGR QS'!C:C,0),4))</f>
        <v>0.5</v>
      </c>
      <c r="BH63" s="13">
        <f t="shared" si="62"/>
        <v>4453608.24</v>
      </c>
      <c r="BI63" s="13">
        <f t="shared" si="63"/>
        <v>4453608.24</v>
      </c>
      <c r="BJ63" s="13">
        <f t="shared" si="73"/>
        <v>0</v>
      </c>
      <c r="BK63" s="13">
        <f t="shared" si="64"/>
        <v>4453608.24</v>
      </c>
      <c r="BL63" s="13">
        <f t="shared" si="65"/>
        <v>4453608.24</v>
      </c>
      <c r="BM63" s="21"/>
      <c r="BN63" s="13">
        <f t="shared" si="74"/>
        <v>9278350.5</v>
      </c>
      <c r="BO63" s="13">
        <f t="shared" si="75"/>
        <v>9278350.5</v>
      </c>
      <c r="BP63" s="13">
        <f t="shared" si="76"/>
        <v>0</v>
      </c>
      <c r="BQ63" s="13">
        <f t="shared" si="77"/>
        <v>9278350.5</v>
      </c>
      <c r="BR63" s="13">
        <f t="shared" si="78"/>
        <v>4639175.25</v>
      </c>
      <c r="BT63" s="13">
        <f t="shared" si="79"/>
        <v>8907216.4800000004</v>
      </c>
      <c r="BU63" s="13">
        <f t="shared" si="80"/>
        <v>4453608.24</v>
      </c>
      <c r="BV63" s="13">
        <f t="shared" si="81"/>
        <v>4453608.24</v>
      </c>
      <c r="BW63" s="13">
        <f t="shared" si="82"/>
        <v>2226804.12</v>
      </c>
      <c r="BX63" s="13"/>
      <c r="BY63" s="25">
        <f t="shared" si="83"/>
        <v>556701.03</v>
      </c>
      <c r="BZ63" s="25">
        <f t="shared" si="84"/>
        <v>556701.03</v>
      </c>
      <c r="CA63" s="25">
        <f t="shared" si="85"/>
        <v>0</v>
      </c>
      <c r="CB63" s="25">
        <f t="shared" si="86"/>
        <v>0</v>
      </c>
      <c r="CC63" s="25">
        <f t="shared" si="87"/>
        <v>278350.51500000001</v>
      </c>
      <c r="CD63" s="384">
        <f t="shared" si="88"/>
        <v>0</v>
      </c>
      <c r="CR63" s="25">
        <f t="shared" si="89"/>
        <v>1113402.06</v>
      </c>
      <c r="CS63" s="25">
        <f t="shared" si="101"/>
        <v>1113402.06</v>
      </c>
      <c r="CT63" s="25">
        <f t="shared" si="101"/>
        <v>0</v>
      </c>
      <c r="CU63" s="25">
        <f t="shared" si="90"/>
        <v>0</v>
      </c>
      <c r="CV63" s="25">
        <f t="shared" si="91"/>
        <v>556701.03</v>
      </c>
      <c r="CW63" s="25">
        <f t="shared" si="92"/>
        <v>0</v>
      </c>
      <c r="CY63" s="25">
        <f t="shared" si="93"/>
        <v>556701.03</v>
      </c>
      <c r="CZ63" s="25">
        <f t="shared" si="94"/>
        <v>556701.03</v>
      </c>
      <c r="DA63" s="25">
        <f t="shared" si="99"/>
        <v>0</v>
      </c>
      <c r="DB63" s="25">
        <f t="shared" si="95"/>
        <v>0</v>
      </c>
      <c r="DC63" s="25">
        <f t="shared" si="96"/>
        <v>278350.51500000001</v>
      </c>
      <c r="DD63" s="25">
        <f t="shared" si="97"/>
        <v>0</v>
      </c>
    </row>
    <row r="64" spans="1:108" x14ac:dyDescent="0.35">
      <c r="A64" s="282" t="str">
        <f t="shared" si="36"/>
        <v>340405_457079</v>
      </c>
      <c r="B64" s="303">
        <v>340405</v>
      </c>
      <c r="C64" s="303">
        <v>457079</v>
      </c>
      <c r="D64" s="319" t="str">
        <f>IFERROR(MATCH(C64,'[4]Custom Earning Pattern Not Popu'!$B$5:$B$428,0),"NA")</f>
        <v>NA</v>
      </c>
      <c r="E64" s="303" t="s">
        <v>228</v>
      </c>
      <c r="F64" s="303">
        <v>12</v>
      </c>
      <c r="G64" s="303">
        <v>10590</v>
      </c>
      <c r="H64" s="306">
        <v>44552</v>
      </c>
      <c r="I64" s="306">
        <v>45769</v>
      </c>
      <c r="J64" s="306">
        <v>46133</v>
      </c>
      <c r="K64" s="303" t="s">
        <v>113</v>
      </c>
      <c r="L64" s="306">
        <v>45769</v>
      </c>
      <c r="M64" s="306">
        <v>46133</v>
      </c>
      <c r="N64" s="303" t="s">
        <v>230</v>
      </c>
      <c r="O64" s="303" t="s">
        <v>245</v>
      </c>
      <c r="P64" s="148">
        <f t="shared" si="37"/>
        <v>0.2</v>
      </c>
      <c r="Q64" s="282">
        <v>1</v>
      </c>
      <c r="R64" s="282">
        <v>0</v>
      </c>
      <c r="S64" s="282" t="str">
        <f t="shared" si="52"/>
        <v>In-Orbit</v>
      </c>
      <c r="T64" s="282" t="s">
        <v>13</v>
      </c>
      <c r="U64" s="303" t="s">
        <v>550</v>
      </c>
      <c r="V64" s="303" t="s">
        <v>29</v>
      </c>
      <c r="W64" s="303" t="s">
        <v>78</v>
      </c>
      <c r="X64" s="303" t="s">
        <v>314</v>
      </c>
      <c r="Y64" s="303" t="s">
        <v>315</v>
      </c>
      <c r="Z64" s="303" t="s">
        <v>345</v>
      </c>
      <c r="AA64" s="308">
        <v>10424239.7764406</v>
      </c>
      <c r="AC64" s="289">
        <f t="shared" si="38"/>
        <v>0</v>
      </c>
      <c r="AD64" s="88" cm="1">
        <f t="array" ref="AD64">IF(AC64=0,0,INDEX(Summary!$S$4:$S$7,MATCH(AC64,Summary!$R$4:$R$7)+1))</f>
        <v>0</v>
      </c>
      <c r="AE64" s="88">
        <f>IFERROR(INDEX(Summary!$Y$4:$Y$6,MATCH('Input Data'!K64,Summary!$U$4:$U$6,0)),0)</f>
        <v>0.05</v>
      </c>
      <c r="AF64" s="88" t="b">
        <f t="shared" si="68"/>
        <v>1</v>
      </c>
      <c r="AG64" s="89">
        <f>IF(AF64,INDEX('IG Equity Share'!$B:$B,MATCH(YEAR(I64),'IG Equity Share'!$A:$A,0)),0)</f>
        <v>7.4999999999999997E-2</v>
      </c>
      <c r="AH64" s="383">
        <f>AJ64*AG64*_xlfn.XLOOKUP(I64,'S3123 Consortium Share'!$A$3:$A$5,'S3123 Consortium Share'!$F$3:$F$5,,-1)</f>
        <v>325757.49301376875</v>
      </c>
      <c r="AI64" s="14">
        <v>1</v>
      </c>
      <c r="AJ64" s="13">
        <f t="shared" si="69"/>
        <v>10424239.7764406</v>
      </c>
      <c r="AK64" s="13">
        <f t="shared" si="70"/>
        <v>10424239.7764406</v>
      </c>
      <c r="AL64" s="13" t="str">
        <f t="shared" si="71"/>
        <v>FUL</v>
      </c>
      <c r="AM64" s="52">
        <f t="shared" si="72"/>
        <v>2025</v>
      </c>
      <c r="AN64" s="4">
        <f>INDEX('[2]Input Data'!$AH:$AH,MATCH(A64,'[2]Input Data'!$A:$A,0),1)-AH64</f>
        <v>0</v>
      </c>
      <c r="AO64" s="13">
        <f t="shared" si="100"/>
        <v>0</v>
      </c>
      <c r="AP64" s="13">
        <f t="shared" si="100"/>
        <v>0</v>
      </c>
      <c r="AQ64" s="13">
        <f t="shared" si="100"/>
        <v>0</v>
      </c>
      <c r="AR64" s="13">
        <f t="shared" si="100"/>
        <v>0</v>
      </c>
      <c r="AS64" s="13">
        <f t="shared" si="100"/>
        <v>0</v>
      </c>
      <c r="AT64" s="13">
        <f t="shared" si="100"/>
        <v>0</v>
      </c>
      <c r="AU64" s="13">
        <f t="shared" si="100"/>
        <v>2084847.9552881201</v>
      </c>
      <c r="AV64" s="13">
        <f t="shared" si="98"/>
        <v>0</v>
      </c>
      <c r="AW64" s="13"/>
      <c r="AX64" s="13"/>
      <c r="AY64" s="13">
        <f t="shared" si="42"/>
        <v>2084847.9552881201</v>
      </c>
      <c r="AZ64" s="13">
        <f t="shared" si="58"/>
        <v>0</v>
      </c>
      <c r="BA64" s="74"/>
      <c r="BB64" s="25">
        <f t="shared" si="59"/>
        <v>8339391.8211524803</v>
      </c>
      <c r="BC64" s="13">
        <f t="shared" si="60"/>
        <v>0</v>
      </c>
      <c r="BD64" s="13" t="b">
        <f>AND(AF64,NOT(ISNUMBER(MATCH(G64,Table1[Excluded Spacecraft ID],0))))</f>
        <v>0</v>
      </c>
      <c r="BE64" s="13">
        <f>BD64*AK64*_xlfn.XLOOKUP(I64,Table2[Date From],Table2[Cession],"Error",-1)*_xlfn.XLOOKUP(I64,'S3123 Consortium Share'!$A$3:$A$5,'S3123 Consortium Share'!$F$3:$F$5,,-1)</f>
        <v>0</v>
      </c>
      <c r="BF64" s="13">
        <f t="shared" si="61"/>
        <v>8339391.8211524803</v>
      </c>
      <c r="BG64" s="89" cm="1">
        <f t="array" ref="BG64">IF(V64="FIBL",0,INDEX('IGR QS'!$A$1:$D$570,MATCH('Input Data'!V64&amp;'Input Data'!W64&amp;'Input Data'!AM64,'IGR QS'!A:A&amp;'IGR QS'!B:B&amp;'IGR QS'!C:C,0),4))</f>
        <v>0.5</v>
      </c>
      <c r="BH64" s="13">
        <f t="shared" si="62"/>
        <v>4169695.9105762402</v>
      </c>
      <c r="BI64" s="13">
        <f t="shared" si="63"/>
        <v>4169695.9105762402</v>
      </c>
      <c r="BJ64" s="13">
        <f t="shared" si="73"/>
        <v>0</v>
      </c>
      <c r="BK64" s="13">
        <f t="shared" si="64"/>
        <v>4169695.9105762402</v>
      </c>
      <c r="BL64" s="13">
        <f t="shared" si="65"/>
        <v>4169695.9105762402</v>
      </c>
      <c r="BM64" s="21"/>
      <c r="BN64" s="13">
        <f t="shared" si="74"/>
        <v>66471396.42403952</v>
      </c>
      <c r="BO64" s="13">
        <f t="shared" si="75"/>
        <v>49043091.716622137</v>
      </c>
      <c r="BP64" s="13">
        <f t="shared" si="76"/>
        <v>17428304.707417384</v>
      </c>
      <c r="BQ64" s="13">
        <f t="shared" si="77"/>
        <v>147803485.05865392</v>
      </c>
      <c r="BR64" s="13">
        <f t="shared" si="78"/>
        <v>53568720.370673373</v>
      </c>
      <c r="BT64" s="13">
        <f t="shared" si="79"/>
        <v>8339391.8211524803</v>
      </c>
      <c r="BU64" s="13">
        <f t="shared" si="80"/>
        <v>4169695.9105762402</v>
      </c>
      <c r="BV64" s="13">
        <f t="shared" si="81"/>
        <v>4169695.9105762402</v>
      </c>
      <c r="BW64" s="13">
        <f t="shared" si="82"/>
        <v>2084847.9552881201</v>
      </c>
      <c r="BX64" s="13"/>
      <c r="BY64" s="25">
        <f t="shared" si="83"/>
        <v>521211.98882203002</v>
      </c>
      <c r="BZ64" s="25">
        <f t="shared" si="84"/>
        <v>521211.98882203002</v>
      </c>
      <c r="CA64" s="25">
        <f t="shared" si="85"/>
        <v>0</v>
      </c>
      <c r="CB64" s="25">
        <f t="shared" si="86"/>
        <v>0</v>
      </c>
      <c r="CC64" s="25">
        <f t="shared" si="87"/>
        <v>260605.99441101501</v>
      </c>
      <c r="CD64" s="384">
        <f t="shared" si="88"/>
        <v>0</v>
      </c>
      <c r="CR64" s="25">
        <f t="shared" si="89"/>
        <v>1042423.97764406</v>
      </c>
      <c r="CS64" s="25">
        <f t="shared" si="101"/>
        <v>1042423.97764406</v>
      </c>
      <c r="CT64" s="25">
        <f t="shared" si="101"/>
        <v>0</v>
      </c>
      <c r="CU64" s="25">
        <f t="shared" si="90"/>
        <v>0</v>
      </c>
      <c r="CV64" s="25">
        <f t="shared" si="91"/>
        <v>521211.98882203002</v>
      </c>
      <c r="CW64" s="25">
        <f t="shared" si="92"/>
        <v>0</v>
      </c>
      <c r="CY64" s="25">
        <f t="shared" si="93"/>
        <v>521211.98882203002</v>
      </c>
      <c r="CZ64" s="25">
        <f t="shared" si="94"/>
        <v>521211.98882203002</v>
      </c>
      <c r="DA64" s="25">
        <f t="shared" si="99"/>
        <v>0</v>
      </c>
      <c r="DB64" s="25">
        <f t="shared" si="95"/>
        <v>0</v>
      </c>
      <c r="DC64" s="25">
        <f t="shared" si="96"/>
        <v>260605.99441101501</v>
      </c>
      <c r="DD64" s="25">
        <f t="shared" si="97"/>
        <v>0</v>
      </c>
    </row>
    <row r="65" spans="1:108" x14ac:dyDescent="0.35">
      <c r="A65" s="282" t="str">
        <f t="shared" si="36"/>
        <v>340408_457089</v>
      </c>
      <c r="B65" s="303">
        <v>340408</v>
      </c>
      <c r="C65" s="303">
        <v>457089</v>
      </c>
      <c r="D65" s="319" t="str">
        <f>IFERROR(MATCH(C65,'[4]Custom Earning Pattern Not Popu'!$B$5:$B$428,0),"NA")</f>
        <v>NA</v>
      </c>
      <c r="E65" s="303" t="s">
        <v>228</v>
      </c>
      <c r="F65" s="303">
        <v>12</v>
      </c>
      <c r="G65" s="303">
        <v>10153</v>
      </c>
      <c r="H65" s="306">
        <v>43195</v>
      </c>
      <c r="I65" s="306">
        <v>45766</v>
      </c>
      <c r="J65" s="306">
        <v>46130</v>
      </c>
      <c r="K65" s="303" t="s">
        <v>113</v>
      </c>
      <c r="L65" s="306">
        <v>45766</v>
      </c>
      <c r="M65" s="306">
        <v>46130</v>
      </c>
      <c r="N65" s="303" t="s">
        <v>240</v>
      </c>
      <c r="O65" s="303" t="s">
        <v>238</v>
      </c>
      <c r="P65" s="148">
        <f t="shared" si="37"/>
        <v>0.2</v>
      </c>
      <c r="Q65" s="282">
        <v>1</v>
      </c>
      <c r="R65" s="282">
        <v>0</v>
      </c>
      <c r="S65" s="282" t="str">
        <f t="shared" si="52"/>
        <v>In-Orbit</v>
      </c>
      <c r="T65" s="282" t="s">
        <v>13</v>
      </c>
      <c r="U65" s="303" t="s">
        <v>404</v>
      </c>
      <c r="V65" s="303" t="s">
        <v>29</v>
      </c>
      <c r="W65" s="303" t="s">
        <v>78</v>
      </c>
      <c r="X65" s="303" t="s">
        <v>313</v>
      </c>
      <c r="Y65" s="303" t="s">
        <v>333</v>
      </c>
      <c r="Z65" s="303" t="s">
        <v>337</v>
      </c>
      <c r="AA65" s="308">
        <v>1237113.3999999999</v>
      </c>
      <c r="AC65" s="289">
        <f t="shared" si="38"/>
        <v>0</v>
      </c>
      <c r="AD65" s="88" cm="1">
        <f t="array" ref="AD65">IF(AC65=0,0,INDEX(Summary!$S$4:$S$7,MATCH(AC65,Summary!$R$4:$R$7)+1))</f>
        <v>0</v>
      </c>
      <c r="AE65" s="88">
        <f>IFERROR(INDEX(Summary!$Y$4:$Y$6,MATCH('Input Data'!K65,Summary!$U$4:$U$6,0)),0)</f>
        <v>0.05</v>
      </c>
      <c r="AF65" s="88" t="b">
        <f t="shared" si="68"/>
        <v>1</v>
      </c>
      <c r="AG65" s="89">
        <f>IF(AF65,INDEX('IG Equity Share'!$B:$B,MATCH(YEAR(I65),'IG Equity Share'!$A:$A,0)),0)</f>
        <v>7.4999999999999997E-2</v>
      </c>
      <c r="AH65" s="383">
        <f>AJ65*AG65*_xlfn.XLOOKUP(I65,'S3123 Consortium Share'!$A$3:$A$5,'S3123 Consortium Share'!$F$3:$F$5,,-1)</f>
        <v>38659.793749999997</v>
      </c>
      <c r="AI65" s="14">
        <v>1</v>
      </c>
      <c r="AJ65" s="13">
        <f t="shared" si="69"/>
        <v>1237113.3999999999</v>
      </c>
      <c r="AK65" s="13">
        <f t="shared" si="70"/>
        <v>1237113.3999999999</v>
      </c>
      <c r="AL65" s="13" t="str">
        <f t="shared" si="71"/>
        <v>FUL</v>
      </c>
      <c r="AM65" s="52">
        <f t="shared" si="72"/>
        <v>2025</v>
      </c>
      <c r="AN65" s="4">
        <f>INDEX('[2]Input Data'!$AH:$AH,MATCH(A65,'[2]Input Data'!$A:$A,0),1)-AH65</f>
        <v>0</v>
      </c>
      <c r="AO65" s="13">
        <f t="shared" si="100"/>
        <v>0</v>
      </c>
      <c r="AP65" s="13">
        <f t="shared" si="100"/>
        <v>0</v>
      </c>
      <c r="AQ65" s="13">
        <f t="shared" si="100"/>
        <v>0</v>
      </c>
      <c r="AR65" s="13">
        <f t="shared" si="100"/>
        <v>0</v>
      </c>
      <c r="AS65" s="13">
        <f t="shared" si="100"/>
        <v>0</v>
      </c>
      <c r="AT65" s="13">
        <f t="shared" si="100"/>
        <v>0</v>
      </c>
      <c r="AU65" s="13">
        <f t="shared" si="100"/>
        <v>247422.68</v>
      </c>
      <c r="AV65" s="13">
        <f t="shared" si="98"/>
        <v>0</v>
      </c>
      <c r="AW65" s="13"/>
      <c r="AX65" s="13"/>
      <c r="AY65" s="13">
        <f t="shared" si="42"/>
        <v>247422.68</v>
      </c>
      <c r="AZ65" s="13">
        <f t="shared" si="58"/>
        <v>0</v>
      </c>
      <c r="BA65" s="74"/>
      <c r="BB65" s="25">
        <f t="shared" si="59"/>
        <v>989690.72</v>
      </c>
      <c r="BC65" s="13">
        <f t="shared" si="60"/>
        <v>0</v>
      </c>
      <c r="BD65" s="13" t="b">
        <f>AND(AF65,NOT(ISNUMBER(MATCH(G65,Table1[Excluded Spacecraft ID],0))))</f>
        <v>1</v>
      </c>
      <c r="BE65" s="13">
        <f>BD65*AK65*_xlfn.XLOOKUP(I65,Table2[Date From],Table2[Cession],"Error",-1)*_xlfn.XLOOKUP(I65,'S3123 Consortium Share'!$A$3:$A$5,'S3123 Consortium Share'!$F$3:$F$5,,-1)</f>
        <v>103092.78333333334</v>
      </c>
      <c r="BF65" s="13">
        <f t="shared" si="61"/>
        <v>989690.72</v>
      </c>
      <c r="BG65" s="89" cm="1">
        <f t="array" ref="BG65">IF(V65="FIBL",0,INDEX('IGR QS'!$A$1:$D$570,MATCH('Input Data'!V65&amp;'Input Data'!W65&amp;'Input Data'!AM65,'IGR QS'!A:A&amp;'IGR QS'!B:B&amp;'IGR QS'!C:C,0),4))</f>
        <v>0.5</v>
      </c>
      <c r="BH65" s="13">
        <f t="shared" si="62"/>
        <v>494845.36</v>
      </c>
      <c r="BI65" s="13">
        <f t="shared" si="63"/>
        <v>494845.36</v>
      </c>
      <c r="BJ65" s="13">
        <f t="shared" si="73"/>
        <v>0</v>
      </c>
      <c r="BK65" s="13">
        <f t="shared" si="64"/>
        <v>494845.36</v>
      </c>
      <c r="BL65" s="13">
        <f t="shared" si="65"/>
        <v>494845.36</v>
      </c>
      <c r="BM65" s="21"/>
      <c r="BN65" s="13">
        <f t="shared" si="74"/>
        <v>9278350.5</v>
      </c>
      <c r="BO65" s="13">
        <f t="shared" si="75"/>
        <v>9278350.5</v>
      </c>
      <c r="BP65" s="13">
        <f t="shared" si="76"/>
        <v>0</v>
      </c>
      <c r="BQ65" s="13">
        <f t="shared" si="77"/>
        <v>9278350.5</v>
      </c>
      <c r="BR65" s="13">
        <f t="shared" si="78"/>
        <v>4639175.25</v>
      </c>
      <c r="BT65" s="13">
        <f t="shared" si="79"/>
        <v>989690.72</v>
      </c>
      <c r="BU65" s="13">
        <f t="shared" si="80"/>
        <v>494845.36</v>
      </c>
      <c r="BV65" s="13">
        <f t="shared" si="81"/>
        <v>494845.36</v>
      </c>
      <c r="BW65" s="13">
        <f t="shared" si="82"/>
        <v>247422.68</v>
      </c>
      <c r="BX65" s="13"/>
      <c r="BY65" s="25">
        <f t="shared" si="83"/>
        <v>61855.67</v>
      </c>
      <c r="BZ65" s="25">
        <f t="shared" si="84"/>
        <v>61855.67</v>
      </c>
      <c r="CA65" s="25">
        <f t="shared" si="85"/>
        <v>0</v>
      </c>
      <c r="CB65" s="25">
        <f t="shared" si="86"/>
        <v>0</v>
      </c>
      <c r="CC65" s="25">
        <f t="shared" si="87"/>
        <v>30927.834999999999</v>
      </c>
      <c r="CD65" s="384">
        <f t="shared" si="88"/>
        <v>0</v>
      </c>
      <c r="CR65" s="25">
        <f t="shared" si="89"/>
        <v>123711.34</v>
      </c>
      <c r="CS65" s="25">
        <f t="shared" si="101"/>
        <v>123711.34</v>
      </c>
      <c r="CT65" s="25">
        <f t="shared" si="101"/>
        <v>0</v>
      </c>
      <c r="CU65" s="25">
        <f t="shared" si="90"/>
        <v>0</v>
      </c>
      <c r="CV65" s="25">
        <f t="shared" si="91"/>
        <v>61855.67</v>
      </c>
      <c r="CW65" s="25">
        <f t="shared" si="92"/>
        <v>0</v>
      </c>
      <c r="CY65" s="25">
        <f t="shared" si="93"/>
        <v>61855.67</v>
      </c>
      <c r="CZ65" s="25">
        <f t="shared" si="94"/>
        <v>61855.67</v>
      </c>
      <c r="DA65" s="25">
        <f t="shared" si="99"/>
        <v>0</v>
      </c>
      <c r="DB65" s="25">
        <f t="shared" si="95"/>
        <v>0</v>
      </c>
      <c r="DC65" s="25">
        <f t="shared" si="96"/>
        <v>30927.834999999999</v>
      </c>
      <c r="DD65" s="25">
        <f t="shared" si="97"/>
        <v>0</v>
      </c>
    </row>
    <row r="66" spans="1:108" x14ac:dyDescent="0.35">
      <c r="A66" s="282" t="str">
        <f t="shared" si="36"/>
        <v>340408_457090</v>
      </c>
      <c r="B66" s="303">
        <v>340408</v>
      </c>
      <c r="C66" s="303">
        <v>457090</v>
      </c>
      <c r="D66" s="319" t="str">
        <f>IFERROR(MATCH(C66,'[4]Custom Earning Pattern Not Popu'!$B$5:$B$428,0),"NA")</f>
        <v>NA</v>
      </c>
      <c r="E66" s="303" t="s">
        <v>228</v>
      </c>
      <c r="F66" s="303">
        <v>12</v>
      </c>
      <c r="G66" s="303">
        <v>10153</v>
      </c>
      <c r="H66" s="306">
        <v>43195</v>
      </c>
      <c r="I66" s="306">
        <v>45766</v>
      </c>
      <c r="J66" s="306">
        <v>46130</v>
      </c>
      <c r="K66" s="303" t="s">
        <v>113</v>
      </c>
      <c r="L66" s="306">
        <v>45766</v>
      </c>
      <c r="M66" s="306">
        <v>46130</v>
      </c>
      <c r="N66" s="303" t="s">
        <v>240</v>
      </c>
      <c r="O66" s="303" t="s">
        <v>238</v>
      </c>
      <c r="P66" s="148">
        <f t="shared" si="37"/>
        <v>0.2</v>
      </c>
      <c r="Q66" s="282">
        <v>1</v>
      </c>
      <c r="R66" s="282">
        <v>0</v>
      </c>
      <c r="S66" s="282" t="str">
        <f t="shared" si="52"/>
        <v>In-Orbit</v>
      </c>
      <c r="T66" s="282" t="s">
        <v>13</v>
      </c>
      <c r="U66" s="303" t="s">
        <v>404</v>
      </c>
      <c r="V66" s="303" t="s">
        <v>29</v>
      </c>
      <c r="W66" s="303" t="s">
        <v>78</v>
      </c>
      <c r="X66" s="303" t="s">
        <v>313</v>
      </c>
      <c r="Y66" s="303" t="s">
        <v>333</v>
      </c>
      <c r="Z66" s="303" t="s">
        <v>337</v>
      </c>
      <c r="AA66" s="308">
        <v>10824742.25</v>
      </c>
      <c r="AC66" s="289">
        <f t="shared" si="38"/>
        <v>0</v>
      </c>
      <c r="AD66" s="88" cm="1">
        <f t="array" ref="AD66">IF(AC66=0,0,INDEX(Summary!$S$4:$S$7,MATCH(AC66,Summary!$R$4:$R$7)+1))</f>
        <v>0</v>
      </c>
      <c r="AE66" s="88">
        <f>IFERROR(INDEX(Summary!$Y$4:$Y$6,MATCH('Input Data'!K66,Summary!$U$4:$U$6,0)),0)</f>
        <v>0.05</v>
      </c>
      <c r="AF66" s="88" t="b">
        <f t="shared" si="68"/>
        <v>1</v>
      </c>
      <c r="AG66" s="89">
        <f>IF(AF66,INDEX('IG Equity Share'!$B:$B,MATCH(YEAR(I66),'IG Equity Share'!$A:$A,0)),0)</f>
        <v>7.4999999999999997E-2</v>
      </c>
      <c r="AH66" s="383">
        <f>AJ66*AG66*_xlfn.XLOOKUP(I66,'S3123 Consortium Share'!$A$3:$A$5,'S3123 Consortium Share'!$F$3:$F$5,,-1)</f>
        <v>338273.1953125</v>
      </c>
      <c r="AI66" s="14">
        <v>1</v>
      </c>
      <c r="AJ66" s="13">
        <f t="shared" si="69"/>
        <v>10824742.25</v>
      </c>
      <c r="AK66" s="13">
        <f t="shared" si="70"/>
        <v>10824742.25</v>
      </c>
      <c r="AL66" s="13" t="str">
        <f t="shared" si="71"/>
        <v>FUL</v>
      </c>
      <c r="AM66" s="52">
        <f t="shared" si="72"/>
        <v>2025</v>
      </c>
      <c r="AN66" s="4">
        <f>INDEX('[2]Input Data'!$AH:$AH,MATCH(A66,'[2]Input Data'!$A:$A,0),1)-AH66</f>
        <v>0</v>
      </c>
      <c r="AO66" s="13">
        <f t="shared" si="100"/>
        <v>0</v>
      </c>
      <c r="AP66" s="13">
        <f t="shared" si="100"/>
        <v>0</v>
      </c>
      <c r="AQ66" s="13">
        <f t="shared" si="100"/>
        <v>0</v>
      </c>
      <c r="AR66" s="13">
        <f t="shared" si="100"/>
        <v>0</v>
      </c>
      <c r="AS66" s="13">
        <f t="shared" si="100"/>
        <v>0</v>
      </c>
      <c r="AT66" s="13">
        <f t="shared" si="100"/>
        <v>0</v>
      </c>
      <c r="AU66" s="13">
        <f t="shared" si="100"/>
        <v>2164948.4500000002</v>
      </c>
      <c r="AV66" s="13">
        <f t="shared" si="98"/>
        <v>0</v>
      </c>
      <c r="AW66" s="13"/>
      <c r="AX66" s="13"/>
      <c r="AY66" s="13">
        <f t="shared" si="42"/>
        <v>2164948.4500000002</v>
      </c>
      <c r="AZ66" s="13">
        <f t="shared" si="58"/>
        <v>0</v>
      </c>
      <c r="BA66" s="74"/>
      <c r="BB66" s="25">
        <f t="shared" si="59"/>
        <v>8659793.8000000007</v>
      </c>
      <c r="BC66" s="13">
        <f t="shared" si="60"/>
        <v>0</v>
      </c>
      <c r="BD66" s="13" t="b">
        <f>AND(AF66,NOT(ISNUMBER(MATCH(G66,Table1[Excluded Spacecraft ID],0))))</f>
        <v>1</v>
      </c>
      <c r="BE66" s="13">
        <f>BD66*AK66*_xlfn.XLOOKUP(I66,Table2[Date From],Table2[Cession],"Error",-1)*_xlfn.XLOOKUP(I66,'S3123 Consortium Share'!$A$3:$A$5,'S3123 Consortium Share'!$F$3:$F$5,,-1)</f>
        <v>902061.85416666674</v>
      </c>
      <c r="BF66" s="13">
        <f t="shared" si="61"/>
        <v>8659793.8000000007</v>
      </c>
      <c r="BG66" s="89" cm="1">
        <f t="array" ref="BG66">IF(V66="FIBL",0,INDEX('IGR QS'!$A$1:$D$570,MATCH('Input Data'!V66&amp;'Input Data'!W66&amp;'Input Data'!AM66,'IGR QS'!A:A&amp;'IGR QS'!B:B&amp;'IGR QS'!C:C,0),4))</f>
        <v>0.5</v>
      </c>
      <c r="BH66" s="13">
        <f t="shared" si="62"/>
        <v>4329896.9000000004</v>
      </c>
      <c r="BI66" s="13">
        <f t="shared" si="63"/>
        <v>4329896.9000000004</v>
      </c>
      <c r="BJ66" s="13">
        <f t="shared" si="73"/>
        <v>0</v>
      </c>
      <c r="BK66" s="13">
        <f t="shared" si="64"/>
        <v>4329896.9000000004</v>
      </c>
      <c r="BL66" s="13">
        <f t="shared" si="65"/>
        <v>4329896.9000000004</v>
      </c>
      <c r="BM66" s="21"/>
      <c r="BN66" s="13">
        <f t="shared" si="74"/>
        <v>9278350.5</v>
      </c>
      <c r="BO66" s="13">
        <f t="shared" si="75"/>
        <v>9278350.5</v>
      </c>
      <c r="BP66" s="13">
        <f t="shared" si="76"/>
        <v>0</v>
      </c>
      <c r="BQ66" s="13">
        <f t="shared" si="77"/>
        <v>9278350.5</v>
      </c>
      <c r="BR66" s="13">
        <f t="shared" si="78"/>
        <v>4639175.25</v>
      </c>
      <c r="BT66" s="13">
        <f t="shared" si="79"/>
        <v>8659793.8000000007</v>
      </c>
      <c r="BU66" s="13">
        <f t="shared" si="80"/>
        <v>4329896.9000000004</v>
      </c>
      <c r="BV66" s="13">
        <f t="shared" si="81"/>
        <v>4329896.9000000004</v>
      </c>
      <c r="BW66" s="13">
        <f t="shared" si="82"/>
        <v>2164948.4500000002</v>
      </c>
      <c r="BX66" s="13"/>
      <c r="BY66" s="25">
        <f t="shared" si="83"/>
        <v>541237.11250000005</v>
      </c>
      <c r="BZ66" s="25">
        <f t="shared" si="84"/>
        <v>541237.11250000005</v>
      </c>
      <c r="CA66" s="25">
        <f t="shared" si="85"/>
        <v>0</v>
      </c>
      <c r="CB66" s="25">
        <f t="shared" si="86"/>
        <v>0</v>
      </c>
      <c r="CC66" s="25">
        <f t="shared" si="87"/>
        <v>270618.55625000002</v>
      </c>
      <c r="CD66" s="384">
        <f t="shared" si="88"/>
        <v>0</v>
      </c>
      <c r="CR66" s="25">
        <f t="shared" si="89"/>
        <v>1082474.2250000001</v>
      </c>
      <c r="CS66" s="25">
        <f t="shared" si="101"/>
        <v>1082474.2250000001</v>
      </c>
      <c r="CT66" s="25">
        <f t="shared" si="101"/>
        <v>0</v>
      </c>
      <c r="CU66" s="25">
        <f t="shared" si="90"/>
        <v>0</v>
      </c>
      <c r="CV66" s="25">
        <f t="shared" si="91"/>
        <v>541237.11250000005</v>
      </c>
      <c r="CW66" s="25">
        <f t="shared" si="92"/>
        <v>0</v>
      </c>
      <c r="CY66" s="25">
        <f t="shared" si="93"/>
        <v>541237.11250000005</v>
      </c>
      <c r="CZ66" s="25">
        <f t="shared" si="94"/>
        <v>541237.11250000005</v>
      </c>
      <c r="DA66" s="25">
        <f t="shared" si="99"/>
        <v>0</v>
      </c>
      <c r="DB66" s="25">
        <f t="shared" si="95"/>
        <v>0</v>
      </c>
      <c r="DC66" s="25">
        <f t="shared" si="96"/>
        <v>270618.55625000002</v>
      </c>
      <c r="DD66" s="25">
        <f t="shared" si="97"/>
        <v>0</v>
      </c>
    </row>
    <row r="67" spans="1:108" x14ac:dyDescent="0.35">
      <c r="A67" s="282" t="str">
        <f t="shared" si="36"/>
        <v>341429_458634</v>
      </c>
      <c r="B67" s="303">
        <v>341429</v>
      </c>
      <c r="C67" s="303">
        <v>458634</v>
      </c>
      <c r="D67" s="319" t="str">
        <f>IFERROR(MATCH(C67,'[4]Custom Earning Pattern Not Popu'!$B$5:$B$428,0),"NA")</f>
        <v>NA</v>
      </c>
      <c r="E67" s="303" t="s">
        <v>228</v>
      </c>
      <c r="F67" s="303">
        <v>12</v>
      </c>
      <c r="G67" s="303">
        <v>9785</v>
      </c>
      <c r="H67" s="306">
        <v>45481</v>
      </c>
      <c r="I67" s="306">
        <v>45757</v>
      </c>
      <c r="J67" s="306">
        <v>46121</v>
      </c>
      <c r="K67" s="303" t="s">
        <v>113</v>
      </c>
      <c r="L67" s="306">
        <v>45757</v>
      </c>
      <c r="M67" s="306">
        <v>46121</v>
      </c>
      <c r="N67" s="303" t="s">
        <v>371</v>
      </c>
      <c r="O67" s="303" t="s">
        <v>371</v>
      </c>
      <c r="P67" s="148">
        <f t="shared" si="37"/>
        <v>0.2</v>
      </c>
      <c r="Q67" s="282">
        <v>1</v>
      </c>
      <c r="R67" s="282">
        <v>0</v>
      </c>
      <c r="S67" s="282" t="str">
        <f t="shared" si="52"/>
        <v>In-Orbit</v>
      </c>
      <c r="T67" s="282" t="s">
        <v>13</v>
      </c>
      <c r="U67" s="303" t="s">
        <v>468</v>
      </c>
      <c r="V67" s="303" t="s">
        <v>29</v>
      </c>
      <c r="W67" s="303" t="s">
        <v>78</v>
      </c>
      <c r="X67" s="303" t="s">
        <v>380</v>
      </c>
      <c r="Y67" s="303" t="s">
        <v>385</v>
      </c>
      <c r="Z67" s="303" t="s">
        <v>338</v>
      </c>
      <c r="AA67" s="308">
        <v>7422681.0185566898</v>
      </c>
      <c r="AC67" s="289">
        <f t="shared" si="38"/>
        <v>0</v>
      </c>
      <c r="AD67" s="88" cm="1">
        <f t="array" ref="AD67">IF(AC67=0,0,INDEX(Summary!$S$4:$S$7,MATCH(AC67,Summary!$R$4:$R$7)+1))</f>
        <v>0</v>
      </c>
      <c r="AE67" s="88">
        <f>IFERROR(INDEX(Summary!$Y$4:$Y$6,MATCH('Input Data'!K67,Summary!$U$4:$U$6,0)),0)</f>
        <v>0.05</v>
      </c>
      <c r="AF67" s="88" t="b">
        <f t="shared" si="68"/>
        <v>1</v>
      </c>
      <c r="AG67" s="89">
        <f>IF(AF67,INDEX('IG Equity Share'!$B:$B,MATCH(YEAR(I67),'IG Equity Share'!$A:$A,0)),0)</f>
        <v>7.4999999999999997E-2</v>
      </c>
      <c r="AH67" s="383">
        <f>AJ67*AG67*_xlfn.XLOOKUP(I67,'S3123 Consortium Share'!$A$3:$A$5,'S3123 Consortium Share'!$F$3:$F$5,,-1)</f>
        <v>231958.78182989659</v>
      </c>
      <c r="AI67" s="14">
        <v>1</v>
      </c>
      <c r="AJ67" s="13">
        <f t="shared" si="69"/>
        <v>7422681.0185566898</v>
      </c>
      <c r="AK67" s="13">
        <f t="shared" si="70"/>
        <v>7422681.0185566898</v>
      </c>
      <c r="AL67" s="13" t="str">
        <f t="shared" si="71"/>
        <v>FUL</v>
      </c>
      <c r="AM67" s="52">
        <f t="shared" si="72"/>
        <v>2025</v>
      </c>
      <c r="AN67" s="4"/>
      <c r="AO67" s="13">
        <f t="shared" si="100"/>
        <v>0</v>
      </c>
      <c r="AP67" s="13">
        <f t="shared" si="100"/>
        <v>0</v>
      </c>
      <c r="AQ67" s="13">
        <f t="shared" si="100"/>
        <v>0</v>
      </c>
      <c r="AR67" s="13">
        <f t="shared" si="100"/>
        <v>0</v>
      </c>
      <c r="AS67" s="13">
        <f t="shared" si="100"/>
        <v>0</v>
      </c>
      <c r="AT67" s="13">
        <f t="shared" si="100"/>
        <v>0</v>
      </c>
      <c r="AU67" s="13">
        <f t="shared" si="100"/>
        <v>1484536.2037113381</v>
      </c>
      <c r="AV67" s="13">
        <f t="shared" si="98"/>
        <v>0</v>
      </c>
      <c r="AW67" s="13"/>
      <c r="AX67" s="13"/>
      <c r="AY67" s="13">
        <f t="shared" si="42"/>
        <v>1484536.2037113381</v>
      </c>
      <c r="AZ67" s="13">
        <f t="shared" si="58"/>
        <v>0</v>
      </c>
      <c r="BA67" s="74"/>
      <c r="BB67" s="25">
        <f t="shared" si="59"/>
        <v>5938144.8148453515</v>
      </c>
      <c r="BC67" s="13">
        <f t="shared" si="60"/>
        <v>0</v>
      </c>
      <c r="BD67" s="13" t="b">
        <f>AND(AF67,NOT(ISNUMBER(MATCH(G67,Table1[Excluded Spacecraft ID],0))))</f>
        <v>1</v>
      </c>
      <c r="BE67" s="13">
        <f>BD67*AK67*_xlfn.XLOOKUP(I67,Table2[Date From],Table2[Cession],"Error",-1)*_xlfn.XLOOKUP(I67,'S3123 Consortium Share'!$A$3:$A$5,'S3123 Consortium Share'!$F$3:$F$5,,-1)</f>
        <v>618556.75154639094</v>
      </c>
      <c r="BF67" s="13">
        <f t="shared" si="61"/>
        <v>5938144.8148453515</v>
      </c>
      <c r="BG67" s="89" cm="1">
        <f t="array" ref="BG67">IF(V67="FIBL",0,INDEX('IGR QS'!$A$1:$D$570,MATCH('Input Data'!V67&amp;'Input Data'!W67&amp;'Input Data'!AM67,'IGR QS'!A:A&amp;'IGR QS'!B:B&amp;'IGR QS'!C:C,0),4))</f>
        <v>0.5</v>
      </c>
      <c r="BH67" s="13">
        <f t="shared" si="62"/>
        <v>2969072.4074226758</v>
      </c>
      <c r="BI67" s="13">
        <f t="shared" si="63"/>
        <v>2969072.4074226758</v>
      </c>
      <c r="BJ67" s="13">
        <f t="shared" si="73"/>
        <v>0</v>
      </c>
      <c r="BK67" s="13">
        <f t="shared" si="64"/>
        <v>2969072.4074226758</v>
      </c>
      <c r="BL67" s="13">
        <f t="shared" si="65"/>
        <v>2969072.4074226758</v>
      </c>
      <c r="BM67" s="21"/>
      <c r="BN67" s="13">
        <f t="shared" si="74"/>
        <v>2969072.4074226758</v>
      </c>
      <c r="BO67" s="13">
        <f t="shared" si="75"/>
        <v>2969072.4074226758</v>
      </c>
      <c r="BP67" s="13">
        <f t="shared" si="76"/>
        <v>0</v>
      </c>
      <c r="BQ67" s="13">
        <f t="shared" si="77"/>
        <v>2969072.4074226758</v>
      </c>
      <c r="BR67" s="13">
        <f t="shared" si="78"/>
        <v>1484536.2037113381</v>
      </c>
      <c r="BT67" s="13">
        <f t="shared" si="79"/>
        <v>5938144.8148453515</v>
      </c>
      <c r="BU67" s="13">
        <f t="shared" si="80"/>
        <v>2969072.4074226758</v>
      </c>
      <c r="BV67" s="13">
        <f t="shared" si="81"/>
        <v>2969072.4074226758</v>
      </c>
      <c r="BW67" s="13">
        <f t="shared" si="82"/>
        <v>1484536.2037113381</v>
      </c>
      <c r="BX67" s="13"/>
      <c r="BY67" s="25">
        <f t="shared" si="83"/>
        <v>371134.05092783453</v>
      </c>
      <c r="BZ67" s="25">
        <f t="shared" si="84"/>
        <v>371134.05092783453</v>
      </c>
      <c r="CA67" s="25">
        <f t="shared" si="85"/>
        <v>0</v>
      </c>
      <c r="CB67" s="25">
        <f t="shared" si="86"/>
        <v>0</v>
      </c>
      <c r="CC67" s="25">
        <f t="shared" si="87"/>
        <v>185567.02546391726</v>
      </c>
      <c r="CD67" s="384">
        <f t="shared" si="88"/>
        <v>0</v>
      </c>
      <c r="CR67" s="25">
        <f t="shared" si="89"/>
        <v>742268.10185566905</v>
      </c>
      <c r="CS67" s="25">
        <f t="shared" si="101"/>
        <v>742268.10185566905</v>
      </c>
      <c r="CT67" s="25">
        <f t="shared" si="101"/>
        <v>0</v>
      </c>
      <c r="CU67" s="25">
        <f t="shared" si="90"/>
        <v>0</v>
      </c>
      <c r="CV67" s="25">
        <f t="shared" si="91"/>
        <v>371134.05092783453</v>
      </c>
      <c r="CW67" s="25">
        <f t="shared" si="92"/>
        <v>0</v>
      </c>
      <c r="CY67" s="25">
        <f t="shared" si="93"/>
        <v>371134.05092783453</v>
      </c>
      <c r="CZ67" s="25">
        <f t="shared" si="94"/>
        <v>371134.05092783453</v>
      </c>
      <c r="DA67" s="25">
        <f t="shared" si="99"/>
        <v>0</v>
      </c>
      <c r="DB67" s="25">
        <f t="shared" si="95"/>
        <v>0</v>
      </c>
      <c r="DC67" s="25">
        <f t="shared" si="96"/>
        <v>185567.02546391726</v>
      </c>
      <c r="DD67" s="25">
        <f t="shared" si="97"/>
        <v>0</v>
      </c>
    </row>
    <row r="68" spans="1:108" x14ac:dyDescent="0.35">
      <c r="A68" s="282" t="str">
        <f t="shared" si="36"/>
        <v>341568_458837</v>
      </c>
      <c r="B68" s="303">
        <v>341568</v>
      </c>
      <c r="C68" s="303">
        <v>458837</v>
      </c>
      <c r="D68" s="319" t="str">
        <f>IFERROR(MATCH(C68,'[4]Custom Earning Pattern Not Popu'!$B$5:$B$428,0),"NA")</f>
        <v>NA</v>
      </c>
      <c r="E68" s="303" t="s">
        <v>228</v>
      </c>
      <c r="F68" s="303">
        <v>12</v>
      </c>
      <c r="G68" s="303">
        <v>12485</v>
      </c>
      <c r="H68" s="306">
        <v>45414</v>
      </c>
      <c r="I68" s="306">
        <v>45780</v>
      </c>
      <c r="J68" s="306">
        <v>46144</v>
      </c>
      <c r="K68" s="303" t="s">
        <v>16</v>
      </c>
      <c r="L68" s="306">
        <v>45780</v>
      </c>
      <c r="M68" s="306">
        <v>46144</v>
      </c>
      <c r="N68" s="303" t="s">
        <v>467</v>
      </c>
      <c r="O68" s="303" t="s">
        <v>467</v>
      </c>
      <c r="P68" s="148">
        <f t="shared" si="37"/>
        <v>0.2</v>
      </c>
      <c r="Q68" s="282">
        <v>1</v>
      </c>
      <c r="R68" s="282">
        <v>0</v>
      </c>
      <c r="S68" s="282" t="str">
        <f t="shared" si="52"/>
        <v>In-Orbit</v>
      </c>
      <c r="T68" s="282" t="s">
        <v>13</v>
      </c>
      <c r="U68" s="303" t="s">
        <v>375</v>
      </c>
      <c r="V68" s="303" t="s">
        <v>29</v>
      </c>
      <c r="W68" s="303" t="s">
        <v>78</v>
      </c>
      <c r="X68" s="303" t="s">
        <v>302</v>
      </c>
      <c r="Y68" s="303" t="s">
        <v>334</v>
      </c>
      <c r="Z68" s="303" t="s">
        <v>338</v>
      </c>
      <c r="AA68" s="308">
        <v>4020619.7871133899</v>
      </c>
      <c r="AC68" s="289">
        <f t="shared" si="38"/>
        <v>2</v>
      </c>
      <c r="AD68" s="88" cm="1">
        <f t="array" ref="AD68">IF(AC68=0,0,INDEX(Summary!$S$4:$S$7,MATCH(AC68,Summary!$R$4:$R$7)+1))</f>
        <v>0.4</v>
      </c>
      <c r="AE68" s="88">
        <f>IFERROR(INDEX(Summary!$Y$4:$Y$6,MATCH('Input Data'!K68,Summary!$U$4:$U$6,0)),0)</f>
        <v>0.4</v>
      </c>
      <c r="AF68" s="88" t="b">
        <f t="shared" si="68"/>
        <v>1</v>
      </c>
      <c r="AG68" s="89">
        <f>IF(AF68,INDEX('IG Equity Share'!$B:$B,MATCH(YEAR(I68),'IG Equity Share'!$A:$A,0)),0)</f>
        <v>7.4999999999999997E-2</v>
      </c>
      <c r="AH68" s="383">
        <f>AJ68*AG68*_xlfn.XLOOKUP(I68,'S3123 Consortium Share'!$A$3:$A$5,'S3123 Consortium Share'!$F$3:$F$5,,-1)</f>
        <v>125644.36834729342</v>
      </c>
      <c r="AI68" s="14">
        <v>1</v>
      </c>
      <c r="AJ68" s="13">
        <f t="shared" si="69"/>
        <v>4020619.7871133899</v>
      </c>
      <c r="AK68" s="13">
        <f t="shared" si="70"/>
        <v>4020619.7871133899</v>
      </c>
      <c r="AL68" s="13" t="str">
        <f t="shared" si="71"/>
        <v>FUL</v>
      </c>
      <c r="AM68" s="52">
        <f t="shared" si="72"/>
        <v>2025</v>
      </c>
      <c r="AN68" s="4">
        <f>INDEX('[2]Input Data'!$AH:$AH,MATCH(A68,'[2]Input Data'!$A:$A,0),1)-AH68</f>
        <v>0</v>
      </c>
      <c r="AO68" s="13">
        <f t="shared" si="100"/>
        <v>0</v>
      </c>
      <c r="AP68" s="13">
        <f t="shared" si="100"/>
        <v>0</v>
      </c>
      <c r="AQ68" s="13">
        <f t="shared" si="100"/>
        <v>0</v>
      </c>
      <c r="AR68" s="13">
        <f t="shared" si="100"/>
        <v>0</v>
      </c>
      <c r="AS68" s="13">
        <f t="shared" si="100"/>
        <v>0</v>
      </c>
      <c r="AT68" s="13">
        <f t="shared" si="100"/>
        <v>0</v>
      </c>
      <c r="AU68" s="13">
        <f t="shared" si="100"/>
        <v>804123.95742267801</v>
      </c>
      <c r="AV68" s="13">
        <f t="shared" si="98"/>
        <v>0</v>
      </c>
      <c r="AW68" s="13"/>
      <c r="AX68" s="13"/>
      <c r="AY68" s="13">
        <f t="shared" si="42"/>
        <v>804123.95742267801</v>
      </c>
      <c r="AZ68" s="13">
        <f t="shared" si="58"/>
        <v>0</v>
      </c>
      <c r="BA68" s="74"/>
      <c r="BB68" s="25">
        <f t="shared" si="59"/>
        <v>3216495.829690712</v>
      </c>
      <c r="BC68" s="13">
        <f t="shared" si="60"/>
        <v>0</v>
      </c>
      <c r="BD68" s="13" t="b">
        <f>AND(AF68,NOT(ISNUMBER(MATCH(G68,Table1[Excluded Spacecraft ID],0))))</f>
        <v>1</v>
      </c>
      <c r="BE68" s="13">
        <f>BD68*AK68*_xlfn.XLOOKUP(I68,Table2[Date From],Table2[Cession],"Error",-1)*_xlfn.XLOOKUP(I68,'S3123 Consortium Share'!$A$3:$A$5,'S3123 Consortium Share'!$F$3:$F$5,,-1)</f>
        <v>335051.64892611583</v>
      </c>
      <c r="BF68" s="13">
        <f t="shared" si="61"/>
        <v>3216495.829690712</v>
      </c>
      <c r="BG68" s="89" cm="1">
        <f t="array" ref="BG68">IF(V68="FIBL",0,INDEX('IGR QS'!$A$1:$D$570,MATCH('Input Data'!V68&amp;'Input Data'!W68&amp;'Input Data'!AM68,'IGR QS'!A:A&amp;'IGR QS'!B:B&amp;'IGR QS'!C:C,0),4))</f>
        <v>0.5</v>
      </c>
      <c r="BH68" s="13">
        <f t="shared" si="62"/>
        <v>1608247.914845356</v>
      </c>
      <c r="BI68" s="13">
        <f t="shared" si="63"/>
        <v>1608247.914845356</v>
      </c>
      <c r="BJ68" s="13">
        <f t="shared" si="73"/>
        <v>0</v>
      </c>
      <c r="BK68" s="13">
        <f t="shared" si="64"/>
        <v>1608247.914845356</v>
      </c>
      <c r="BL68" s="13">
        <f t="shared" si="65"/>
        <v>1608247.914845356</v>
      </c>
      <c r="BM68" s="21"/>
      <c r="BN68" s="13">
        <f t="shared" si="74"/>
        <v>34042623.318762854</v>
      </c>
      <c r="BO68" s="13">
        <f t="shared" si="75"/>
        <v>34042623.318762854</v>
      </c>
      <c r="BP68" s="13">
        <f t="shared" si="76"/>
        <v>0</v>
      </c>
      <c r="BQ68" s="13">
        <f t="shared" si="77"/>
        <v>34042623.318762854</v>
      </c>
      <c r="BR68" s="13">
        <f t="shared" si="78"/>
        <v>17021311.659381427</v>
      </c>
      <c r="BT68" s="13">
        <f t="shared" si="79"/>
        <v>3216495.829690712</v>
      </c>
      <c r="BU68" s="13">
        <f t="shared" si="80"/>
        <v>1608247.914845356</v>
      </c>
      <c r="BV68" s="13">
        <f t="shared" si="81"/>
        <v>1608247.914845356</v>
      </c>
      <c r="BW68" s="13">
        <f t="shared" si="82"/>
        <v>804123.95742267801</v>
      </c>
      <c r="BX68" s="13"/>
      <c r="BY68" s="25">
        <f t="shared" si="83"/>
        <v>0</v>
      </c>
      <c r="BZ68" s="25">
        <f t="shared" si="84"/>
        <v>0</v>
      </c>
      <c r="CA68" s="25">
        <f t="shared" si="85"/>
        <v>0</v>
      </c>
      <c r="CB68" s="25">
        <f t="shared" si="86"/>
        <v>0</v>
      </c>
      <c r="CC68" s="25">
        <f t="shared" si="87"/>
        <v>0</v>
      </c>
      <c r="CD68" s="384">
        <f t="shared" si="88"/>
        <v>0</v>
      </c>
      <c r="CR68" s="25">
        <f t="shared" si="89"/>
        <v>0</v>
      </c>
      <c r="CS68" s="25">
        <f t="shared" si="101"/>
        <v>0</v>
      </c>
      <c r="CT68" s="25">
        <f t="shared" si="101"/>
        <v>0</v>
      </c>
      <c r="CU68" s="25">
        <f t="shared" si="90"/>
        <v>0</v>
      </c>
      <c r="CV68" s="25">
        <f t="shared" si="91"/>
        <v>0</v>
      </c>
      <c r="CW68" s="25">
        <f t="shared" si="92"/>
        <v>0</v>
      </c>
      <c r="CY68" s="25">
        <f t="shared" si="93"/>
        <v>0</v>
      </c>
      <c r="CZ68" s="25">
        <f t="shared" si="94"/>
        <v>0</v>
      </c>
      <c r="DA68" s="25">
        <f t="shared" si="99"/>
        <v>0</v>
      </c>
      <c r="DB68" s="25">
        <f t="shared" si="95"/>
        <v>0</v>
      </c>
      <c r="DC68" s="25">
        <f t="shared" si="96"/>
        <v>0</v>
      </c>
      <c r="DD68" s="25">
        <f t="shared" si="97"/>
        <v>0</v>
      </c>
    </row>
    <row r="69" spans="1:108" x14ac:dyDescent="0.35">
      <c r="A69" s="282" t="str">
        <f t="shared" si="36"/>
        <v>341568_459135</v>
      </c>
      <c r="B69" s="303">
        <v>341568</v>
      </c>
      <c r="C69" s="303">
        <v>459135</v>
      </c>
      <c r="D69" s="319" t="str">
        <f>IFERROR(MATCH(C69,'[4]Custom Earning Pattern Not Popu'!$B$5:$B$428,0),"NA")</f>
        <v>NA</v>
      </c>
      <c r="E69" s="303" t="s">
        <v>228</v>
      </c>
      <c r="F69" s="303">
        <v>9</v>
      </c>
      <c r="G69" s="303">
        <v>12486</v>
      </c>
      <c r="H69" s="306">
        <v>45414</v>
      </c>
      <c r="I69" s="306">
        <v>45885</v>
      </c>
      <c r="J69" s="306">
        <v>46144</v>
      </c>
      <c r="K69" s="303" t="s">
        <v>16</v>
      </c>
      <c r="L69" s="306">
        <v>45885</v>
      </c>
      <c r="M69" s="306">
        <v>46144</v>
      </c>
      <c r="N69" s="303" t="s">
        <v>467</v>
      </c>
      <c r="O69" s="303" t="s">
        <v>467</v>
      </c>
      <c r="P69" s="148">
        <f t="shared" si="37"/>
        <v>0.2</v>
      </c>
      <c r="Q69" s="282">
        <v>1</v>
      </c>
      <c r="R69" s="282">
        <v>0</v>
      </c>
      <c r="S69" s="282" t="str">
        <f t="shared" si="52"/>
        <v>In-Orbit</v>
      </c>
      <c r="T69" s="282" t="s">
        <v>13</v>
      </c>
      <c r="U69" s="303" t="s">
        <v>375</v>
      </c>
      <c r="V69" s="303" t="s">
        <v>29</v>
      </c>
      <c r="W69" s="303" t="s">
        <v>78</v>
      </c>
      <c r="X69" s="303" t="s">
        <v>415</v>
      </c>
      <c r="Y69" s="303" t="s">
        <v>334</v>
      </c>
      <c r="Z69" s="303" t="s">
        <v>338</v>
      </c>
      <c r="AA69" s="308">
        <v>4020619.7871133899</v>
      </c>
      <c r="AC69" s="289">
        <f t="shared" si="38"/>
        <v>2</v>
      </c>
      <c r="AD69" s="88" cm="1">
        <f t="array" ref="AD69">IF(AC69=0,0,INDEX(Summary!$S$4:$S$7,MATCH(AC69,Summary!$R$4:$R$7)+1))</f>
        <v>0.4</v>
      </c>
      <c r="AE69" s="88">
        <f>IFERROR(INDEX(Summary!$Y$4:$Y$6,MATCH('Input Data'!K69,Summary!$U$4:$U$6,0)),0)</f>
        <v>0.4</v>
      </c>
      <c r="AF69" s="88" t="b">
        <f t="shared" si="68"/>
        <v>1</v>
      </c>
      <c r="AG69" s="89">
        <f>IF(AF69,INDEX('IG Equity Share'!$B:$B,MATCH(YEAR(I69),'IG Equity Share'!$A:$A,0)),0)</f>
        <v>7.4999999999999997E-2</v>
      </c>
      <c r="AH69" s="383">
        <f>AJ69*AG69*_xlfn.XLOOKUP(I69,'S3123 Consortium Share'!$A$3:$A$5,'S3123 Consortium Share'!$F$3:$F$5,,-1)</f>
        <v>125644.36834729342</v>
      </c>
      <c r="AI69" s="14">
        <v>1</v>
      </c>
      <c r="AJ69" s="13">
        <f t="shared" si="69"/>
        <v>4020619.7871133899</v>
      </c>
      <c r="AK69" s="13">
        <f t="shared" si="70"/>
        <v>4020619.7871133899</v>
      </c>
      <c r="AL69" s="13" t="str">
        <f t="shared" si="71"/>
        <v>FUL</v>
      </c>
      <c r="AM69" s="52">
        <f t="shared" si="72"/>
        <v>2025</v>
      </c>
      <c r="AN69" s="4">
        <f>INDEX('[2]Input Data'!$AH:$AH,MATCH(A69,'[2]Input Data'!$A:$A,0),1)-AH69</f>
        <v>0</v>
      </c>
      <c r="AO69" s="13">
        <f t="shared" si="100"/>
        <v>0</v>
      </c>
      <c r="AP69" s="13">
        <f t="shared" si="100"/>
        <v>0</v>
      </c>
      <c r="AQ69" s="13">
        <f t="shared" si="100"/>
        <v>0</v>
      </c>
      <c r="AR69" s="13">
        <f t="shared" si="100"/>
        <v>0</v>
      </c>
      <c r="AS69" s="13">
        <f t="shared" si="100"/>
        <v>0</v>
      </c>
      <c r="AT69" s="13">
        <f t="shared" si="100"/>
        <v>0</v>
      </c>
      <c r="AU69" s="13">
        <f t="shared" si="100"/>
        <v>804123.95742267801</v>
      </c>
      <c r="AV69" s="13">
        <f t="shared" si="98"/>
        <v>0</v>
      </c>
      <c r="AW69" s="13"/>
      <c r="AX69" s="13"/>
      <c r="AY69" s="13">
        <f t="shared" si="42"/>
        <v>804123.95742267801</v>
      </c>
      <c r="AZ69" s="13">
        <f t="shared" si="58"/>
        <v>0</v>
      </c>
      <c r="BA69" s="74"/>
      <c r="BB69" s="25">
        <f t="shared" si="59"/>
        <v>3216495.829690712</v>
      </c>
      <c r="BC69" s="13">
        <f t="shared" si="60"/>
        <v>0</v>
      </c>
      <c r="BD69" s="13" t="b">
        <f>AND(AF69,NOT(ISNUMBER(MATCH(G69,Table1[Excluded Spacecraft ID],0))))</f>
        <v>1</v>
      </c>
      <c r="BE69" s="13">
        <f>BD69*AK69*_xlfn.XLOOKUP(I69,Table2[Date From],Table2[Cession],"Error",-1)*_xlfn.XLOOKUP(I69,'S3123 Consortium Share'!$A$3:$A$5,'S3123 Consortium Share'!$F$3:$F$5,,-1)</f>
        <v>335051.64892611583</v>
      </c>
      <c r="BF69" s="13">
        <f t="shared" si="61"/>
        <v>3216495.829690712</v>
      </c>
      <c r="BG69" s="89" cm="1">
        <f t="array" ref="BG69">IF(V69="FIBL",0,INDEX('IGR QS'!$A$1:$D$570,MATCH('Input Data'!V69&amp;'Input Data'!W69&amp;'Input Data'!AM69,'IGR QS'!A:A&amp;'IGR QS'!B:B&amp;'IGR QS'!C:C,0),4))</f>
        <v>0.5</v>
      </c>
      <c r="BH69" s="13">
        <f t="shared" si="62"/>
        <v>1608247.914845356</v>
      </c>
      <c r="BI69" s="13">
        <f t="shared" si="63"/>
        <v>1608247.914845356</v>
      </c>
      <c r="BJ69" s="13">
        <f t="shared" si="73"/>
        <v>0</v>
      </c>
      <c r="BK69" s="13">
        <f t="shared" si="64"/>
        <v>1608247.914845356</v>
      </c>
      <c r="BL69" s="13">
        <f t="shared" si="65"/>
        <v>1608247.914845356</v>
      </c>
      <c r="BM69" s="21"/>
      <c r="BN69" s="13">
        <f t="shared" si="74"/>
        <v>34042623.318762854</v>
      </c>
      <c r="BO69" s="13">
        <f t="shared" si="75"/>
        <v>34042623.318762854</v>
      </c>
      <c r="BP69" s="13">
        <f t="shared" si="76"/>
        <v>0</v>
      </c>
      <c r="BQ69" s="13">
        <f t="shared" si="77"/>
        <v>34042623.318762854</v>
      </c>
      <c r="BR69" s="13">
        <f t="shared" si="78"/>
        <v>17021311.659381427</v>
      </c>
      <c r="BT69" s="13">
        <f t="shared" si="79"/>
        <v>3216495.829690712</v>
      </c>
      <c r="BU69" s="13">
        <f t="shared" si="80"/>
        <v>1608247.914845356</v>
      </c>
      <c r="BV69" s="13">
        <f t="shared" si="81"/>
        <v>1608247.914845356</v>
      </c>
      <c r="BW69" s="13">
        <f t="shared" si="82"/>
        <v>804123.95742267801</v>
      </c>
      <c r="BX69" s="13"/>
      <c r="BY69" s="25">
        <f t="shared" si="83"/>
        <v>0</v>
      </c>
      <c r="BZ69" s="25">
        <f t="shared" si="84"/>
        <v>0</v>
      </c>
      <c r="CA69" s="25">
        <f t="shared" si="85"/>
        <v>0</v>
      </c>
      <c r="CB69" s="25">
        <f t="shared" si="86"/>
        <v>0</v>
      </c>
      <c r="CC69" s="25">
        <f t="shared" si="87"/>
        <v>0</v>
      </c>
      <c r="CD69" s="384">
        <f t="shared" si="88"/>
        <v>0</v>
      </c>
      <c r="CR69" s="25">
        <f t="shared" si="89"/>
        <v>0</v>
      </c>
      <c r="CS69" s="25">
        <f t="shared" si="101"/>
        <v>0</v>
      </c>
      <c r="CT69" s="25">
        <f t="shared" si="101"/>
        <v>0</v>
      </c>
      <c r="CU69" s="25">
        <f t="shared" si="90"/>
        <v>0</v>
      </c>
      <c r="CV69" s="25">
        <f t="shared" si="91"/>
        <v>0</v>
      </c>
      <c r="CW69" s="25">
        <f t="shared" si="92"/>
        <v>0</v>
      </c>
      <c r="CY69" s="25">
        <f t="shared" si="93"/>
        <v>0</v>
      </c>
      <c r="CZ69" s="25">
        <f t="shared" si="94"/>
        <v>0</v>
      </c>
      <c r="DA69" s="25">
        <f t="shared" si="99"/>
        <v>0</v>
      </c>
      <c r="DB69" s="25">
        <f t="shared" si="95"/>
        <v>0</v>
      </c>
      <c r="DC69" s="25">
        <f t="shared" si="96"/>
        <v>0</v>
      </c>
      <c r="DD69" s="25">
        <f t="shared" si="97"/>
        <v>0</v>
      </c>
    </row>
    <row r="70" spans="1:108" x14ac:dyDescent="0.35">
      <c r="A70" s="282" t="str">
        <f t="shared" si="36"/>
        <v>341568_459136</v>
      </c>
      <c r="B70" s="303">
        <v>341568</v>
      </c>
      <c r="C70" s="303">
        <v>459136</v>
      </c>
      <c r="D70" s="319" t="str">
        <f>IFERROR(MATCH(C70,'[4]Custom Earning Pattern Not Popu'!$B$5:$B$428,0),"NA")</f>
        <v>NA</v>
      </c>
      <c r="E70" s="303" t="s">
        <v>228</v>
      </c>
      <c r="F70" s="303">
        <v>9</v>
      </c>
      <c r="G70" s="303">
        <v>12487</v>
      </c>
      <c r="H70" s="306">
        <v>45519</v>
      </c>
      <c r="I70" s="306">
        <v>45885</v>
      </c>
      <c r="J70" s="306">
        <v>46144</v>
      </c>
      <c r="K70" s="303" t="s">
        <v>16</v>
      </c>
      <c r="L70" s="306">
        <v>45885</v>
      </c>
      <c r="M70" s="306">
        <v>46144</v>
      </c>
      <c r="N70" s="303" t="s">
        <v>467</v>
      </c>
      <c r="O70" s="303" t="s">
        <v>467</v>
      </c>
      <c r="P70" s="148">
        <f t="shared" si="37"/>
        <v>0.2</v>
      </c>
      <c r="Q70" s="282">
        <v>1</v>
      </c>
      <c r="R70" s="282">
        <v>0</v>
      </c>
      <c r="S70" s="282" t="str">
        <f t="shared" si="52"/>
        <v>In-Orbit</v>
      </c>
      <c r="T70" s="282" t="s">
        <v>13</v>
      </c>
      <c r="U70" s="303" t="s">
        <v>375</v>
      </c>
      <c r="V70" s="303" t="s">
        <v>29</v>
      </c>
      <c r="W70" s="303" t="s">
        <v>78</v>
      </c>
      <c r="X70" s="303" t="s">
        <v>303</v>
      </c>
      <c r="Y70" s="303" t="s">
        <v>334</v>
      </c>
      <c r="Z70" s="303" t="s">
        <v>338</v>
      </c>
      <c r="AA70" s="308">
        <v>4020619.7871133899</v>
      </c>
      <c r="AC70" s="289">
        <f t="shared" si="38"/>
        <v>2</v>
      </c>
      <c r="AD70" s="88" cm="1">
        <f t="array" ref="AD70">IF(AC70=0,0,INDEX(Summary!$S$4:$S$7,MATCH(AC70,Summary!$R$4:$R$7)+1))</f>
        <v>0.4</v>
      </c>
      <c r="AE70" s="88">
        <f>IFERROR(INDEX(Summary!$Y$4:$Y$6,MATCH('Input Data'!K70,Summary!$U$4:$U$6,0)),0)</f>
        <v>0.4</v>
      </c>
      <c r="AF70" s="88" t="b">
        <f t="shared" si="68"/>
        <v>1</v>
      </c>
      <c r="AG70" s="89">
        <f>IF(AF70,INDEX('IG Equity Share'!$B:$B,MATCH(YEAR(I70),'IG Equity Share'!$A:$A,0)),0)</f>
        <v>7.4999999999999997E-2</v>
      </c>
      <c r="AH70" s="383">
        <f>AJ70*AG70*_xlfn.XLOOKUP(I70,'S3123 Consortium Share'!$A$3:$A$5,'S3123 Consortium Share'!$F$3:$F$5,,-1)</f>
        <v>125644.36834729342</v>
      </c>
      <c r="AI70" s="14">
        <v>1</v>
      </c>
      <c r="AJ70" s="13">
        <f t="shared" si="69"/>
        <v>4020619.7871133899</v>
      </c>
      <c r="AK70" s="13">
        <f t="shared" si="70"/>
        <v>4020619.7871133899</v>
      </c>
      <c r="AL70" s="13" t="str">
        <f t="shared" si="71"/>
        <v>FUL</v>
      </c>
      <c r="AM70" s="52">
        <f t="shared" si="72"/>
        <v>2025</v>
      </c>
      <c r="AN70" s="4">
        <f>INDEX('[2]Input Data'!$AH:$AH,MATCH(A70,'[2]Input Data'!$A:$A,0),1)-AH70</f>
        <v>0</v>
      </c>
      <c r="AO70" s="13">
        <f t="shared" ref="AO70:AU79" si="102">+IF(AND($I70&lt;=AO$8,$I70&gt;=AO$7),$AK70*AO$11,0)</f>
        <v>0</v>
      </c>
      <c r="AP70" s="13">
        <f t="shared" si="102"/>
        <v>0</v>
      </c>
      <c r="AQ70" s="13">
        <f t="shared" si="102"/>
        <v>0</v>
      </c>
      <c r="AR70" s="13">
        <f t="shared" si="102"/>
        <v>0</v>
      </c>
      <c r="AS70" s="13">
        <f t="shared" si="102"/>
        <v>0</v>
      </c>
      <c r="AT70" s="13">
        <f t="shared" si="102"/>
        <v>0</v>
      </c>
      <c r="AU70" s="13">
        <f t="shared" si="102"/>
        <v>804123.95742267801</v>
      </c>
      <c r="AV70" s="13">
        <f t="shared" si="98"/>
        <v>0</v>
      </c>
      <c r="AW70" s="13"/>
      <c r="AX70" s="13"/>
      <c r="AY70" s="13">
        <f t="shared" si="42"/>
        <v>804123.95742267801</v>
      </c>
      <c r="AZ70" s="13">
        <f t="shared" si="58"/>
        <v>0</v>
      </c>
      <c r="BA70" s="74"/>
      <c r="BB70" s="25">
        <f t="shared" si="59"/>
        <v>3216495.829690712</v>
      </c>
      <c r="BC70" s="13">
        <f t="shared" si="60"/>
        <v>0</v>
      </c>
      <c r="BD70" s="13" t="b">
        <f>AND(AF70,NOT(ISNUMBER(MATCH(G70,Table1[Excluded Spacecraft ID],0))))</f>
        <v>1</v>
      </c>
      <c r="BE70" s="13">
        <f>BD70*AK70*_xlfn.XLOOKUP(I70,Table2[Date From],Table2[Cession],"Error",-1)*_xlfn.XLOOKUP(I70,'S3123 Consortium Share'!$A$3:$A$5,'S3123 Consortium Share'!$F$3:$F$5,,-1)</f>
        <v>335051.64892611583</v>
      </c>
      <c r="BF70" s="13">
        <f t="shared" si="61"/>
        <v>3216495.829690712</v>
      </c>
      <c r="BG70" s="89" cm="1">
        <f t="array" ref="BG70">IF(V70="FIBL",0,INDEX('IGR QS'!$A$1:$D$570,MATCH('Input Data'!V70&amp;'Input Data'!W70&amp;'Input Data'!AM70,'IGR QS'!A:A&amp;'IGR QS'!B:B&amp;'IGR QS'!C:C,0),4))</f>
        <v>0.5</v>
      </c>
      <c r="BH70" s="13">
        <f t="shared" si="62"/>
        <v>1608247.914845356</v>
      </c>
      <c r="BI70" s="13">
        <f t="shared" si="63"/>
        <v>1608247.914845356</v>
      </c>
      <c r="BJ70" s="13">
        <f t="shared" si="73"/>
        <v>0</v>
      </c>
      <c r="BK70" s="13">
        <f t="shared" si="64"/>
        <v>1608247.914845356</v>
      </c>
      <c r="BL70" s="13">
        <f t="shared" si="65"/>
        <v>1608247.914845356</v>
      </c>
      <c r="BM70" s="21"/>
      <c r="BN70" s="13">
        <f t="shared" si="74"/>
        <v>34042623.318762854</v>
      </c>
      <c r="BO70" s="13">
        <f t="shared" si="75"/>
        <v>34042623.318762854</v>
      </c>
      <c r="BP70" s="13">
        <f t="shared" si="76"/>
        <v>0</v>
      </c>
      <c r="BQ70" s="13">
        <f t="shared" si="77"/>
        <v>34042623.318762854</v>
      </c>
      <c r="BR70" s="13">
        <f t="shared" si="78"/>
        <v>17021311.659381427</v>
      </c>
      <c r="BT70" s="13">
        <f t="shared" si="79"/>
        <v>3216495.829690712</v>
      </c>
      <c r="BU70" s="13">
        <f t="shared" si="80"/>
        <v>1608247.914845356</v>
      </c>
      <c r="BV70" s="13">
        <f t="shared" si="81"/>
        <v>1608247.914845356</v>
      </c>
      <c r="BW70" s="13">
        <f t="shared" si="82"/>
        <v>804123.95742267801</v>
      </c>
      <c r="BX70" s="13"/>
      <c r="BY70" s="25">
        <f t="shared" si="83"/>
        <v>0</v>
      </c>
      <c r="BZ70" s="25">
        <f t="shared" si="84"/>
        <v>0</v>
      </c>
      <c r="CA70" s="25">
        <f t="shared" si="85"/>
        <v>0</v>
      </c>
      <c r="CB70" s="25">
        <f t="shared" si="86"/>
        <v>0</v>
      </c>
      <c r="CC70" s="25">
        <f t="shared" si="87"/>
        <v>0</v>
      </c>
      <c r="CD70" s="384">
        <f t="shared" si="88"/>
        <v>0</v>
      </c>
      <c r="CR70" s="25">
        <f t="shared" si="89"/>
        <v>0</v>
      </c>
      <c r="CS70" s="25">
        <f t="shared" si="101"/>
        <v>0</v>
      </c>
      <c r="CT70" s="25">
        <f t="shared" si="101"/>
        <v>0</v>
      </c>
      <c r="CU70" s="25">
        <f t="shared" si="90"/>
        <v>0</v>
      </c>
      <c r="CV70" s="25">
        <f t="shared" si="91"/>
        <v>0</v>
      </c>
      <c r="CW70" s="25">
        <f t="shared" si="92"/>
        <v>0</v>
      </c>
      <c r="CY70" s="25">
        <f t="shared" si="93"/>
        <v>0</v>
      </c>
      <c r="CZ70" s="25">
        <f t="shared" si="94"/>
        <v>0</v>
      </c>
      <c r="DA70" s="25">
        <f t="shared" si="99"/>
        <v>0</v>
      </c>
      <c r="DB70" s="25">
        <f t="shared" si="95"/>
        <v>0</v>
      </c>
      <c r="DC70" s="25">
        <f t="shared" si="96"/>
        <v>0</v>
      </c>
      <c r="DD70" s="25">
        <f t="shared" si="97"/>
        <v>0</v>
      </c>
    </row>
    <row r="71" spans="1:108" x14ac:dyDescent="0.35">
      <c r="A71" s="282" t="str">
        <f t="shared" si="36"/>
        <v>341568_459137</v>
      </c>
      <c r="B71" s="303">
        <v>341568</v>
      </c>
      <c r="C71" s="303">
        <v>459137</v>
      </c>
      <c r="D71" s="319" t="str">
        <f>IFERROR(MATCH(C71,'[4]Custom Earning Pattern Not Popu'!$B$5:$B$428,0),"NA")</f>
        <v>NA</v>
      </c>
      <c r="E71" s="303" t="s">
        <v>228</v>
      </c>
      <c r="F71" s="303">
        <v>12</v>
      </c>
      <c r="G71" s="303">
        <v>12488</v>
      </c>
      <c r="H71" s="306">
        <v>45519</v>
      </c>
      <c r="I71" s="306">
        <v>45780</v>
      </c>
      <c r="J71" s="306">
        <v>46144</v>
      </c>
      <c r="K71" s="303" t="s">
        <v>16</v>
      </c>
      <c r="L71" s="306">
        <v>45780</v>
      </c>
      <c r="M71" s="306">
        <v>46144</v>
      </c>
      <c r="N71" s="303" t="s">
        <v>467</v>
      </c>
      <c r="O71" s="303" t="s">
        <v>467</v>
      </c>
      <c r="P71" s="148">
        <f t="shared" si="37"/>
        <v>0.2</v>
      </c>
      <c r="Q71" s="282">
        <v>1</v>
      </c>
      <c r="R71" s="282">
        <v>0</v>
      </c>
      <c r="S71" s="282" t="str">
        <f t="shared" si="52"/>
        <v>In-Orbit</v>
      </c>
      <c r="T71" s="282" t="s">
        <v>13</v>
      </c>
      <c r="U71" s="303" t="s">
        <v>375</v>
      </c>
      <c r="V71" s="303" t="s">
        <v>29</v>
      </c>
      <c r="W71" s="303" t="s">
        <v>78</v>
      </c>
      <c r="X71" s="303" t="s">
        <v>304</v>
      </c>
      <c r="Y71" s="303" t="s">
        <v>334</v>
      </c>
      <c r="Z71" s="303" t="s">
        <v>338</v>
      </c>
      <c r="AA71" s="308">
        <v>4020619.7871133899</v>
      </c>
      <c r="AC71" s="289">
        <f t="shared" si="38"/>
        <v>2</v>
      </c>
      <c r="AD71" s="88" cm="1">
        <f t="array" ref="AD71">IF(AC71=0,0,INDEX(Summary!$S$4:$S$7,MATCH(AC71,Summary!$R$4:$R$7)+1))</f>
        <v>0.4</v>
      </c>
      <c r="AE71" s="88">
        <f>IFERROR(INDEX(Summary!$Y$4:$Y$6,MATCH('Input Data'!K71,Summary!$U$4:$U$6,0)),0)</f>
        <v>0.4</v>
      </c>
      <c r="AF71" s="88" t="b">
        <f t="shared" si="68"/>
        <v>1</v>
      </c>
      <c r="AG71" s="89">
        <f>IF(AF71,INDEX('IG Equity Share'!$B:$B,MATCH(YEAR(I71),'IG Equity Share'!$A:$A,0)),0)</f>
        <v>7.4999999999999997E-2</v>
      </c>
      <c r="AH71" s="383">
        <f>AJ71*AG71*_xlfn.XLOOKUP(I71,'S3123 Consortium Share'!$A$3:$A$5,'S3123 Consortium Share'!$F$3:$F$5,,-1)</f>
        <v>125644.36834729342</v>
      </c>
      <c r="AI71" s="14">
        <v>1</v>
      </c>
      <c r="AJ71" s="13">
        <f t="shared" si="69"/>
        <v>4020619.7871133899</v>
      </c>
      <c r="AK71" s="13">
        <f t="shared" si="70"/>
        <v>4020619.7871133899</v>
      </c>
      <c r="AL71" s="13" t="str">
        <f t="shared" si="71"/>
        <v>FUL</v>
      </c>
      <c r="AM71" s="52">
        <f t="shared" si="72"/>
        <v>2025</v>
      </c>
      <c r="AN71" s="4">
        <f>INDEX('[2]Input Data'!$AH:$AH,MATCH(A71,'[2]Input Data'!$A:$A,0),1)-AH71</f>
        <v>0</v>
      </c>
      <c r="AO71" s="13">
        <f t="shared" si="102"/>
        <v>0</v>
      </c>
      <c r="AP71" s="13">
        <f t="shared" si="102"/>
        <v>0</v>
      </c>
      <c r="AQ71" s="13">
        <f t="shared" si="102"/>
        <v>0</v>
      </c>
      <c r="AR71" s="13">
        <f t="shared" si="102"/>
        <v>0</v>
      </c>
      <c r="AS71" s="13">
        <f t="shared" si="102"/>
        <v>0</v>
      </c>
      <c r="AT71" s="13">
        <f t="shared" si="102"/>
        <v>0</v>
      </c>
      <c r="AU71" s="13">
        <f t="shared" si="102"/>
        <v>804123.95742267801</v>
      </c>
      <c r="AV71" s="13">
        <f t="shared" si="98"/>
        <v>0</v>
      </c>
      <c r="AW71" s="13"/>
      <c r="AX71" s="13"/>
      <c r="AY71" s="13">
        <f t="shared" si="42"/>
        <v>804123.95742267801</v>
      </c>
      <c r="AZ71" s="13">
        <f t="shared" si="58"/>
        <v>0</v>
      </c>
      <c r="BA71" s="74"/>
      <c r="BB71" s="25">
        <f t="shared" si="59"/>
        <v>3216495.829690712</v>
      </c>
      <c r="BC71" s="13">
        <f t="shared" si="60"/>
        <v>0</v>
      </c>
      <c r="BD71" s="13" t="b">
        <f>AND(AF71,NOT(ISNUMBER(MATCH(G71,Table1[Excluded Spacecraft ID],0))))</f>
        <v>1</v>
      </c>
      <c r="BE71" s="13">
        <f>BD71*AK71*_xlfn.XLOOKUP(I71,Table2[Date From],Table2[Cession],"Error",-1)*_xlfn.XLOOKUP(I71,'S3123 Consortium Share'!$A$3:$A$5,'S3123 Consortium Share'!$F$3:$F$5,,-1)</f>
        <v>335051.64892611583</v>
      </c>
      <c r="BF71" s="13">
        <f t="shared" si="61"/>
        <v>3216495.829690712</v>
      </c>
      <c r="BG71" s="89" cm="1">
        <f t="array" ref="BG71">IF(V71="FIBL",0,INDEX('IGR QS'!$A$1:$D$570,MATCH('Input Data'!V71&amp;'Input Data'!W71&amp;'Input Data'!AM71,'IGR QS'!A:A&amp;'IGR QS'!B:B&amp;'IGR QS'!C:C,0),4))</f>
        <v>0.5</v>
      </c>
      <c r="BH71" s="13">
        <f t="shared" si="62"/>
        <v>1608247.914845356</v>
      </c>
      <c r="BI71" s="13">
        <f t="shared" si="63"/>
        <v>1608247.914845356</v>
      </c>
      <c r="BJ71" s="13">
        <f t="shared" si="73"/>
        <v>0</v>
      </c>
      <c r="BK71" s="13">
        <f t="shared" si="64"/>
        <v>1608247.914845356</v>
      </c>
      <c r="BL71" s="13">
        <f t="shared" si="65"/>
        <v>1608247.914845356</v>
      </c>
      <c r="BM71" s="21"/>
      <c r="BN71" s="13">
        <f t="shared" si="74"/>
        <v>34042623.318762854</v>
      </c>
      <c r="BO71" s="13">
        <f t="shared" si="75"/>
        <v>34042623.318762854</v>
      </c>
      <c r="BP71" s="13">
        <f t="shared" si="76"/>
        <v>0</v>
      </c>
      <c r="BQ71" s="13">
        <f t="shared" si="77"/>
        <v>34042623.318762854</v>
      </c>
      <c r="BR71" s="13">
        <f t="shared" si="78"/>
        <v>17021311.659381427</v>
      </c>
      <c r="BT71" s="13">
        <f t="shared" si="79"/>
        <v>3216495.829690712</v>
      </c>
      <c r="BU71" s="13">
        <f t="shared" si="80"/>
        <v>1608247.914845356</v>
      </c>
      <c r="BV71" s="13">
        <f t="shared" si="81"/>
        <v>1608247.914845356</v>
      </c>
      <c r="BW71" s="13">
        <f t="shared" si="82"/>
        <v>804123.95742267801</v>
      </c>
      <c r="BX71" s="13"/>
      <c r="BY71" s="25">
        <f t="shared" si="83"/>
        <v>0</v>
      </c>
      <c r="BZ71" s="25">
        <f t="shared" si="84"/>
        <v>0</v>
      </c>
      <c r="CA71" s="25">
        <f t="shared" si="85"/>
        <v>0</v>
      </c>
      <c r="CB71" s="25">
        <f t="shared" si="86"/>
        <v>0</v>
      </c>
      <c r="CC71" s="25">
        <f t="shared" si="87"/>
        <v>0</v>
      </c>
      <c r="CD71" s="384">
        <f t="shared" si="88"/>
        <v>0</v>
      </c>
      <c r="CR71" s="25">
        <f t="shared" si="89"/>
        <v>0</v>
      </c>
      <c r="CS71" s="25">
        <f t="shared" si="101"/>
        <v>0</v>
      </c>
      <c r="CT71" s="25">
        <f t="shared" si="101"/>
        <v>0</v>
      </c>
      <c r="CU71" s="25">
        <f t="shared" si="90"/>
        <v>0</v>
      </c>
      <c r="CV71" s="25">
        <f t="shared" si="91"/>
        <v>0</v>
      </c>
      <c r="CW71" s="25">
        <f t="shared" si="92"/>
        <v>0</v>
      </c>
      <c r="CY71" s="25">
        <f t="shared" si="93"/>
        <v>0</v>
      </c>
      <c r="CZ71" s="25">
        <f t="shared" si="94"/>
        <v>0</v>
      </c>
      <c r="DA71" s="25">
        <f t="shared" si="99"/>
        <v>0</v>
      </c>
      <c r="DB71" s="25">
        <f t="shared" si="95"/>
        <v>0</v>
      </c>
      <c r="DC71" s="25">
        <f t="shared" si="96"/>
        <v>0</v>
      </c>
      <c r="DD71" s="25">
        <f t="shared" si="97"/>
        <v>0</v>
      </c>
    </row>
    <row r="72" spans="1:108" x14ac:dyDescent="0.35">
      <c r="A72" s="282" t="str">
        <f t="shared" si="36"/>
        <v>342462_460214</v>
      </c>
      <c r="B72" s="303">
        <v>342462</v>
      </c>
      <c r="C72" s="303">
        <v>460214</v>
      </c>
      <c r="D72" s="319" t="str">
        <f>IFERROR(MATCH(C72,'[4]Custom Earning Pattern Not Popu'!$B$5:$B$428,0),"NA")</f>
        <v>NA</v>
      </c>
      <c r="E72" s="303" t="s">
        <v>228</v>
      </c>
      <c r="F72" s="303">
        <v>12</v>
      </c>
      <c r="G72" s="303">
        <v>13887</v>
      </c>
      <c r="H72" s="306">
        <v>44315</v>
      </c>
      <c r="I72" s="306">
        <v>45776</v>
      </c>
      <c r="J72" s="306">
        <v>46140</v>
      </c>
      <c r="K72" s="303" t="s">
        <v>16</v>
      </c>
      <c r="L72" s="306">
        <v>45776</v>
      </c>
      <c r="M72" s="306">
        <v>46140</v>
      </c>
      <c r="N72" s="303" t="s">
        <v>230</v>
      </c>
      <c r="O72" s="303" t="s">
        <v>230</v>
      </c>
      <c r="P72" s="148">
        <f t="shared" si="37"/>
        <v>0.2</v>
      </c>
      <c r="Q72" s="282">
        <v>1</v>
      </c>
      <c r="R72" s="282">
        <v>0</v>
      </c>
      <c r="S72" s="282" t="str">
        <f t="shared" si="52"/>
        <v>In-Orbit</v>
      </c>
      <c r="T72" s="282" t="s">
        <v>13</v>
      </c>
      <c r="U72" s="303" t="s">
        <v>376</v>
      </c>
      <c r="V72" s="303" t="s">
        <v>31</v>
      </c>
      <c r="W72" s="303" t="s">
        <v>78</v>
      </c>
      <c r="X72" s="303" t="s">
        <v>381</v>
      </c>
      <c r="Y72" s="303" t="s">
        <v>332</v>
      </c>
      <c r="Z72" s="303" t="s">
        <v>405</v>
      </c>
      <c r="AA72" s="308">
        <v>10003270.3710598</v>
      </c>
      <c r="AC72" s="289">
        <f t="shared" si="38"/>
        <v>1</v>
      </c>
      <c r="AD72" s="88" cm="1">
        <f t="array" ref="AD72">IF(AC72=0,0,INDEX(Summary!$S$4:$S$7,MATCH(AC72,Summary!$R$4:$R$7)+1))</f>
        <v>0.4</v>
      </c>
      <c r="AE72" s="88">
        <f>IFERROR(INDEX(Summary!$Y$4:$Y$6,MATCH('Input Data'!K72,Summary!$U$4:$U$6,0)),0)</f>
        <v>0.4</v>
      </c>
      <c r="AF72" s="88" t="b">
        <f t="shared" si="68"/>
        <v>1</v>
      </c>
      <c r="AG72" s="89">
        <f>IF(AF72,INDEX('IG Equity Share'!$B:$B,MATCH(YEAR(I72),'IG Equity Share'!$A:$A,0)),0)</f>
        <v>7.4999999999999997E-2</v>
      </c>
      <c r="AH72" s="383">
        <f>AJ72*AG72*_xlfn.XLOOKUP(I72,'S3123 Consortium Share'!$A$3:$A$5,'S3123 Consortium Share'!$F$3:$F$5,,-1)</f>
        <v>312602.19909561874</v>
      </c>
      <c r="AI72" s="14">
        <v>1</v>
      </c>
      <c r="AJ72" s="13">
        <f t="shared" si="69"/>
        <v>10003270.3710598</v>
      </c>
      <c r="AK72" s="13">
        <f t="shared" si="70"/>
        <v>10003270.3710598</v>
      </c>
      <c r="AL72" s="13" t="str">
        <f t="shared" si="71"/>
        <v>FIID</v>
      </c>
      <c r="AM72" s="52">
        <f t="shared" si="72"/>
        <v>2025</v>
      </c>
      <c r="AN72" s="4">
        <f>INDEX('[2]Input Data'!$AH:$AH,MATCH(A72,'[2]Input Data'!$A:$A,0),1)-AH72</f>
        <v>0</v>
      </c>
      <c r="AO72" s="13">
        <f t="shared" si="102"/>
        <v>0</v>
      </c>
      <c r="AP72" s="13">
        <f t="shared" si="102"/>
        <v>0</v>
      </c>
      <c r="AQ72" s="13">
        <f t="shared" si="102"/>
        <v>0</v>
      </c>
      <c r="AR72" s="13">
        <f t="shared" si="102"/>
        <v>0</v>
      </c>
      <c r="AS72" s="13">
        <f t="shared" si="102"/>
        <v>0</v>
      </c>
      <c r="AT72" s="13">
        <f t="shared" si="102"/>
        <v>0</v>
      </c>
      <c r="AU72" s="13">
        <f t="shared" si="102"/>
        <v>2000654.07421196</v>
      </c>
      <c r="AV72" s="13">
        <f t="shared" si="98"/>
        <v>0</v>
      </c>
      <c r="AW72" s="13"/>
      <c r="AX72" s="13"/>
      <c r="AY72" s="13">
        <f t="shared" si="42"/>
        <v>2000654.07421196</v>
      </c>
      <c r="AZ72" s="13">
        <f t="shared" si="58"/>
        <v>0</v>
      </c>
      <c r="BA72" s="74"/>
      <c r="BB72" s="25">
        <f t="shared" si="59"/>
        <v>8002616.2968478398</v>
      </c>
      <c r="BC72" s="13">
        <f t="shared" si="60"/>
        <v>0</v>
      </c>
      <c r="BD72" s="13" t="b">
        <f>AND(AF72,NOT(ISNUMBER(MATCH(G72,Table1[Excluded Spacecraft ID],0))))</f>
        <v>1</v>
      </c>
      <c r="BE72" s="13">
        <f>BD72*AK72*_xlfn.XLOOKUP(I72,Table2[Date From],Table2[Cession],"Error",-1)*_xlfn.XLOOKUP(I72,'S3123 Consortium Share'!$A$3:$A$5,'S3123 Consortium Share'!$F$3:$F$5,,-1)</f>
        <v>833605.86425498337</v>
      </c>
      <c r="BF72" s="13">
        <f t="shared" si="61"/>
        <v>8002616.2968478398</v>
      </c>
      <c r="BG72" s="89" cm="1">
        <f t="array" ref="BG72">IF(V72="FIBL",0,INDEX('IGR QS'!$A$1:$D$570,MATCH('Input Data'!V72&amp;'Input Data'!W72&amp;'Input Data'!AM72,'IGR QS'!A:A&amp;'IGR QS'!B:B&amp;'IGR QS'!C:C,0),4))</f>
        <v>0.85</v>
      </c>
      <c r="BH72" s="13">
        <f t="shared" si="62"/>
        <v>6802223.8523206636</v>
      </c>
      <c r="BI72" s="13">
        <f t="shared" si="63"/>
        <v>1200392.4445271762</v>
      </c>
      <c r="BJ72" s="13">
        <f t="shared" si="73"/>
        <v>0</v>
      </c>
      <c r="BK72" s="13">
        <f t="shared" si="64"/>
        <v>6802223.8523206636</v>
      </c>
      <c r="BL72" s="13">
        <f t="shared" si="65"/>
        <v>1200392.4445271762</v>
      </c>
      <c r="BM72" s="21"/>
      <c r="BN72" s="13">
        <f t="shared" si="74"/>
        <v>66471396.42403952</v>
      </c>
      <c r="BO72" s="13">
        <f t="shared" si="75"/>
        <v>49043091.716622137</v>
      </c>
      <c r="BP72" s="13">
        <f t="shared" si="76"/>
        <v>17428304.707417384</v>
      </c>
      <c r="BQ72" s="13">
        <f t="shared" si="77"/>
        <v>147803485.05865392</v>
      </c>
      <c r="BR72" s="13">
        <f t="shared" si="78"/>
        <v>53568720.370673373</v>
      </c>
      <c r="BT72" s="13">
        <f t="shared" si="79"/>
        <v>8002616.2968478398</v>
      </c>
      <c r="BU72" s="13">
        <f t="shared" si="80"/>
        <v>1200392.4445271762</v>
      </c>
      <c r="BV72" s="13">
        <f t="shared" si="81"/>
        <v>6802223.8523206636</v>
      </c>
      <c r="BW72" s="13">
        <f t="shared" si="82"/>
        <v>2000654.07421196</v>
      </c>
      <c r="BX72" s="13"/>
      <c r="BY72" s="25">
        <f t="shared" si="83"/>
        <v>0</v>
      </c>
      <c r="BZ72" s="25">
        <f t="shared" si="84"/>
        <v>0</v>
      </c>
      <c r="CA72" s="25">
        <f t="shared" si="85"/>
        <v>0</v>
      </c>
      <c r="CB72" s="25">
        <f t="shared" si="86"/>
        <v>0</v>
      </c>
      <c r="CC72" s="25">
        <f t="shared" si="87"/>
        <v>0</v>
      </c>
      <c r="CD72" s="384">
        <f t="shared" si="88"/>
        <v>0</v>
      </c>
      <c r="CR72" s="25">
        <f t="shared" si="89"/>
        <v>0</v>
      </c>
      <c r="CS72" s="25">
        <f t="shared" si="101"/>
        <v>0</v>
      </c>
      <c r="CT72" s="25">
        <f t="shared" si="101"/>
        <v>0</v>
      </c>
      <c r="CU72" s="25">
        <f t="shared" si="90"/>
        <v>0</v>
      </c>
      <c r="CV72" s="25">
        <f t="shared" si="91"/>
        <v>0</v>
      </c>
      <c r="CW72" s="25">
        <f t="shared" si="92"/>
        <v>0</v>
      </c>
      <c r="CY72" s="25">
        <f t="shared" si="93"/>
        <v>0</v>
      </c>
      <c r="CZ72" s="25">
        <f t="shared" si="94"/>
        <v>0</v>
      </c>
      <c r="DA72" s="25">
        <f t="shared" si="99"/>
        <v>0</v>
      </c>
      <c r="DB72" s="25">
        <f t="shared" si="95"/>
        <v>0</v>
      </c>
      <c r="DC72" s="25">
        <f t="shared" si="96"/>
        <v>0</v>
      </c>
      <c r="DD72" s="25">
        <f t="shared" si="97"/>
        <v>0</v>
      </c>
    </row>
    <row r="73" spans="1:108" x14ac:dyDescent="0.35">
      <c r="A73" s="282" t="str">
        <f t="shared" si="36"/>
        <v>342462_460219</v>
      </c>
      <c r="B73" s="303">
        <v>342462</v>
      </c>
      <c r="C73" s="303">
        <v>460219</v>
      </c>
      <c r="D73" s="319" t="str">
        <f>IFERROR(MATCH(C73,'[4]Custom Earning Pattern Not Popu'!$B$5:$B$428,0),"NA")</f>
        <v>NA</v>
      </c>
      <c r="E73" s="303" t="s">
        <v>228</v>
      </c>
      <c r="F73" s="303">
        <v>12</v>
      </c>
      <c r="G73" s="303">
        <v>13888</v>
      </c>
      <c r="H73" s="306">
        <v>44425</v>
      </c>
      <c r="I73" s="306">
        <v>45776</v>
      </c>
      <c r="J73" s="306">
        <v>46140</v>
      </c>
      <c r="K73" s="303" t="s">
        <v>16</v>
      </c>
      <c r="L73" s="306">
        <v>45776</v>
      </c>
      <c r="M73" s="306">
        <v>46140</v>
      </c>
      <c r="N73" s="303" t="s">
        <v>245</v>
      </c>
      <c r="O73" s="303" t="s">
        <v>245</v>
      </c>
      <c r="P73" s="148">
        <f t="shared" si="37"/>
        <v>0.2</v>
      </c>
      <c r="Q73" s="282">
        <v>1</v>
      </c>
      <c r="R73" s="282">
        <v>0</v>
      </c>
      <c r="S73" s="282" t="str">
        <f t="shared" si="52"/>
        <v>In-Orbit</v>
      </c>
      <c r="T73" s="282" t="s">
        <v>13</v>
      </c>
      <c r="U73" s="303" t="s">
        <v>376</v>
      </c>
      <c r="V73" s="303" t="s">
        <v>31</v>
      </c>
      <c r="W73" s="303" t="s">
        <v>78</v>
      </c>
      <c r="X73" s="303" t="s">
        <v>382</v>
      </c>
      <c r="Y73" s="303" t="s">
        <v>332</v>
      </c>
      <c r="Z73" s="303" t="s">
        <v>405</v>
      </c>
      <c r="AA73" s="308">
        <v>10003270.3710598</v>
      </c>
      <c r="AC73" s="289">
        <f t="shared" si="38"/>
        <v>1</v>
      </c>
      <c r="AD73" s="88" cm="1">
        <f t="array" ref="AD73">IF(AC73=0,0,INDEX(Summary!$S$4:$S$7,MATCH(AC73,Summary!$R$4:$R$7)+1))</f>
        <v>0.4</v>
      </c>
      <c r="AE73" s="88">
        <f>IFERROR(INDEX(Summary!$Y$4:$Y$6,MATCH('Input Data'!K73,Summary!$U$4:$U$6,0)),0)</f>
        <v>0.4</v>
      </c>
      <c r="AF73" s="88" t="b">
        <f t="shared" si="68"/>
        <v>1</v>
      </c>
      <c r="AG73" s="89">
        <f>IF(AF73,INDEX('IG Equity Share'!$B:$B,MATCH(YEAR(I73),'IG Equity Share'!$A:$A,0)),0)</f>
        <v>7.4999999999999997E-2</v>
      </c>
      <c r="AH73" s="383">
        <f>AJ73*AG73*_xlfn.XLOOKUP(I73,'S3123 Consortium Share'!$A$3:$A$5,'S3123 Consortium Share'!$F$3:$F$5,,-1)</f>
        <v>312602.19909561874</v>
      </c>
      <c r="AI73" s="14">
        <v>1</v>
      </c>
      <c r="AJ73" s="13">
        <f t="shared" si="69"/>
        <v>10003270.3710598</v>
      </c>
      <c r="AK73" s="13">
        <f t="shared" si="70"/>
        <v>10003270.3710598</v>
      </c>
      <c r="AL73" s="13" t="str">
        <f t="shared" si="71"/>
        <v>FIID</v>
      </c>
      <c r="AM73" s="52">
        <f t="shared" si="72"/>
        <v>2025</v>
      </c>
      <c r="AN73" s="4">
        <f>INDEX('[2]Input Data'!$AH:$AH,MATCH(A73,'[2]Input Data'!$A:$A,0),1)-AH73</f>
        <v>0</v>
      </c>
      <c r="AO73" s="13">
        <f t="shared" si="102"/>
        <v>0</v>
      </c>
      <c r="AP73" s="13">
        <f t="shared" si="102"/>
        <v>0</v>
      </c>
      <c r="AQ73" s="13">
        <f t="shared" si="102"/>
        <v>0</v>
      </c>
      <c r="AR73" s="13">
        <f t="shared" si="102"/>
        <v>0</v>
      </c>
      <c r="AS73" s="13">
        <f t="shared" si="102"/>
        <v>0</v>
      </c>
      <c r="AT73" s="13">
        <f t="shared" si="102"/>
        <v>0</v>
      </c>
      <c r="AU73" s="13">
        <f t="shared" si="102"/>
        <v>2000654.07421196</v>
      </c>
      <c r="AV73" s="13">
        <f t="shared" si="98"/>
        <v>0</v>
      </c>
      <c r="AW73" s="13"/>
      <c r="AX73" s="13"/>
      <c r="AY73" s="13">
        <f t="shared" si="42"/>
        <v>2000654.07421196</v>
      </c>
      <c r="AZ73" s="13">
        <f t="shared" si="58"/>
        <v>0</v>
      </c>
      <c r="BA73" s="74"/>
      <c r="BB73" s="25">
        <f t="shared" si="59"/>
        <v>8002616.2968478398</v>
      </c>
      <c r="BC73" s="13">
        <f t="shared" si="60"/>
        <v>0</v>
      </c>
      <c r="BD73" s="13" t="b">
        <f>AND(AF73,NOT(ISNUMBER(MATCH(G73,Table1[Excluded Spacecraft ID],0))))</f>
        <v>1</v>
      </c>
      <c r="BE73" s="13">
        <f>BD73*AK73*_xlfn.XLOOKUP(I73,Table2[Date From],Table2[Cession],"Error",-1)*_xlfn.XLOOKUP(I73,'S3123 Consortium Share'!$A$3:$A$5,'S3123 Consortium Share'!$F$3:$F$5,,-1)</f>
        <v>833605.86425498337</v>
      </c>
      <c r="BF73" s="13">
        <f t="shared" si="61"/>
        <v>8002616.2968478398</v>
      </c>
      <c r="BG73" s="89" cm="1">
        <f t="array" ref="BG73">IF(V73="FIBL",0,INDEX('IGR QS'!$A$1:$D$570,MATCH('Input Data'!V73&amp;'Input Data'!W73&amp;'Input Data'!AM73,'IGR QS'!A:A&amp;'IGR QS'!B:B&amp;'IGR QS'!C:C,0),4))</f>
        <v>0.85</v>
      </c>
      <c r="BH73" s="13">
        <f t="shared" si="62"/>
        <v>6802223.8523206636</v>
      </c>
      <c r="BI73" s="13">
        <f t="shared" si="63"/>
        <v>1200392.4445271762</v>
      </c>
      <c r="BJ73" s="13">
        <f t="shared" si="73"/>
        <v>0</v>
      </c>
      <c r="BK73" s="13">
        <f t="shared" si="64"/>
        <v>6802223.8523206636</v>
      </c>
      <c r="BL73" s="13">
        <f t="shared" si="65"/>
        <v>1200392.4445271762</v>
      </c>
      <c r="BM73" s="21"/>
      <c r="BN73" s="13">
        <f t="shared" si="74"/>
        <v>1200392.4445271762</v>
      </c>
      <c r="BO73" s="13">
        <f t="shared" si="75"/>
        <v>0</v>
      </c>
      <c r="BP73" s="13">
        <f t="shared" si="76"/>
        <v>1200392.4445271762</v>
      </c>
      <c r="BQ73" s="13">
        <f t="shared" si="77"/>
        <v>6802223.8523206636</v>
      </c>
      <c r="BR73" s="13">
        <f t="shared" si="78"/>
        <v>2000654.07421196</v>
      </c>
      <c r="BT73" s="13">
        <f t="shared" si="79"/>
        <v>8002616.2968478398</v>
      </c>
      <c r="BU73" s="13">
        <f t="shared" si="80"/>
        <v>1200392.4445271762</v>
      </c>
      <c r="BV73" s="13">
        <f t="shared" si="81"/>
        <v>6802223.8523206636</v>
      </c>
      <c r="BW73" s="13">
        <f t="shared" si="82"/>
        <v>2000654.07421196</v>
      </c>
      <c r="BX73" s="13"/>
      <c r="BY73" s="25">
        <f t="shared" si="83"/>
        <v>0</v>
      </c>
      <c r="BZ73" s="25">
        <f t="shared" si="84"/>
        <v>0</v>
      </c>
      <c r="CA73" s="25">
        <f t="shared" si="85"/>
        <v>0</v>
      </c>
      <c r="CB73" s="25">
        <f t="shared" si="86"/>
        <v>0</v>
      </c>
      <c r="CC73" s="25">
        <f t="shared" si="87"/>
        <v>0</v>
      </c>
      <c r="CD73" s="384">
        <f t="shared" si="88"/>
        <v>0</v>
      </c>
      <c r="CR73" s="25">
        <f t="shared" si="89"/>
        <v>0</v>
      </c>
      <c r="CS73" s="25">
        <f t="shared" si="101"/>
        <v>0</v>
      </c>
      <c r="CT73" s="25">
        <f t="shared" si="101"/>
        <v>0</v>
      </c>
      <c r="CU73" s="25">
        <f t="shared" si="90"/>
        <v>0</v>
      </c>
      <c r="CV73" s="25">
        <f t="shared" si="91"/>
        <v>0</v>
      </c>
      <c r="CW73" s="25">
        <f t="shared" si="92"/>
        <v>0</v>
      </c>
      <c r="CY73" s="25">
        <f t="shared" si="93"/>
        <v>0</v>
      </c>
      <c r="CZ73" s="25">
        <f t="shared" si="94"/>
        <v>0</v>
      </c>
      <c r="DA73" s="25">
        <f t="shared" si="99"/>
        <v>0</v>
      </c>
      <c r="DB73" s="25">
        <f t="shared" si="95"/>
        <v>0</v>
      </c>
      <c r="DC73" s="25">
        <f t="shared" si="96"/>
        <v>0</v>
      </c>
      <c r="DD73" s="25">
        <f t="shared" si="97"/>
        <v>0</v>
      </c>
    </row>
    <row r="74" spans="1:108" x14ac:dyDescent="0.35">
      <c r="A74" s="282" t="str">
        <f t="shared" si="36"/>
        <v>343722_463279</v>
      </c>
      <c r="B74" s="303">
        <v>343722</v>
      </c>
      <c r="C74" s="303">
        <v>463279</v>
      </c>
      <c r="D74" s="319" t="str">
        <f>IFERROR(MATCH(C74,'[4]Custom Earning Pattern Not Popu'!$B$5:$B$428,0),"NA")</f>
        <v>NA</v>
      </c>
      <c r="E74" s="303" t="s">
        <v>228</v>
      </c>
      <c r="F74" s="303">
        <v>12</v>
      </c>
      <c r="G74" s="303">
        <v>14294</v>
      </c>
      <c r="H74" s="306">
        <v>44964</v>
      </c>
      <c r="I74" s="306">
        <v>45815</v>
      </c>
      <c r="J74" s="306">
        <v>46179</v>
      </c>
      <c r="K74" s="303" t="s">
        <v>113</v>
      </c>
      <c r="L74" s="306">
        <v>45815</v>
      </c>
      <c r="M74" s="306">
        <v>46179</v>
      </c>
      <c r="N74" s="303" t="s">
        <v>234</v>
      </c>
      <c r="O74" s="303" t="s">
        <v>234</v>
      </c>
      <c r="P74" s="148">
        <f t="shared" si="37"/>
        <v>0.2</v>
      </c>
      <c r="Q74" s="282">
        <v>1</v>
      </c>
      <c r="R74" s="282">
        <v>0</v>
      </c>
      <c r="S74" s="282" t="str">
        <f t="shared" si="52"/>
        <v>In-Orbit</v>
      </c>
      <c r="T74" s="282" t="s">
        <v>13</v>
      </c>
      <c r="U74" s="303" t="s">
        <v>469</v>
      </c>
      <c r="V74" s="303" t="s">
        <v>31</v>
      </c>
      <c r="W74" s="303" t="s">
        <v>78</v>
      </c>
      <c r="X74" s="303" t="s">
        <v>383</v>
      </c>
      <c r="Y74" s="303" t="s">
        <v>331</v>
      </c>
      <c r="Z74" s="303" t="s">
        <v>338</v>
      </c>
      <c r="AA74" s="308">
        <v>28126299.2221421</v>
      </c>
      <c r="AC74" s="289">
        <f t="shared" si="38"/>
        <v>0</v>
      </c>
      <c r="AD74" s="88" cm="1">
        <f t="array" ref="AD74">IF(AC74=0,0,INDEX(Summary!$S$4:$S$7,MATCH(AC74,Summary!$R$4:$R$7)+1))</f>
        <v>0</v>
      </c>
      <c r="AE74" s="88">
        <f>IFERROR(INDEX(Summary!$Y$4:$Y$6,MATCH('Input Data'!K74,Summary!$U$4:$U$6,0)),0)</f>
        <v>0.05</v>
      </c>
      <c r="AF74" s="88" t="b">
        <f t="shared" si="68"/>
        <v>1</v>
      </c>
      <c r="AG74" s="89">
        <f>IF(AF74,INDEX('IG Equity Share'!$B:$B,MATCH(YEAR(I74),'IG Equity Share'!$A:$A,0)),0)</f>
        <v>7.4999999999999997E-2</v>
      </c>
      <c r="AH74" s="383">
        <f>AJ74*AG74*_xlfn.XLOOKUP(I74,'S3123 Consortium Share'!$A$3:$A$5,'S3123 Consortium Share'!$F$3:$F$5,,-1)</f>
        <v>878946.85069194064</v>
      </c>
      <c r="AI74" s="14">
        <v>1</v>
      </c>
      <c r="AJ74" s="13">
        <f t="shared" si="69"/>
        <v>28126299.2221421</v>
      </c>
      <c r="AK74" s="13">
        <f t="shared" si="70"/>
        <v>28126299.2221421</v>
      </c>
      <c r="AL74" s="13" t="str">
        <f t="shared" si="71"/>
        <v>FIID</v>
      </c>
      <c r="AM74" s="52">
        <f t="shared" si="72"/>
        <v>2025</v>
      </c>
      <c r="AN74" s="4">
        <f>INDEX('[2]Input Data'!$AH:$AH,MATCH(A74,'[2]Input Data'!$A:$A,0),1)-AH74</f>
        <v>0</v>
      </c>
      <c r="AO74" s="13">
        <f t="shared" si="102"/>
        <v>0</v>
      </c>
      <c r="AP74" s="13">
        <f t="shared" si="102"/>
        <v>0</v>
      </c>
      <c r="AQ74" s="13">
        <f t="shared" si="102"/>
        <v>0</v>
      </c>
      <c r="AR74" s="13">
        <f t="shared" si="102"/>
        <v>0</v>
      </c>
      <c r="AS74" s="13">
        <f t="shared" si="102"/>
        <v>0</v>
      </c>
      <c r="AT74" s="13">
        <f t="shared" si="102"/>
        <v>0</v>
      </c>
      <c r="AU74" s="13">
        <f t="shared" si="102"/>
        <v>5625259.8444284201</v>
      </c>
      <c r="AV74" s="13">
        <f t="shared" si="98"/>
        <v>0</v>
      </c>
      <c r="AW74" s="13"/>
      <c r="AX74" s="13"/>
      <c r="AY74" s="13">
        <f t="shared" si="42"/>
        <v>5625259.8444284201</v>
      </c>
      <c r="AZ74" s="13">
        <f t="shared" si="58"/>
        <v>0</v>
      </c>
      <c r="BA74" s="74"/>
      <c r="BB74" s="25">
        <f t="shared" si="59"/>
        <v>22501039.37771368</v>
      </c>
      <c r="BC74" s="13">
        <f t="shared" si="60"/>
        <v>0</v>
      </c>
      <c r="BD74" s="13" t="b">
        <f>AND(AF74,NOT(ISNUMBER(MATCH(G74,Table1[Excluded Spacecraft ID],0))))</f>
        <v>0</v>
      </c>
      <c r="BE74" s="13">
        <f>BD74*AK74*_xlfn.XLOOKUP(I74,Table2[Date From],Table2[Cession],"Error",-1)*_xlfn.XLOOKUP(I74,'S3123 Consortium Share'!$A$3:$A$5,'S3123 Consortium Share'!$F$3:$F$5,,-1)</f>
        <v>0</v>
      </c>
      <c r="BF74" s="13">
        <f t="shared" si="61"/>
        <v>22501039.37771368</v>
      </c>
      <c r="BG74" s="89" cm="1">
        <f t="array" ref="BG74">IF(V74="FIBL",0,INDEX('IGR QS'!$A$1:$D$570,MATCH('Input Data'!V74&amp;'Input Data'!W74&amp;'Input Data'!AM74,'IGR QS'!A:A&amp;'IGR QS'!B:B&amp;'IGR QS'!C:C,0),4))</f>
        <v>0.85</v>
      </c>
      <c r="BH74" s="13">
        <f t="shared" si="62"/>
        <v>19125883.471056629</v>
      </c>
      <c r="BI74" s="13">
        <f t="shared" si="63"/>
        <v>3375155.9066570513</v>
      </c>
      <c r="BJ74" s="13">
        <f t="shared" si="73"/>
        <v>0</v>
      </c>
      <c r="BK74" s="13">
        <f t="shared" si="64"/>
        <v>19125883.471056629</v>
      </c>
      <c r="BL74" s="13">
        <f t="shared" si="65"/>
        <v>3375155.9066570513</v>
      </c>
      <c r="BM74" s="21"/>
      <c r="BN74" s="13">
        <f t="shared" si="74"/>
        <v>33962303.368542388</v>
      </c>
      <c r="BO74" s="13">
        <f t="shared" si="75"/>
        <v>20011429.248113245</v>
      </c>
      <c r="BP74" s="13">
        <f t="shared" si="76"/>
        <v>13950874.12042914</v>
      </c>
      <c r="BQ74" s="13">
        <f t="shared" si="77"/>
        <v>99066382.597211704</v>
      </c>
      <c r="BR74" s="13">
        <f t="shared" si="78"/>
        <v>33257171.491438523</v>
      </c>
      <c r="BT74" s="13">
        <f t="shared" si="79"/>
        <v>22501039.37771368</v>
      </c>
      <c r="BU74" s="13">
        <f t="shared" si="80"/>
        <v>3375155.9066570513</v>
      </c>
      <c r="BV74" s="13">
        <f t="shared" si="81"/>
        <v>19125883.471056629</v>
      </c>
      <c r="BW74" s="13">
        <f t="shared" si="82"/>
        <v>5625259.8444284201</v>
      </c>
      <c r="BX74" s="13"/>
      <c r="BY74" s="25">
        <f t="shared" si="83"/>
        <v>1406314.961107105</v>
      </c>
      <c r="BZ74" s="25">
        <f t="shared" si="84"/>
        <v>0</v>
      </c>
      <c r="CA74" s="25">
        <f t="shared" si="85"/>
        <v>1406314.961107105</v>
      </c>
      <c r="CB74" s="25">
        <f t="shared" si="86"/>
        <v>0</v>
      </c>
      <c r="CC74" s="25">
        <f t="shared" si="87"/>
        <v>1195367.7169410393</v>
      </c>
      <c r="CD74" s="384">
        <f t="shared" si="88"/>
        <v>0</v>
      </c>
      <c r="CR74" s="25">
        <f t="shared" si="89"/>
        <v>2812629.92221421</v>
      </c>
      <c r="CS74" s="25">
        <f t="shared" si="101"/>
        <v>0</v>
      </c>
      <c r="CT74" s="25">
        <f t="shared" si="101"/>
        <v>2812629.92221421</v>
      </c>
      <c r="CU74" s="25">
        <f t="shared" si="90"/>
        <v>0</v>
      </c>
      <c r="CV74" s="25">
        <f t="shared" si="91"/>
        <v>2390735.4338820786</v>
      </c>
      <c r="CW74" s="25">
        <f t="shared" si="92"/>
        <v>0</v>
      </c>
      <c r="CY74" s="25">
        <f t="shared" si="93"/>
        <v>1406314.961107105</v>
      </c>
      <c r="CZ74" s="25">
        <f t="shared" si="94"/>
        <v>0</v>
      </c>
      <c r="DA74" s="25">
        <f t="shared" si="99"/>
        <v>1406314.961107105</v>
      </c>
      <c r="DB74" s="25">
        <f t="shared" si="95"/>
        <v>0</v>
      </c>
      <c r="DC74" s="25">
        <f t="shared" si="96"/>
        <v>1195367.7169410393</v>
      </c>
      <c r="DD74" s="25">
        <f t="shared" si="97"/>
        <v>0</v>
      </c>
    </row>
    <row r="75" spans="1:108" x14ac:dyDescent="0.35">
      <c r="A75" s="282" t="str">
        <f t="shared" si="36"/>
        <v>343724_463281</v>
      </c>
      <c r="B75" s="303">
        <v>343724</v>
      </c>
      <c r="C75" s="303">
        <v>463281</v>
      </c>
      <c r="D75" s="319" t="str">
        <f>IFERROR(MATCH(C75,'[4]Custom Earning Pattern Not Popu'!$B$5:$B$428,0),"NA")</f>
        <v>NA</v>
      </c>
      <c r="E75" s="303" t="s">
        <v>228</v>
      </c>
      <c r="F75" s="303">
        <v>11</v>
      </c>
      <c r="G75" s="303">
        <v>11969</v>
      </c>
      <c r="H75" s="306">
        <v>43795</v>
      </c>
      <c r="I75" s="306">
        <v>45839</v>
      </c>
      <c r="J75" s="306">
        <v>46169</v>
      </c>
      <c r="K75" s="303" t="s">
        <v>113</v>
      </c>
      <c r="L75" s="306">
        <v>45839</v>
      </c>
      <c r="M75" s="306">
        <v>46169</v>
      </c>
      <c r="N75" s="303" t="s">
        <v>234</v>
      </c>
      <c r="O75" s="303" t="s">
        <v>234</v>
      </c>
      <c r="P75" s="148">
        <f t="shared" si="37"/>
        <v>0.2</v>
      </c>
      <c r="Q75" s="282">
        <v>1</v>
      </c>
      <c r="R75" s="282">
        <v>0</v>
      </c>
      <c r="S75" s="282" t="str">
        <f t="shared" si="52"/>
        <v>In-Orbit</v>
      </c>
      <c r="T75" s="282" t="s">
        <v>13</v>
      </c>
      <c r="U75" s="303" t="s">
        <v>551</v>
      </c>
      <c r="V75" s="303" t="s">
        <v>29</v>
      </c>
      <c r="W75" s="303" t="s">
        <v>78</v>
      </c>
      <c r="X75" s="303" t="s">
        <v>406</v>
      </c>
      <c r="Y75" s="303" t="s">
        <v>317</v>
      </c>
      <c r="Z75" s="303" t="s">
        <v>337</v>
      </c>
      <c r="AA75" s="308">
        <v>10816672.5592917</v>
      </c>
      <c r="AC75" s="289">
        <f t="shared" si="38"/>
        <v>0</v>
      </c>
      <c r="AD75" s="88" cm="1">
        <f t="array" ref="AD75">IF(AC75=0,0,INDEX(Summary!$S$4:$S$7,MATCH(AC75,Summary!$R$4:$R$7)+1))</f>
        <v>0</v>
      </c>
      <c r="AE75" s="88">
        <f>IFERROR(INDEX(Summary!$Y$4:$Y$6,MATCH('Input Data'!K75,Summary!$U$4:$U$6,0)),0)</f>
        <v>0.05</v>
      </c>
      <c r="AF75" s="88" t="b">
        <f t="shared" si="68"/>
        <v>1</v>
      </c>
      <c r="AG75" s="89">
        <f>IF(AF75,INDEX('IG Equity Share'!$B:$B,MATCH(YEAR(I75),'IG Equity Share'!$A:$A,0)),0)</f>
        <v>7.4999999999999997E-2</v>
      </c>
      <c r="AH75" s="383">
        <f>AJ75*AG75*_xlfn.XLOOKUP(I75,'S3123 Consortium Share'!$A$3:$A$5,'S3123 Consortium Share'!$F$3:$F$5,,-1)</f>
        <v>338021.01747786562</v>
      </c>
      <c r="AI75" s="14">
        <v>1</v>
      </c>
      <c r="AJ75" s="13">
        <f t="shared" si="69"/>
        <v>10816672.5592917</v>
      </c>
      <c r="AK75" s="13">
        <f t="shared" si="70"/>
        <v>10816672.5592917</v>
      </c>
      <c r="AL75" s="13" t="str">
        <f t="shared" si="71"/>
        <v>FUL</v>
      </c>
      <c r="AM75" s="52">
        <f t="shared" si="72"/>
        <v>2025</v>
      </c>
      <c r="AN75" s="4"/>
      <c r="AO75" s="13">
        <f t="shared" si="102"/>
        <v>0</v>
      </c>
      <c r="AP75" s="13">
        <f t="shared" si="102"/>
        <v>0</v>
      </c>
      <c r="AQ75" s="13">
        <f t="shared" si="102"/>
        <v>0</v>
      </c>
      <c r="AR75" s="13">
        <f t="shared" si="102"/>
        <v>0</v>
      </c>
      <c r="AS75" s="13">
        <f t="shared" si="102"/>
        <v>0</v>
      </c>
      <c r="AT75" s="13">
        <f t="shared" si="102"/>
        <v>0</v>
      </c>
      <c r="AU75" s="13">
        <f t="shared" si="102"/>
        <v>2163334.5118583399</v>
      </c>
      <c r="AV75" s="13">
        <f t="shared" si="98"/>
        <v>0</v>
      </c>
      <c r="AW75" s="13"/>
      <c r="AX75" s="13"/>
      <c r="AY75" s="13">
        <f t="shared" si="42"/>
        <v>2163334.5118583399</v>
      </c>
      <c r="AZ75" s="13">
        <f t="shared" si="58"/>
        <v>0</v>
      </c>
      <c r="BA75" s="74"/>
      <c r="BB75" s="25">
        <f t="shared" si="59"/>
        <v>8653338.0474333595</v>
      </c>
      <c r="BC75" s="13">
        <f t="shared" si="60"/>
        <v>0</v>
      </c>
      <c r="BD75" s="13" t="b">
        <f>AND(AF75,NOT(ISNUMBER(MATCH(G75,Table1[Excluded Spacecraft ID],0))))</f>
        <v>1</v>
      </c>
      <c r="BE75" s="13">
        <f>BD75*AK75*_xlfn.XLOOKUP(I75,Table2[Date From],Table2[Cession],"Error",-1)*_xlfn.XLOOKUP(I75,'S3123 Consortium Share'!$A$3:$A$5,'S3123 Consortium Share'!$F$3:$F$5,,-1)</f>
        <v>901389.37994097499</v>
      </c>
      <c r="BF75" s="13">
        <f t="shared" si="61"/>
        <v>8653338.0474333595</v>
      </c>
      <c r="BG75" s="89" cm="1">
        <f t="array" ref="BG75">IF(V75="FIBL",0,INDEX('IGR QS'!$A$1:$D$570,MATCH('Input Data'!V75&amp;'Input Data'!W75&amp;'Input Data'!AM75,'IGR QS'!A:A&amp;'IGR QS'!B:B&amp;'IGR QS'!C:C,0),4))</f>
        <v>0.5</v>
      </c>
      <c r="BH75" s="13">
        <f t="shared" si="62"/>
        <v>4326669.0237166798</v>
      </c>
      <c r="BI75" s="13">
        <f t="shared" si="63"/>
        <v>4326669.0237166798</v>
      </c>
      <c r="BJ75" s="13">
        <f t="shared" si="73"/>
        <v>0</v>
      </c>
      <c r="BK75" s="13">
        <f t="shared" si="64"/>
        <v>4326669.0237166798</v>
      </c>
      <c r="BL75" s="13">
        <f t="shared" si="65"/>
        <v>4326669.0237166798</v>
      </c>
      <c r="BM75" s="21"/>
      <c r="BN75" s="13">
        <f t="shared" si="74"/>
        <v>33962303.368542388</v>
      </c>
      <c r="BO75" s="13">
        <f t="shared" si="75"/>
        <v>20011429.248113245</v>
      </c>
      <c r="BP75" s="13">
        <f t="shared" si="76"/>
        <v>13950874.12042914</v>
      </c>
      <c r="BQ75" s="13">
        <f t="shared" si="77"/>
        <v>99066382.597211704</v>
      </c>
      <c r="BR75" s="13">
        <f t="shared" si="78"/>
        <v>33257171.491438523</v>
      </c>
      <c r="BT75" s="13">
        <f t="shared" si="79"/>
        <v>8653338.0474333595</v>
      </c>
      <c r="BU75" s="13">
        <f t="shared" si="80"/>
        <v>4326669.0237166798</v>
      </c>
      <c r="BV75" s="13">
        <f t="shared" si="81"/>
        <v>4326669.0237166798</v>
      </c>
      <c r="BW75" s="13">
        <f t="shared" si="82"/>
        <v>2163334.5118583399</v>
      </c>
      <c r="BX75" s="13"/>
      <c r="BY75" s="25">
        <f t="shared" si="83"/>
        <v>540833.62796458497</v>
      </c>
      <c r="BZ75" s="25">
        <f t="shared" si="84"/>
        <v>540833.62796458497</v>
      </c>
      <c r="CA75" s="25">
        <f t="shared" si="85"/>
        <v>0</v>
      </c>
      <c r="CB75" s="25">
        <f t="shared" si="86"/>
        <v>0</v>
      </c>
      <c r="CC75" s="25">
        <f t="shared" si="87"/>
        <v>270416.81398229249</v>
      </c>
      <c r="CD75" s="384">
        <f t="shared" si="88"/>
        <v>0</v>
      </c>
      <c r="CR75" s="25">
        <f t="shared" si="89"/>
        <v>1081667.2559291699</v>
      </c>
      <c r="CS75" s="25">
        <f t="shared" si="101"/>
        <v>1081667.2559291699</v>
      </c>
      <c r="CT75" s="25">
        <f t="shared" si="101"/>
        <v>0</v>
      </c>
      <c r="CU75" s="25">
        <f t="shared" si="90"/>
        <v>0</v>
      </c>
      <c r="CV75" s="25">
        <f t="shared" si="91"/>
        <v>540833.62796458497</v>
      </c>
      <c r="CW75" s="25">
        <f t="shared" si="92"/>
        <v>0</v>
      </c>
      <c r="CY75" s="25">
        <f t="shared" si="93"/>
        <v>540833.62796458497</v>
      </c>
      <c r="CZ75" s="25">
        <f t="shared" si="94"/>
        <v>540833.62796458497</v>
      </c>
      <c r="DA75" s="25">
        <f t="shared" si="99"/>
        <v>0</v>
      </c>
      <c r="DB75" s="25">
        <f t="shared" si="95"/>
        <v>0</v>
      </c>
      <c r="DC75" s="25">
        <f t="shared" si="96"/>
        <v>270416.81398229249</v>
      </c>
      <c r="DD75" s="25">
        <f t="shared" si="97"/>
        <v>0</v>
      </c>
    </row>
    <row r="76" spans="1:108" x14ac:dyDescent="0.35">
      <c r="A76" s="282" t="str">
        <f t="shared" si="36"/>
        <v>343724_463282</v>
      </c>
      <c r="B76" s="303">
        <v>343724</v>
      </c>
      <c r="C76" s="303">
        <v>463282</v>
      </c>
      <c r="D76" s="319" t="str">
        <f>IFERROR(MATCH(C76,'[4]Custom Earning Pattern Not Popu'!$B$5:$B$428,0),"NA")</f>
        <v>NA</v>
      </c>
      <c r="E76" s="303" t="s">
        <v>228</v>
      </c>
      <c r="F76" s="303">
        <v>12</v>
      </c>
      <c r="G76" s="303">
        <v>7353</v>
      </c>
      <c r="H76" s="306">
        <v>42914</v>
      </c>
      <c r="I76" s="306">
        <v>45839</v>
      </c>
      <c r="J76" s="306">
        <v>46203</v>
      </c>
      <c r="K76" s="303" t="s">
        <v>113</v>
      </c>
      <c r="L76" s="306">
        <v>45839</v>
      </c>
      <c r="M76" s="306">
        <v>46203</v>
      </c>
      <c r="N76" s="303" t="s">
        <v>234</v>
      </c>
      <c r="O76" s="303" t="s">
        <v>234</v>
      </c>
      <c r="P76" s="148">
        <f t="shared" si="37"/>
        <v>0.2</v>
      </c>
      <c r="Q76" s="282">
        <v>1</v>
      </c>
      <c r="R76" s="282">
        <v>0</v>
      </c>
      <c r="S76" s="282" t="str">
        <f t="shared" si="52"/>
        <v>In-Orbit</v>
      </c>
      <c r="T76" s="282" t="s">
        <v>13</v>
      </c>
      <c r="U76" s="303" t="s">
        <v>551</v>
      </c>
      <c r="V76" s="303" t="s">
        <v>29</v>
      </c>
      <c r="W76" s="303" t="s">
        <v>78</v>
      </c>
      <c r="X76" s="303" t="s">
        <v>407</v>
      </c>
      <c r="Y76" s="303" t="s">
        <v>317</v>
      </c>
      <c r="Z76" s="303" t="s">
        <v>337</v>
      </c>
      <c r="AA76" s="308">
        <v>7621566.7914210996</v>
      </c>
      <c r="AC76" s="289">
        <f t="shared" si="38"/>
        <v>0</v>
      </c>
      <c r="AD76" s="88" cm="1">
        <f t="array" ref="AD76">IF(AC76=0,0,INDEX(Summary!$S$4:$S$7,MATCH(AC76,Summary!$R$4:$R$7)+1))</f>
        <v>0</v>
      </c>
      <c r="AE76" s="88">
        <f>IFERROR(INDEX(Summary!$Y$4:$Y$6,MATCH('Input Data'!K76,Summary!$U$4:$U$6,0)),0)</f>
        <v>0.05</v>
      </c>
      <c r="AF76" s="88" t="b">
        <f t="shared" si="68"/>
        <v>1</v>
      </c>
      <c r="AG76" s="89">
        <f>IF(AF76,INDEX('IG Equity Share'!$B:$B,MATCH(YEAR(I76),'IG Equity Share'!$A:$A,0)),0)</f>
        <v>7.4999999999999997E-2</v>
      </c>
      <c r="AH76" s="383">
        <f>AJ76*AG76*_xlfn.XLOOKUP(I76,'S3123 Consortium Share'!$A$3:$A$5,'S3123 Consortium Share'!$F$3:$F$5,,-1)</f>
        <v>238173.96223190936</v>
      </c>
      <c r="AI76" s="14">
        <v>1</v>
      </c>
      <c r="AJ76" s="13">
        <f t="shared" si="69"/>
        <v>7621566.7914210996</v>
      </c>
      <c r="AK76" s="13">
        <f t="shared" si="70"/>
        <v>7621566.7914210996</v>
      </c>
      <c r="AL76" s="13" t="str">
        <f t="shared" si="71"/>
        <v>FUL</v>
      </c>
      <c r="AM76" s="52">
        <f t="shared" si="72"/>
        <v>2025</v>
      </c>
      <c r="AN76" s="4">
        <f>INDEX('[2]Input Data'!$AH:$AH,MATCH(A76,'[2]Input Data'!$A:$A,0),1)-AH76</f>
        <v>0</v>
      </c>
      <c r="AO76" s="13">
        <f t="shared" si="102"/>
        <v>0</v>
      </c>
      <c r="AP76" s="13">
        <f t="shared" si="102"/>
        <v>0</v>
      </c>
      <c r="AQ76" s="13">
        <f t="shared" si="102"/>
        <v>0</v>
      </c>
      <c r="AR76" s="13">
        <f t="shared" si="102"/>
        <v>0</v>
      </c>
      <c r="AS76" s="13">
        <f t="shared" si="102"/>
        <v>0</v>
      </c>
      <c r="AT76" s="13">
        <f t="shared" si="102"/>
        <v>0</v>
      </c>
      <c r="AU76" s="13">
        <f t="shared" si="102"/>
        <v>1524313.3582842201</v>
      </c>
      <c r="AV76" s="13">
        <f t="shared" si="98"/>
        <v>0</v>
      </c>
      <c r="AW76" s="13"/>
      <c r="AX76" s="13"/>
      <c r="AY76" s="13">
        <f t="shared" si="42"/>
        <v>1524313.3582842201</v>
      </c>
      <c r="AZ76" s="13">
        <f t="shared" si="58"/>
        <v>0</v>
      </c>
      <c r="BA76" s="74"/>
      <c r="BB76" s="25">
        <f t="shared" si="59"/>
        <v>6097253.4331368795</v>
      </c>
      <c r="BC76" s="13">
        <f t="shared" si="60"/>
        <v>0</v>
      </c>
      <c r="BD76" s="13" t="b">
        <f>AND(AF76,NOT(ISNUMBER(MATCH(G76,Table1[Excluded Spacecraft ID],0))))</f>
        <v>1</v>
      </c>
      <c r="BE76" s="13">
        <f>BD76*AK76*_xlfn.XLOOKUP(I76,Table2[Date From],Table2[Cession],"Error",-1)*_xlfn.XLOOKUP(I76,'S3123 Consortium Share'!$A$3:$A$5,'S3123 Consortium Share'!$F$3:$F$5,,-1)</f>
        <v>635130.56595175841</v>
      </c>
      <c r="BF76" s="13">
        <f t="shared" si="61"/>
        <v>6097253.4331368795</v>
      </c>
      <c r="BG76" s="89" cm="1">
        <f t="array" ref="BG76">IF(V76="FIBL",0,INDEX('IGR QS'!$A$1:$D$570,MATCH('Input Data'!V76&amp;'Input Data'!W76&amp;'Input Data'!AM76,'IGR QS'!A:A&amp;'IGR QS'!B:B&amp;'IGR QS'!C:C,0),4))</f>
        <v>0.5</v>
      </c>
      <c r="BH76" s="13">
        <f t="shared" si="62"/>
        <v>3048626.7165684397</v>
      </c>
      <c r="BI76" s="13">
        <f t="shared" si="63"/>
        <v>3048626.7165684397</v>
      </c>
      <c r="BJ76" s="13">
        <f t="shared" si="73"/>
        <v>0</v>
      </c>
      <c r="BK76" s="13">
        <f t="shared" si="64"/>
        <v>3048626.7165684397</v>
      </c>
      <c r="BL76" s="13">
        <f t="shared" si="65"/>
        <v>3048626.7165684397</v>
      </c>
      <c r="BM76" s="21"/>
      <c r="BN76" s="13">
        <f t="shared" si="74"/>
        <v>33962303.368542388</v>
      </c>
      <c r="BO76" s="13">
        <f t="shared" si="75"/>
        <v>20011429.248113245</v>
      </c>
      <c r="BP76" s="13">
        <f t="shared" si="76"/>
        <v>13950874.12042914</v>
      </c>
      <c r="BQ76" s="13">
        <f t="shared" si="77"/>
        <v>99066382.597211704</v>
      </c>
      <c r="BR76" s="13">
        <f t="shared" si="78"/>
        <v>33257171.491438523</v>
      </c>
      <c r="BT76" s="13">
        <f t="shared" si="79"/>
        <v>6097253.4331368795</v>
      </c>
      <c r="BU76" s="13">
        <f t="shared" si="80"/>
        <v>3048626.7165684397</v>
      </c>
      <c r="BV76" s="13">
        <f t="shared" si="81"/>
        <v>3048626.7165684397</v>
      </c>
      <c r="BW76" s="13">
        <f t="shared" si="82"/>
        <v>1524313.3582842201</v>
      </c>
      <c r="BX76" s="13"/>
      <c r="BY76" s="25">
        <f t="shared" si="83"/>
        <v>381078.33957105502</v>
      </c>
      <c r="BZ76" s="25">
        <f t="shared" si="84"/>
        <v>381078.33957105502</v>
      </c>
      <c r="CA76" s="25">
        <f t="shared" si="85"/>
        <v>0</v>
      </c>
      <c r="CB76" s="25">
        <f t="shared" si="86"/>
        <v>0</v>
      </c>
      <c r="CC76" s="25">
        <f t="shared" si="87"/>
        <v>190539.16978552751</v>
      </c>
      <c r="CD76" s="384">
        <f t="shared" si="88"/>
        <v>0</v>
      </c>
      <c r="CR76" s="25">
        <f t="shared" si="89"/>
        <v>762156.67914211005</v>
      </c>
      <c r="CS76" s="25">
        <f t="shared" si="101"/>
        <v>762156.67914211005</v>
      </c>
      <c r="CT76" s="25">
        <f t="shared" si="101"/>
        <v>0</v>
      </c>
      <c r="CU76" s="25">
        <f t="shared" si="90"/>
        <v>0</v>
      </c>
      <c r="CV76" s="25">
        <f t="shared" si="91"/>
        <v>381078.33957105502</v>
      </c>
      <c r="CW76" s="25">
        <f t="shared" si="92"/>
        <v>0</v>
      </c>
      <c r="CY76" s="25">
        <f t="shared" si="93"/>
        <v>381078.33957105502</v>
      </c>
      <c r="CZ76" s="25">
        <f t="shared" si="94"/>
        <v>381078.33957105502</v>
      </c>
      <c r="DA76" s="25">
        <f t="shared" si="99"/>
        <v>0</v>
      </c>
      <c r="DB76" s="25">
        <f t="shared" si="95"/>
        <v>0</v>
      </c>
      <c r="DC76" s="25">
        <f t="shared" si="96"/>
        <v>190539.16978552751</v>
      </c>
      <c r="DD76" s="25">
        <f t="shared" si="97"/>
        <v>0</v>
      </c>
    </row>
    <row r="77" spans="1:108" x14ac:dyDescent="0.35">
      <c r="A77" s="282" t="str">
        <f t="shared" si="36"/>
        <v>343724_463283</v>
      </c>
      <c r="B77" s="303">
        <v>343724</v>
      </c>
      <c r="C77" s="303">
        <v>463283</v>
      </c>
      <c r="D77" s="319" t="str">
        <f>IFERROR(MATCH(C77,'[4]Custom Earning Pattern Not Popu'!$B$5:$B$428,0),"NA")</f>
        <v>NA</v>
      </c>
      <c r="E77" s="303" t="s">
        <v>228</v>
      </c>
      <c r="F77" s="303">
        <v>12</v>
      </c>
      <c r="G77" s="303">
        <v>7519</v>
      </c>
      <c r="H77" s="306">
        <v>41480</v>
      </c>
      <c r="I77" s="306">
        <v>45839</v>
      </c>
      <c r="J77" s="306">
        <v>46203</v>
      </c>
      <c r="K77" s="303" t="s">
        <v>113</v>
      </c>
      <c r="L77" s="306">
        <v>45839</v>
      </c>
      <c r="M77" s="306">
        <v>46203</v>
      </c>
      <c r="N77" s="303" t="s">
        <v>520</v>
      </c>
      <c r="O77" s="303" t="s">
        <v>246</v>
      </c>
      <c r="P77" s="148">
        <f t="shared" si="37"/>
        <v>0.2</v>
      </c>
      <c r="Q77" s="282">
        <v>1</v>
      </c>
      <c r="R77" s="282">
        <v>0</v>
      </c>
      <c r="S77" s="282" t="str">
        <f t="shared" si="52"/>
        <v>In-Orbit</v>
      </c>
      <c r="T77" s="282" t="s">
        <v>13</v>
      </c>
      <c r="U77" s="303" t="s">
        <v>551</v>
      </c>
      <c r="V77" s="303" t="s">
        <v>29</v>
      </c>
      <c r="W77" s="303" t="s">
        <v>78</v>
      </c>
      <c r="X77" s="303" t="s">
        <v>408</v>
      </c>
      <c r="Y77" s="303" t="s">
        <v>336</v>
      </c>
      <c r="Z77" s="303" t="s">
        <v>337</v>
      </c>
      <c r="AA77" s="308">
        <v>6529238.3396333996</v>
      </c>
      <c r="AC77" s="289">
        <f t="shared" si="38"/>
        <v>0</v>
      </c>
      <c r="AD77" s="88" cm="1">
        <f t="array" ref="AD77">IF(AC77=0,0,INDEX(Summary!$S$4:$S$7,MATCH(AC77,Summary!$R$4:$R$7)+1))</f>
        <v>0</v>
      </c>
      <c r="AE77" s="88">
        <f>IFERROR(INDEX(Summary!$Y$4:$Y$6,MATCH('Input Data'!K77,Summary!$U$4:$U$6,0)),0)</f>
        <v>0.05</v>
      </c>
      <c r="AF77" s="88" t="b">
        <f t="shared" si="68"/>
        <v>1</v>
      </c>
      <c r="AG77" s="89">
        <f>IF(AF77,INDEX('IG Equity Share'!$B:$B,MATCH(YEAR(I77),'IG Equity Share'!$A:$A,0)),0)</f>
        <v>7.4999999999999997E-2</v>
      </c>
      <c r="AH77" s="383">
        <f>AJ77*AG77*_xlfn.XLOOKUP(I77,'S3123 Consortium Share'!$A$3:$A$5,'S3123 Consortium Share'!$F$3:$F$5,,-1)</f>
        <v>204038.69811354374</v>
      </c>
      <c r="AI77" s="14">
        <v>1</v>
      </c>
      <c r="AJ77" s="13">
        <f t="shared" si="69"/>
        <v>6529238.3396333996</v>
      </c>
      <c r="AK77" s="13">
        <f t="shared" si="70"/>
        <v>6529238.3396333996</v>
      </c>
      <c r="AL77" s="13" t="str">
        <f t="shared" si="71"/>
        <v>FUL</v>
      </c>
      <c r="AM77" s="52">
        <f t="shared" si="72"/>
        <v>2025</v>
      </c>
      <c r="AN77" s="4"/>
      <c r="AO77" s="13">
        <f t="shared" si="102"/>
        <v>0</v>
      </c>
      <c r="AP77" s="13">
        <f t="shared" si="102"/>
        <v>0</v>
      </c>
      <c r="AQ77" s="13">
        <f t="shared" si="102"/>
        <v>0</v>
      </c>
      <c r="AR77" s="13">
        <f t="shared" si="102"/>
        <v>0</v>
      </c>
      <c r="AS77" s="13">
        <f t="shared" si="102"/>
        <v>0</v>
      </c>
      <c r="AT77" s="13">
        <f t="shared" si="102"/>
        <v>0</v>
      </c>
      <c r="AU77" s="13">
        <f t="shared" si="102"/>
        <v>1305847.6679266801</v>
      </c>
      <c r="AV77" s="13">
        <f t="shared" si="98"/>
        <v>0</v>
      </c>
      <c r="AW77" s="13"/>
      <c r="AX77" s="13"/>
      <c r="AY77" s="13">
        <f t="shared" si="42"/>
        <v>1305847.6679266801</v>
      </c>
      <c r="AZ77" s="13">
        <f t="shared" si="58"/>
        <v>0</v>
      </c>
      <c r="BA77" s="74"/>
      <c r="BB77" s="25">
        <f t="shared" si="59"/>
        <v>5223390.6717067193</v>
      </c>
      <c r="BC77" s="13">
        <f t="shared" si="60"/>
        <v>0</v>
      </c>
      <c r="BD77" s="13" t="b">
        <f>AND(AF77,NOT(ISNUMBER(MATCH(G77,Table1[Excluded Spacecraft ID],0))))</f>
        <v>1</v>
      </c>
      <c r="BE77" s="13">
        <f>BD77*AK77*_xlfn.XLOOKUP(I77,Table2[Date From],Table2[Cession],"Error",-1)*_xlfn.XLOOKUP(I77,'S3123 Consortium Share'!$A$3:$A$5,'S3123 Consortium Share'!$F$3:$F$5,,-1)</f>
        <v>544103.19496945001</v>
      </c>
      <c r="BF77" s="13">
        <f>+BB77-BC77</f>
        <v>5223390.6717067193</v>
      </c>
      <c r="BG77" s="89" cm="1">
        <f t="array" ref="BG77">IF(V77="FIBL",0,INDEX('IGR QS'!$A$1:$D$570,MATCH('Input Data'!V77&amp;'Input Data'!W77&amp;'Input Data'!AM77,'IGR QS'!A:A&amp;'IGR QS'!B:B&amp;'IGR QS'!C:C,0),4))</f>
        <v>0.5</v>
      </c>
      <c r="BH77" s="13">
        <f t="shared" si="62"/>
        <v>2611695.3358533597</v>
      </c>
      <c r="BI77" s="13">
        <f t="shared" si="63"/>
        <v>2611695.3358533597</v>
      </c>
      <c r="BJ77" s="13">
        <f t="shared" si="73"/>
        <v>0</v>
      </c>
      <c r="BK77" s="13">
        <f t="shared" si="64"/>
        <v>2611695.3358533597</v>
      </c>
      <c r="BL77" s="13">
        <f t="shared" si="65"/>
        <v>2611695.3358533597</v>
      </c>
      <c r="BM77" s="21"/>
      <c r="BN77" s="13">
        <f t="shared" si="74"/>
        <v>2611695.3358533597</v>
      </c>
      <c r="BO77" s="13">
        <f t="shared" si="75"/>
        <v>2611695.3358533597</v>
      </c>
      <c r="BP77" s="13">
        <f t="shared" si="76"/>
        <v>0</v>
      </c>
      <c r="BQ77" s="13">
        <f t="shared" si="77"/>
        <v>2611695.3358533597</v>
      </c>
      <c r="BR77" s="13">
        <f t="shared" si="78"/>
        <v>1305847.6679266801</v>
      </c>
      <c r="BT77" s="13">
        <f t="shared" si="79"/>
        <v>5223390.6717067193</v>
      </c>
      <c r="BU77" s="13">
        <f t="shared" si="80"/>
        <v>2611695.3358533597</v>
      </c>
      <c r="BV77" s="13">
        <f t="shared" si="81"/>
        <v>2611695.3358533597</v>
      </c>
      <c r="BW77" s="13">
        <f t="shared" si="82"/>
        <v>1305847.6679266801</v>
      </c>
      <c r="BX77" s="13"/>
      <c r="BY77" s="25">
        <f t="shared" si="83"/>
        <v>326461.91698167002</v>
      </c>
      <c r="BZ77" s="25">
        <f t="shared" si="84"/>
        <v>326461.91698167002</v>
      </c>
      <c r="CA77" s="25">
        <f t="shared" si="85"/>
        <v>0</v>
      </c>
      <c r="CB77" s="25">
        <f t="shared" si="86"/>
        <v>0</v>
      </c>
      <c r="CC77" s="25">
        <f t="shared" si="87"/>
        <v>163230.95849083501</v>
      </c>
      <c r="CD77" s="384">
        <f t="shared" si="88"/>
        <v>0</v>
      </c>
      <c r="CR77" s="25">
        <f t="shared" si="89"/>
        <v>652923.83396334003</v>
      </c>
      <c r="CS77" s="25">
        <f t="shared" si="101"/>
        <v>652923.83396334003</v>
      </c>
      <c r="CT77" s="25">
        <f t="shared" si="101"/>
        <v>0</v>
      </c>
      <c r="CU77" s="25">
        <f t="shared" si="90"/>
        <v>0</v>
      </c>
      <c r="CV77" s="25">
        <f t="shared" si="91"/>
        <v>326461.91698167002</v>
      </c>
      <c r="CW77" s="25">
        <f t="shared" si="92"/>
        <v>0</v>
      </c>
      <c r="CY77" s="25">
        <f t="shared" si="93"/>
        <v>326461.91698167002</v>
      </c>
      <c r="CZ77" s="25">
        <f t="shared" si="94"/>
        <v>326461.91698167002</v>
      </c>
      <c r="DA77" s="25">
        <f t="shared" si="99"/>
        <v>0</v>
      </c>
      <c r="DB77" s="25">
        <f t="shared" si="95"/>
        <v>0</v>
      </c>
      <c r="DC77" s="25">
        <f t="shared" si="96"/>
        <v>163230.95849083501</v>
      </c>
      <c r="DD77" s="25">
        <f t="shared" si="97"/>
        <v>0</v>
      </c>
    </row>
    <row r="78" spans="1:108" x14ac:dyDescent="0.35">
      <c r="A78" s="282" t="str">
        <f t="shared" si="36"/>
        <v>343724_463284</v>
      </c>
      <c r="B78" s="303">
        <v>343724</v>
      </c>
      <c r="C78" s="303">
        <v>463284</v>
      </c>
      <c r="D78" s="319" t="str">
        <f>IFERROR(MATCH(C78,'[4]Custom Earning Pattern Not Popu'!$B$5:$B$428,0),"NA")</f>
        <v>NA</v>
      </c>
      <c r="E78" s="303" t="s">
        <v>228</v>
      </c>
      <c r="F78" s="303">
        <v>12</v>
      </c>
      <c r="G78" s="303">
        <v>9739</v>
      </c>
      <c r="H78" s="306">
        <v>42870</v>
      </c>
      <c r="I78" s="306">
        <v>45839</v>
      </c>
      <c r="J78" s="306">
        <v>46203</v>
      </c>
      <c r="K78" s="303" t="s">
        <v>113</v>
      </c>
      <c r="L78" s="306">
        <v>45839</v>
      </c>
      <c r="M78" s="306">
        <v>46203</v>
      </c>
      <c r="N78" s="303" t="s">
        <v>233</v>
      </c>
      <c r="O78" s="303" t="s">
        <v>233</v>
      </c>
      <c r="P78" s="148">
        <f t="shared" si="37"/>
        <v>0.2</v>
      </c>
      <c r="Q78" s="282">
        <v>1</v>
      </c>
      <c r="R78" s="282">
        <v>0</v>
      </c>
      <c r="S78" s="282" t="str">
        <f t="shared" si="52"/>
        <v>In-Orbit</v>
      </c>
      <c r="T78" s="282" t="s">
        <v>13</v>
      </c>
      <c r="U78" s="303" t="s">
        <v>551</v>
      </c>
      <c r="V78" s="303" t="s">
        <v>29</v>
      </c>
      <c r="W78" s="303" t="s">
        <v>78</v>
      </c>
      <c r="X78" s="303" t="s">
        <v>409</v>
      </c>
      <c r="Y78" s="303" t="s">
        <v>326</v>
      </c>
      <c r="Z78" s="303" t="s">
        <v>338</v>
      </c>
      <c r="AA78" s="308">
        <v>13126283.4832775</v>
      </c>
      <c r="AC78" s="289">
        <f t="shared" si="38"/>
        <v>0</v>
      </c>
      <c r="AD78" s="88" cm="1">
        <f t="array" ref="AD78">IF(AC78=0,0,INDEX(Summary!$S$4:$S$7,MATCH(AC78,Summary!$R$4:$R$7)+1))</f>
        <v>0</v>
      </c>
      <c r="AE78" s="88">
        <f>IFERROR(INDEX(Summary!$Y$4:$Y$6,MATCH('Input Data'!K78,Summary!$U$4:$U$6,0)),0)</f>
        <v>0.05</v>
      </c>
      <c r="AF78" s="88" t="b">
        <f t="shared" si="68"/>
        <v>1</v>
      </c>
      <c r="AG78" s="89">
        <f>IF(AF78,INDEX('IG Equity Share'!$B:$B,MATCH(YEAR(I78),'IG Equity Share'!$A:$A,0)),0)</f>
        <v>7.4999999999999997E-2</v>
      </c>
      <c r="AH78" s="383">
        <f>AJ78*AG78*_xlfn.XLOOKUP(I78,'S3123 Consortium Share'!$A$3:$A$5,'S3123 Consortium Share'!$F$3:$F$5,,-1)</f>
        <v>410196.35885242186</v>
      </c>
      <c r="AI78" s="14">
        <v>1</v>
      </c>
      <c r="AJ78" s="13">
        <f t="shared" si="69"/>
        <v>13126283.4832775</v>
      </c>
      <c r="AK78" s="13">
        <f t="shared" si="70"/>
        <v>13126283.4832775</v>
      </c>
      <c r="AL78" s="13" t="str">
        <f t="shared" si="71"/>
        <v>FUL</v>
      </c>
      <c r="AM78" s="52">
        <f t="shared" si="72"/>
        <v>2025</v>
      </c>
      <c r="AN78" s="4">
        <f>INDEX('[2]Input Data'!$AH:$AH,MATCH(A78,'[2]Input Data'!$A:$A,0),1)-AH78</f>
        <v>0</v>
      </c>
      <c r="AO78" s="13">
        <f t="shared" si="102"/>
        <v>0</v>
      </c>
      <c r="AP78" s="13">
        <f t="shared" si="102"/>
        <v>0</v>
      </c>
      <c r="AQ78" s="13">
        <f t="shared" si="102"/>
        <v>0</v>
      </c>
      <c r="AR78" s="13">
        <f t="shared" si="102"/>
        <v>0</v>
      </c>
      <c r="AS78" s="13">
        <f t="shared" si="102"/>
        <v>0</v>
      </c>
      <c r="AT78" s="13">
        <f t="shared" si="102"/>
        <v>0</v>
      </c>
      <c r="AU78" s="13">
        <f t="shared" si="102"/>
        <v>2625256.6966555002</v>
      </c>
      <c r="AV78" s="13">
        <f t="shared" si="98"/>
        <v>0</v>
      </c>
      <c r="AW78" s="13"/>
      <c r="AX78" s="13"/>
      <c r="AY78" s="13">
        <f t="shared" si="42"/>
        <v>2625256.6966555002</v>
      </c>
      <c r="AZ78" s="13">
        <f t="shared" si="58"/>
        <v>0</v>
      </c>
      <c r="BA78" s="74"/>
      <c r="BB78" s="25">
        <f t="shared" si="59"/>
        <v>10501026.786621999</v>
      </c>
      <c r="BC78" s="13">
        <f t="shared" si="60"/>
        <v>0</v>
      </c>
      <c r="BD78" s="13" t="b">
        <f>AND(AF78,NOT(ISNUMBER(MATCH(G78,Table1[Excluded Spacecraft ID],0))))</f>
        <v>1</v>
      </c>
      <c r="BE78" s="13">
        <f>BD78*AK78*_xlfn.XLOOKUP(I78,Table2[Date From],Table2[Cession],"Error",-1)*_xlfn.XLOOKUP(I78,'S3123 Consortium Share'!$A$3:$A$5,'S3123 Consortium Share'!$F$3:$F$5,,-1)</f>
        <v>1093856.9569397918</v>
      </c>
      <c r="BF78" s="13">
        <f t="shared" si="61"/>
        <v>10501026.786621999</v>
      </c>
      <c r="BG78" s="89" cm="1">
        <f t="array" ref="BG78">IF(V78="FIBL",0,INDEX('IGR QS'!$A$1:$D$570,MATCH('Input Data'!V78&amp;'Input Data'!W78&amp;'Input Data'!AM78,'IGR QS'!A:A&amp;'IGR QS'!B:B&amp;'IGR QS'!C:C,0),4))</f>
        <v>0.5</v>
      </c>
      <c r="BH78" s="13">
        <f t="shared" si="62"/>
        <v>5250513.3933109995</v>
      </c>
      <c r="BI78" s="13">
        <f t="shared" si="63"/>
        <v>5250513.3933109995</v>
      </c>
      <c r="BJ78" s="13">
        <f t="shared" si="73"/>
        <v>0</v>
      </c>
      <c r="BK78" s="13">
        <f t="shared" si="64"/>
        <v>5250513.3933109995</v>
      </c>
      <c r="BL78" s="13">
        <f t="shared" si="65"/>
        <v>5250513.3933109995</v>
      </c>
      <c r="BM78" s="21"/>
      <c r="BN78" s="13">
        <f t="shared" si="74"/>
        <v>45548263.152736805</v>
      </c>
      <c r="BO78" s="13">
        <f t="shared" si="75"/>
        <v>44546986.968158349</v>
      </c>
      <c r="BP78" s="13">
        <f t="shared" si="76"/>
        <v>1001276.1845784616</v>
      </c>
      <c r="BQ78" s="13">
        <f t="shared" si="77"/>
        <v>44620885.187436298</v>
      </c>
      <c r="BR78" s="13">
        <f t="shared" si="78"/>
        <v>22542287.085043281</v>
      </c>
      <c r="BT78" s="13">
        <f t="shared" si="79"/>
        <v>10501026.786621999</v>
      </c>
      <c r="BU78" s="13">
        <f t="shared" si="80"/>
        <v>5250513.3933109995</v>
      </c>
      <c r="BV78" s="13">
        <f t="shared" si="81"/>
        <v>5250513.3933109995</v>
      </c>
      <c r="BW78" s="13">
        <f t="shared" si="82"/>
        <v>2625256.6966555002</v>
      </c>
      <c r="BX78" s="13"/>
      <c r="BY78" s="25">
        <f t="shared" si="83"/>
        <v>656314.17416387505</v>
      </c>
      <c r="BZ78" s="25">
        <f t="shared" si="84"/>
        <v>656314.17416387505</v>
      </c>
      <c r="CA78" s="25">
        <f t="shared" si="85"/>
        <v>0</v>
      </c>
      <c r="CB78" s="25">
        <f t="shared" si="86"/>
        <v>0</v>
      </c>
      <c r="CC78" s="25">
        <f t="shared" si="87"/>
        <v>328157.08708193753</v>
      </c>
      <c r="CD78" s="384">
        <f t="shared" si="88"/>
        <v>0</v>
      </c>
      <c r="CR78" s="25">
        <f t="shared" si="89"/>
        <v>1312628.3483277501</v>
      </c>
      <c r="CS78" s="25">
        <f t="shared" si="101"/>
        <v>1312628.3483277501</v>
      </c>
      <c r="CT78" s="25">
        <f t="shared" si="101"/>
        <v>0</v>
      </c>
      <c r="CU78" s="25">
        <f t="shared" si="90"/>
        <v>0</v>
      </c>
      <c r="CV78" s="25">
        <f t="shared" si="91"/>
        <v>656314.17416387505</v>
      </c>
      <c r="CW78" s="25">
        <f t="shared" si="92"/>
        <v>0</v>
      </c>
      <c r="CY78" s="25">
        <f t="shared" si="93"/>
        <v>656314.17416387505</v>
      </c>
      <c r="CZ78" s="25">
        <f t="shared" si="94"/>
        <v>656314.17416387505</v>
      </c>
      <c r="DA78" s="25">
        <f t="shared" si="99"/>
        <v>0</v>
      </c>
      <c r="DB78" s="25">
        <f t="shared" si="95"/>
        <v>0</v>
      </c>
      <c r="DC78" s="25">
        <f t="shared" si="96"/>
        <v>328157.08708193753</v>
      </c>
      <c r="DD78" s="25">
        <f t="shared" si="97"/>
        <v>0</v>
      </c>
    </row>
    <row r="79" spans="1:108" x14ac:dyDescent="0.35">
      <c r="A79" s="282" t="str">
        <f t="shared" si="36"/>
        <v>343724_463285</v>
      </c>
      <c r="B79" s="303">
        <v>343724</v>
      </c>
      <c r="C79" s="303">
        <v>463285</v>
      </c>
      <c r="D79" s="319" t="str">
        <f>IFERROR(MATCH(C79,'[4]Custom Earning Pattern Not Popu'!$B$5:$B$428,0),"NA")</f>
        <v>NA</v>
      </c>
      <c r="E79" s="303" t="s">
        <v>228</v>
      </c>
      <c r="F79" s="303">
        <v>12</v>
      </c>
      <c r="G79" s="303">
        <v>9013</v>
      </c>
      <c r="H79" s="306">
        <v>42244</v>
      </c>
      <c r="I79" s="306">
        <v>45839</v>
      </c>
      <c r="J79" s="306">
        <v>46203</v>
      </c>
      <c r="K79" s="303" t="s">
        <v>113</v>
      </c>
      <c r="L79" s="306">
        <v>45839</v>
      </c>
      <c r="M79" s="306">
        <v>46203</v>
      </c>
      <c r="N79" s="303" t="s">
        <v>233</v>
      </c>
      <c r="O79" s="303" t="s">
        <v>233</v>
      </c>
      <c r="P79" s="148">
        <f t="shared" si="37"/>
        <v>0.2</v>
      </c>
      <c r="Q79" s="282">
        <v>1</v>
      </c>
      <c r="R79" s="282">
        <v>0</v>
      </c>
      <c r="S79" s="282" t="str">
        <f t="shared" si="52"/>
        <v>In-Orbit</v>
      </c>
      <c r="T79" s="282" t="s">
        <v>13</v>
      </c>
      <c r="U79" s="303" t="s">
        <v>551</v>
      </c>
      <c r="V79" s="303" t="s">
        <v>29</v>
      </c>
      <c r="W79" s="303" t="s">
        <v>78</v>
      </c>
      <c r="X79" s="303" t="s">
        <v>410</v>
      </c>
      <c r="Y79" s="303" t="s">
        <v>326</v>
      </c>
      <c r="Z79" s="303" t="s">
        <v>339</v>
      </c>
      <c r="AA79" s="308">
        <v>9550287.2005776893</v>
      </c>
      <c r="AC79" s="289">
        <f t="shared" si="38"/>
        <v>0</v>
      </c>
      <c r="AD79" s="88" cm="1">
        <f t="array" ref="AD79">IF(AC79=0,0,INDEX(Summary!$S$4:$S$7,MATCH(AC79,Summary!$R$4:$R$7)+1))</f>
        <v>0</v>
      </c>
      <c r="AE79" s="88">
        <f>IFERROR(INDEX(Summary!$Y$4:$Y$6,MATCH('Input Data'!K79,Summary!$U$4:$U$6,0)),0)</f>
        <v>0.05</v>
      </c>
      <c r="AF79" s="88" t="b">
        <f t="shared" si="68"/>
        <v>1</v>
      </c>
      <c r="AG79" s="89">
        <f>IF(AF79,INDEX('IG Equity Share'!$B:$B,MATCH(YEAR(I79),'IG Equity Share'!$A:$A,0)),0)</f>
        <v>7.4999999999999997E-2</v>
      </c>
      <c r="AH79" s="383">
        <f>AJ79*AG79*_xlfn.XLOOKUP(I79,'S3123 Consortium Share'!$A$3:$A$5,'S3123 Consortium Share'!$F$3:$F$5,,-1)</f>
        <v>298446.47501805279</v>
      </c>
      <c r="AI79" s="14">
        <v>1</v>
      </c>
      <c r="AJ79" s="13">
        <f t="shared" si="69"/>
        <v>9550287.2005776893</v>
      </c>
      <c r="AK79" s="13">
        <f t="shared" si="70"/>
        <v>9550287.2005776893</v>
      </c>
      <c r="AL79" s="13" t="str">
        <f t="shared" si="71"/>
        <v>FUL</v>
      </c>
      <c r="AM79" s="52">
        <f t="shared" si="72"/>
        <v>2025</v>
      </c>
      <c r="AN79" s="4">
        <f>INDEX('[2]Input Data'!$AH:$AH,MATCH(A79,'[2]Input Data'!$A:$A,0),1)-AH79</f>
        <v>0</v>
      </c>
      <c r="AO79" s="13">
        <f t="shared" si="102"/>
        <v>0</v>
      </c>
      <c r="AP79" s="13">
        <f t="shared" si="102"/>
        <v>0</v>
      </c>
      <c r="AQ79" s="13">
        <f t="shared" si="102"/>
        <v>0</v>
      </c>
      <c r="AR79" s="13">
        <f t="shared" si="102"/>
        <v>0</v>
      </c>
      <c r="AS79" s="13">
        <f t="shared" si="102"/>
        <v>0</v>
      </c>
      <c r="AT79" s="13">
        <f t="shared" si="102"/>
        <v>0</v>
      </c>
      <c r="AU79" s="13">
        <f t="shared" si="102"/>
        <v>1910057.440115538</v>
      </c>
      <c r="AV79" s="13">
        <f t="shared" si="98"/>
        <v>0</v>
      </c>
      <c r="AW79" s="13"/>
      <c r="AX79" s="13"/>
      <c r="AY79" s="13">
        <f t="shared" si="42"/>
        <v>1910057.440115538</v>
      </c>
      <c r="AZ79" s="13">
        <f t="shared" si="58"/>
        <v>0</v>
      </c>
      <c r="BA79" s="74"/>
      <c r="BB79" s="25">
        <f t="shared" si="59"/>
        <v>7640229.7604621518</v>
      </c>
      <c r="BC79" s="13">
        <f t="shared" si="60"/>
        <v>0</v>
      </c>
      <c r="BD79" s="13" t="b">
        <f>AND(AF79,NOT(ISNUMBER(MATCH(G79,Table1[Excluded Spacecraft ID],0))))</f>
        <v>1</v>
      </c>
      <c r="BE79" s="13">
        <f>BD79*AK79*_xlfn.XLOOKUP(I79,Table2[Date From],Table2[Cession],"Error",-1)*_xlfn.XLOOKUP(I79,'S3123 Consortium Share'!$A$3:$A$5,'S3123 Consortium Share'!$F$3:$F$5,,-1)</f>
        <v>795857.26671480748</v>
      </c>
      <c r="BF79" s="13">
        <f t="shared" si="61"/>
        <v>7640229.7604621518</v>
      </c>
      <c r="BG79" s="89" cm="1">
        <f t="array" ref="BG79">IF(V79="FIBL",0,INDEX('IGR QS'!$A$1:$D$570,MATCH('Input Data'!V79&amp;'Input Data'!W79&amp;'Input Data'!AM79,'IGR QS'!A:A&amp;'IGR QS'!B:B&amp;'IGR QS'!C:C,0),4))</f>
        <v>0.5</v>
      </c>
      <c r="BH79" s="13">
        <f t="shared" si="62"/>
        <v>3820114.8802310759</v>
      </c>
      <c r="BI79" s="13">
        <f t="shared" si="63"/>
        <v>3820114.8802310759</v>
      </c>
      <c r="BJ79" s="13">
        <f t="shared" si="73"/>
        <v>0</v>
      </c>
      <c r="BK79" s="13">
        <f t="shared" si="64"/>
        <v>3820114.8802310759</v>
      </c>
      <c r="BL79" s="13">
        <f t="shared" si="65"/>
        <v>3820114.8802310759</v>
      </c>
      <c r="BM79" s="21"/>
      <c r="BN79" s="13">
        <f t="shared" si="74"/>
        <v>45548263.152736805</v>
      </c>
      <c r="BO79" s="13">
        <f t="shared" si="75"/>
        <v>44546986.968158349</v>
      </c>
      <c r="BP79" s="13">
        <f t="shared" si="76"/>
        <v>1001276.1845784616</v>
      </c>
      <c r="BQ79" s="13">
        <f t="shared" si="77"/>
        <v>44620885.187436298</v>
      </c>
      <c r="BR79" s="13">
        <f t="shared" si="78"/>
        <v>22542287.085043281</v>
      </c>
      <c r="BT79" s="13">
        <f t="shared" si="79"/>
        <v>7640229.7604621518</v>
      </c>
      <c r="BU79" s="13">
        <f t="shared" si="80"/>
        <v>3820114.8802310759</v>
      </c>
      <c r="BV79" s="13">
        <f t="shared" si="81"/>
        <v>3820114.8802310759</v>
      </c>
      <c r="BW79" s="13">
        <f t="shared" si="82"/>
        <v>1910057.440115538</v>
      </c>
      <c r="BX79" s="13"/>
      <c r="BY79" s="25">
        <f t="shared" si="83"/>
        <v>477514.36002888449</v>
      </c>
      <c r="BZ79" s="25">
        <f t="shared" si="84"/>
        <v>477514.36002888449</v>
      </c>
      <c r="CA79" s="25">
        <f t="shared" si="85"/>
        <v>0</v>
      </c>
      <c r="CB79" s="25">
        <f t="shared" si="86"/>
        <v>0</v>
      </c>
      <c r="CC79" s="25">
        <f t="shared" si="87"/>
        <v>238757.18001444225</v>
      </c>
      <c r="CD79" s="384">
        <f t="shared" si="88"/>
        <v>0</v>
      </c>
      <c r="CR79" s="25">
        <f t="shared" si="89"/>
        <v>955028.72005776898</v>
      </c>
      <c r="CS79" s="25">
        <f t="shared" si="101"/>
        <v>955028.72005776898</v>
      </c>
      <c r="CT79" s="25">
        <f t="shared" si="101"/>
        <v>0</v>
      </c>
      <c r="CU79" s="25">
        <f t="shared" si="90"/>
        <v>0</v>
      </c>
      <c r="CV79" s="25">
        <f t="shared" si="91"/>
        <v>477514.36002888449</v>
      </c>
      <c r="CW79" s="25">
        <f t="shared" si="92"/>
        <v>0</v>
      </c>
      <c r="CY79" s="25">
        <f t="shared" si="93"/>
        <v>477514.36002888449</v>
      </c>
      <c r="CZ79" s="25">
        <f t="shared" si="94"/>
        <v>477514.36002888449</v>
      </c>
      <c r="DA79" s="25">
        <f t="shared" si="99"/>
        <v>0</v>
      </c>
      <c r="DB79" s="25">
        <f t="shared" si="95"/>
        <v>0</v>
      </c>
      <c r="DC79" s="25">
        <f t="shared" si="96"/>
        <v>238757.18001444225</v>
      </c>
      <c r="DD79" s="25">
        <f t="shared" si="97"/>
        <v>0</v>
      </c>
    </row>
    <row r="80" spans="1:108" x14ac:dyDescent="0.35">
      <c r="A80" s="282" t="str">
        <f t="shared" si="36"/>
        <v>343724_463286</v>
      </c>
      <c r="B80" s="303">
        <v>343724</v>
      </c>
      <c r="C80" s="303">
        <v>463286</v>
      </c>
      <c r="D80" s="319" t="str">
        <f>IFERROR(MATCH(C80,'[4]Custom Earning Pattern Not Popu'!$B$5:$B$428,0),"NA")</f>
        <v>NA</v>
      </c>
      <c r="E80" s="303" t="s">
        <v>228</v>
      </c>
      <c r="F80" s="303">
        <v>12</v>
      </c>
      <c r="G80" s="303">
        <v>9012</v>
      </c>
      <c r="H80" s="306">
        <v>42036</v>
      </c>
      <c r="I80" s="306">
        <v>45839</v>
      </c>
      <c r="J80" s="306">
        <v>46203</v>
      </c>
      <c r="K80" s="303" t="s">
        <v>113</v>
      </c>
      <c r="L80" s="306">
        <v>45839</v>
      </c>
      <c r="M80" s="306">
        <v>46203</v>
      </c>
      <c r="N80" s="303" t="s">
        <v>233</v>
      </c>
      <c r="O80" s="303" t="s">
        <v>233</v>
      </c>
      <c r="P80" s="148">
        <f t="shared" si="37"/>
        <v>0.2</v>
      </c>
      <c r="Q80" s="282">
        <v>1</v>
      </c>
      <c r="R80" s="282">
        <v>0</v>
      </c>
      <c r="S80" s="282" t="str">
        <f t="shared" si="52"/>
        <v>In-Orbit</v>
      </c>
      <c r="T80" s="282" t="s">
        <v>13</v>
      </c>
      <c r="U80" s="303" t="s">
        <v>551</v>
      </c>
      <c r="V80" s="303" t="s">
        <v>29</v>
      </c>
      <c r="W80" s="303" t="s">
        <v>78</v>
      </c>
      <c r="X80" s="303" t="s">
        <v>411</v>
      </c>
      <c r="Y80" s="303" t="s">
        <v>326</v>
      </c>
      <c r="Z80" s="303" t="s">
        <v>339</v>
      </c>
      <c r="AA80" s="308">
        <v>9334080.6029998995</v>
      </c>
      <c r="AC80" s="289">
        <f t="shared" si="38"/>
        <v>0</v>
      </c>
      <c r="AD80" s="88" cm="1">
        <f t="array" ref="AD80">IF(AC80=0,0,INDEX(Summary!$S$4:$S$7,MATCH(AC80,Summary!$R$4:$R$7)+1))</f>
        <v>0</v>
      </c>
      <c r="AE80" s="88">
        <f>IFERROR(INDEX(Summary!$Y$4:$Y$6,MATCH('Input Data'!K80,Summary!$U$4:$U$6,0)),0)</f>
        <v>0.05</v>
      </c>
      <c r="AF80" s="88" t="b">
        <f t="shared" si="68"/>
        <v>1</v>
      </c>
      <c r="AG80" s="89">
        <f>IF(AF80,INDEX('IG Equity Share'!$B:$B,MATCH(YEAR(I80),'IG Equity Share'!$A:$A,0)),0)</f>
        <v>7.4999999999999997E-2</v>
      </c>
      <c r="AH80" s="383">
        <f>AJ80*AG80*_xlfn.XLOOKUP(I80,'S3123 Consortium Share'!$A$3:$A$5,'S3123 Consortium Share'!$F$3:$F$5,,-1)</f>
        <v>291690.01884374686</v>
      </c>
      <c r="AI80" s="14">
        <v>1</v>
      </c>
      <c r="AJ80" s="13">
        <f t="shared" si="69"/>
        <v>9334080.6029998995</v>
      </c>
      <c r="AK80" s="13">
        <f t="shared" si="70"/>
        <v>9334080.6029998995</v>
      </c>
      <c r="AL80" s="13" t="str">
        <f t="shared" si="71"/>
        <v>FUL</v>
      </c>
      <c r="AM80" s="52">
        <f t="shared" si="72"/>
        <v>2025</v>
      </c>
      <c r="AN80" s="4">
        <f>INDEX('[2]Input Data'!$AH:$AH,MATCH(A80,'[2]Input Data'!$A:$A,0),1)-AH80</f>
        <v>0</v>
      </c>
      <c r="AO80" s="13">
        <f t="shared" ref="AO80:AU89" si="103">+IF(AND($I80&lt;=AO$8,$I80&gt;=AO$7),$AK80*AO$11,0)</f>
        <v>0</v>
      </c>
      <c r="AP80" s="13">
        <f t="shared" si="103"/>
        <v>0</v>
      </c>
      <c r="AQ80" s="13">
        <f t="shared" si="103"/>
        <v>0</v>
      </c>
      <c r="AR80" s="13">
        <f t="shared" si="103"/>
        <v>0</v>
      </c>
      <c r="AS80" s="13">
        <f t="shared" si="103"/>
        <v>0</v>
      </c>
      <c r="AT80" s="13">
        <f t="shared" si="103"/>
        <v>0</v>
      </c>
      <c r="AU80" s="13">
        <f t="shared" si="103"/>
        <v>1866816.12059998</v>
      </c>
      <c r="AV80" s="13">
        <f t="shared" si="98"/>
        <v>0</v>
      </c>
      <c r="AW80" s="13"/>
      <c r="AX80" s="13"/>
      <c r="AY80" s="13">
        <f t="shared" si="42"/>
        <v>1866816.12059998</v>
      </c>
      <c r="AZ80" s="13">
        <f t="shared" si="58"/>
        <v>0</v>
      </c>
      <c r="BA80" s="74"/>
      <c r="BB80" s="25">
        <f t="shared" si="59"/>
        <v>7467264.48239992</v>
      </c>
      <c r="BC80" s="13">
        <f t="shared" si="60"/>
        <v>0</v>
      </c>
      <c r="BD80" s="13" t="b">
        <f>AND(AF80,NOT(ISNUMBER(MATCH(G80,Table1[Excluded Spacecraft ID],0))))</f>
        <v>1</v>
      </c>
      <c r="BE80" s="13">
        <f>BD80*AK80*_xlfn.XLOOKUP(I80,Table2[Date From],Table2[Cession],"Error",-1)*_xlfn.XLOOKUP(I80,'S3123 Consortium Share'!$A$3:$A$5,'S3123 Consortium Share'!$F$3:$F$5,,-1)</f>
        <v>777840.05024999171</v>
      </c>
      <c r="BF80" s="13">
        <f t="shared" si="61"/>
        <v>7467264.48239992</v>
      </c>
      <c r="BG80" s="89" cm="1">
        <f t="array" ref="BG80">IF(V80="FIBL",0,INDEX('IGR QS'!$A$1:$D$570,MATCH('Input Data'!V80&amp;'Input Data'!W80&amp;'Input Data'!AM80,'IGR QS'!A:A&amp;'IGR QS'!B:B&amp;'IGR QS'!C:C,0),4))</f>
        <v>0.5</v>
      </c>
      <c r="BH80" s="13">
        <f t="shared" si="62"/>
        <v>3733632.24119996</v>
      </c>
      <c r="BI80" s="13">
        <f t="shared" si="63"/>
        <v>3733632.24119996</v>
      </c>
      <c r="BJ80" s="13">
        <f t="shared" si="73"/>
        <v>0</v>
      </c>
      <c r="BK80" s="13">
        <f t="shared" si="64"/>
        <v>3733632.24119996</v>
      </c>
      <c r="BL80" s="13">
        <f t="shared" si="65"/>
        <v>3733632.24119996</v>
      </c>
      <c r="BM80" s="21"/>
      <c r="BN80" s="13">
        <f t="shared" si="74"/>
        <v>45548263.152736805</v>
      </c>
      <c r="BO80" s="13">
        <f t="shared" si="75"/>
        <v>44546986.968158349</v>
      </c>
      <c r="BP80" s="13">
        <f t="shared" si="76"/>
        <v>1001276.1845784616</v>
      </c>
      <c r="BQ80" s="13">
        <f t="shared" si="77"/>
        <v>44620885.187436298</v>
      </c>
      <c r="BR80" s="13">
        <f t="shared" si="78"/>
        <v>22542287.085043281</v>
      </c>
      <c r="BT80" s="13">
        <f t="shared" si="79"/>
        <v>7467264.48239992</v>
      </c>
      <c r="BU80" s="13">
        <f t="shared" si="80"/>
        <v>3733632.24119996</v>
      </c>
      <c r="BV80" s="13">
        <f t="shared" si="81"/>
        <v>3733632.24119996</v>
      </c>
      <c r="BW80" s="13">
        <f t="shared" si="82"/>
        <v>1866816.12059998</v>
      </c>
      <c r="BX80" s="13"/>
      <c r="BY80" s="25">
        <f t="shared" si="83"/>
        <v>466704.030149995</v>
      </c>
      <c r="BZ80" s="25">
        <f t="shared" si="84"/>
        <v>466704.030149995</v>
      </c>
      <c r="CA80" s="25">
        <f t="shared" si="85"/>
        <v>0</v>
      </c>
      <c r="CB80" s="25">
        <f t="shared" si="86"/>
        <v>0</v>
      </c>
      <c r="CC80" s="25">
        <f t="shared" si="87"/>
        <v>233352.0150749975</v>
      </c>
      <c r="CD80" s="384">
        <f t="shared" si="88"/>
        <v>0</v>
      </c>
      <c r="CR80" s="25">
        <f t="shared" si="89"/>
        <v>933408.06029999</v>
      </c>
      <c r="CS80" s="25">
        <f t="shared" ref="CS80:CT99" si="104">IF(AND(OR($K80="GEO-GSO",$K80="MEO"),$AL80=CS$19),$AK80*Generic_Defect_Loss,0)*$Q80*$P80</f>
        <v>933408.06029999</v>
      </c>
      <c r="CT80" s="25">
        <f t="shared" si="104"/>
        <v>0</v>
      </c>
      <c r="CU80" s="25">
        <f t="shared" si="90"/>
        <v>0</v>
      </c>
      <c r="CV80" s="25">
        <f t="shared" si="91"/>
        <v>466704.030149995</v>
      </c>
      <c r="CW80" s="25">
        <f t="shared" si="92"/>
        <v>0</v>
      </c>
      <c r="CY80" s="25">
        <f t="shared" si="93"/>
        <v>466704.030149995</v>
      </c>
      <c r="CZ80" s="25">
        <f t="shared" si="94"/>
        <v>466704.030149995</v>
      </c>
      <c r="DA80" s="25">
        <f t="shared" si="99"/>
        <v>0</v>
      </c>
      <c r="DB80" s="25">
        <f t="shared" si="95"/>
        <v>0</v>
      </c>
      <c r="DC80" s="25">
        <f t="shared" si="96"/>
        <v>233352.0150749975</v>
      </c>
      <c r="DD80" s="25">
        <f t="shared" si="97"/>
        <v>0</v>
      </c>
    </row>
    <row r="81" spans="1:108" x14ac:dyDescent="0.35">
      <c r="A81" s="282" t="str">
        <f t="shared" si="36"/>
        <v>343724_463287</v>
      </c>
      <c r="B81" s="303">
        <v>343724</v>
      </c>
      <c r="C81" s="303">
        <v>463287</v>
      </c>
      <c r="D81" s="319" t="str">
        <f>IFERROR(MATCH(C81,'[4]Custom Earning Pattern Not Popu'!$B$5:$B$428,0),"NA")</f>
        <v>NA</v>
      </c>
      <c r="E81" s="303" t="s">
        <v>228</v>
      </c>
      <c r="F81" s="303">
        <v>12</v>
      </c>
      <c r="G81" s="303">
        <v>9011</v>
      </c>
      <c r="H81" s="306">
        <v>41616</v>
      </c>
      <c r="I81" s="306">
        <v>45839</v>
      </c>
      <c r="J81" s="306">
        <v>46203</v>
      </c>
      <c r="K81" s="303" t="s">
        <v>113</v>
      </c>
      <c r="L81" s="306">
        <v>45839</v>
      </c>
      <c r="M81" s="306">
        <v>46203</v>
      </c>
      <c r="N81" s="303" t="s">
        <v>233</v>
      </c>
      <c r="O81" s="303" t="s">
        <v>233</v>
      </c>
      <c r="P81" s="148">
        <f t="shared" si="37"/>
        <v>0.2</v>
      </c>
      <c r="Q81" s="282">
        <v>1</v>
      </c>
      <c r="R81" s="282">
        <v>0</v>
      </c>
      <c r="S81" s="282" t="str">
        <f t="shared" si="52"/>
        <v>In-Orbit</v>
      </c>
      <c r="T81" s="282" t="s">
        <v>13</v>
      </c>
      <c r="U81" s="303" t="s">
        <v>551</v>
      </c>
      <c r="V81" s="303" t="s">
        <v>29</v>
      </c>
      <c r="W81" s="303" t="s">
        <v>78</v>
      </c>
      <c r="X81" s="303" t="s">
        <v>412</v>
      </c>
      <c r="Y81" s="303" t="s">
        <v>326</v>
      </c>
      <c r="Z81" s="303" t="s">
        <v>339</v>
      </c>
      <c r="AA81" s="308">
        <v>8205132.9760154998</v>
      </c>
      <c r="AC81" s="289">
        <f t="shared" si="38"/>
        <v>0</v>
      </c>
      <c r="AD81" s="88" cm="1">
        <f t="array" ref="AD81">IF(AC81=0,0,INDEX(Summary!$S$4:$S$7,MATCH(AC81,Summary!$R$4:$R$7)+1))</f>
        <v>0</v>
      </c>
      <c r="AE81" s="88">
        <f>IFERROR(INDEX(Summary!$Y$4:$Y$6,MATCH('Input Data'!K81,Summary!$U$4:$U$6,0)),0)</f>
        <v>0.05</v>
      </c>
      <c r="AF81" s="88" t="b">
        <f t="shared" si="68"/>
        <v>1</v>
      </c>
      <c r="AG81" s="89">
        <f>IF(AF81,INDEX('IG Equity Share'!$B:$B,MATCH(YEAR(I81),'IG Equity Share'!$A:$A,0)),0)</f>
        <v>7.4999999999999997E-2</v>
      </c>
      <c r="AH81" s="383">
        <f>AJ81*AG81*_xlfn.XLOOKUP(I81,'S3123 Consortium Share'!$A$3:$A$5,'S3123 Consortium Share'!$F$3:$F$5,,-1)</f>
        <v>256410.40550048434</v>
      </c>
      <c r="AI81" s="14">
        <v>1</v>
      </c>
      <c r="AJ81" s="13">
        <f t="shared" si="69"/>
        <v>8205132.9760154998</v>
      </c>
      <c r="AK81" s="13">
        <f t="shared" si="70"/>
        <v>8205132.9760154998</v>
      </c>
      <c r="AL81" s="13" t="str">
        <f t="shared" si="71"/>
        <v>FUL</v>
      </c>
      <c r="AM81" s="52">
        <f t="shared" si="72"/>
        <v>2025</v>
      </c>
      <c r="AN81" s="4"/>
      <c r="AO81" s="13">
        <f t="shared" si="103"/>
        <v>0</v>
      </c>
      <c r="AP81" s="13">
        <f t="shared" si="103"/>
        <v>0</v>
      </c>
      <c r="AQ81" s="13">
        <f t="shared" si="103"/>
        <v>0</v>
      </c>
      <c r="AR81" s="13">
        <f t="shared" si="103"/>
        <v>0</v>
      </c>
      <c r="AS81" s="13">
        <f t="shared" si="103"/>
        <v>0</v>
      </c>
      <c r="AT81" s="13">
        <f t="shared" si="103"/>
        <v>0</v>
      </c>
      <c r="AU81" s="13">
        <f t="shared" si="103"/>
        <v>1641026.5952031</v>
      </c>
      <c r="AV81" s="13">
        <f t="shared" si="98"/>
        <v>0</v>
      </c>
      <c r="AW81" s="13"/>
      <c r="AX81" s="13"/>
      <c r="AY81" s="13">
        <f t="shared" si="42"/>
        <v>1641026.5952031</v>
      </c>
      <c r="AZ81" s="13">
        <f t="shared" si="58"/>
        <v>0</v>
      </c>
      <c r="BA81" s="74"/>
      <c r="BB81" s="25">
        <f t="shared" si="59"/>
        <v>6564106.3808124</v>
      </c>
      <c r="BC81" s="13">
        <f t="shared" si="60"/>
        <v>0</v>
      </c>
      <c r="BD81" s="13" t="b">
        <f>AND(AF81,NOT(ISNUMBER(MATCH(G81,Table1[Excluded Spacecraft ID],0))))</f>
        <v>1</v>
      </c>
      <c r="BE81" s="13">
        <f>BD81*AK81*_xlfn.XLOOKUP(I81,Table2[Date From],Table2[Cession],"Error",-1)*_xlfn.XLOOKUP(I81,'S3123 Consortium Share'!$A$3:$A$5,'S3123 Consortium Share'!$F$3:$F$5,,-1)</f>
        <v>683761.08133462502</v>
      </c>
      <c r="BF81" s="13">
        <f t="shared" si="61"/>
        <v>6564106.3808124</v>
      </c>
      <c r="BG81" s="89" cm="1">
        <f t="array" ref="BG81">IF(V81="FIBL",0,INDEX('IGR QS'!$A$1:$D$570,MATCH('Input Data'!V81&amp;'Input Data'!W81&amp;'Input Data'!AM81,'IGR QS'!A:A&amp;'IGR QS'!B:B&amp;'IGR QS'!C:C,0),4))</f>
        <v>0.5</v>
      </c>
      <c r="BH81" s="13">
        <f t="shared" si="62"/>
        <v>3282053.1904062</v>
      </c>
      <c r="BI81" s="13">
        <f t="shared" si="63"/>
        <v>3282053.1904062</v>
      </c>
      <c r="BJ81" s="13">
        <f t="shared" si="73"/>
        <v>0</v>
      </c>
      <c r="BK81" s="13">
        <f t="shared" si="64"/>
        <v>3282053.1904062</v>
      </c>
      <c r="BL81" s="13">
        <f t="shared" si="65"/>
        <v>3282053.1904062</v>
      </c>
      <c r="BM81" s="21"/>
      <c r="BN81" s="13">
        <f t="shared" si="74"/>
        <v>45548263.152736805</v>
      </c>
      <c r="BO81" s="13">
        <f t="shared" si="75"/>
        <v>44546986.968158349</v>
      </c>
      <c r="BP81" s="13">
        <f t="shared" si="76"/>
        <v>1001276.1845784616</v>
      </c>
      <c r="BQ81" s="13">
        <f t="shared" si="77"/>
        <v>44620885.187436298</v>
      </c>
      <c r="BR81" s="13">
        <f t="shared" si="78"/>
        <v>22542287.085043281</v>
      </c>
      <c r="BT81" s="13">
        <f t="shared" si="79"/>
        <v>6564106.3808124</v>
      </c>
      <c r="BU81" s="13">
        <f t="shared" si="80"/>
        <v>3282053.1904062</v>
      </c>
      <c r="BV81" s="13">
        <f t="shared" si="81"/>
        <v>3282053.1904062</v>
      </c>
      <c r="BW81" s="13">
        <f t="shared" si="82"/>
        <v>1641026.5952031</v>
      </c>
      <c r="BX81" s="13"/>
      <c r="BY81" s="25">
        <f t="shared" si="83"/>
        <v>410256.648800775</v>
      </c>
      <c r="BZ81" s="25">
        <f t="shared" si="84"/>
        <v>410256.648800775</v>
      </c>
      <c r="CA81" s="25">
        <f t="shared" si="85"/>
        <v>0</v>
      </c>
      <c r="CB81" s="25">
        <f t="shared" si="86"/>
        <v>0</v>
      </c>
      <c r="CC81" s="25">
        <f t="shared" si="87"/>
        <v>205128.3244003875</v>
      </c>
      <c r="CD81" s="384">
        <f t="shared" si="88"/>
        <v>0</v>
      </c>
      <c r="CR81" s="25">
        <f t="shared" si="89"/>
        <v>820513.29760155</v>
      </c>
      <c r="CS81" s="25">
        <f t="shared" si="104"/>
        <v>820513.29760155</v>
      </c>
      <c r="CT81" s="25">
        <f t="shared" si="104"/>
        <v>0</v>
      </c>
      <c r="CU81" s="25">
        <f t="shared" si="90"/>
        <v>0</v>
      </c>
      <c r="CV81" s="25">
        <f t="shared" si="91"/>
        <v>410256.648800775</v>
      </c>
      <c r="CW81" s="25">
        <f t="shared" si="92"/>
        <v>0</v>
      </c>
      <c r="CY81" s="25">
        <f t="shared" si="93"/>
        <v>410256.648800775</v>
      </c>
      <c r="CZ81" s="25">
        <f t="shared" si="94"/>
        <v>410256.648800775</v>
      </c>
      <c r="DA81" s="25">
        <f t="shared" si="99"/>
        <v>0</v>
      </c>
      <c r="DB81" s="25">
        <f t="shared" si="95"/>
        <v>0</v>
      </c>
      <c r="DC81" s="25">
        <f t="shared" si="96"/>
        <v>205128.3244003875</v>
      </c>
      <c r="DD81" s="25">
        <f t="shared" si="97"/>
        <v>0</v>
      </c>
    </row>
    <row r="82" spans="1:108" x14ac:dyDescent="0.35">
      <c r="A82" s="282" t="str">
        <f t="shared" si="36"/>
        <v>343724_463288</v>
      </c>
      <c r="B82" s="303">
        <v>343724</v>
      </c>
      <c r="C82" s="303">
        <v>463288</v>
      </c>
      <c r="D82" s="319" t="str">
        <f>IFERROR(MATCH(C82,'[4]Custom Earning Pattern Not Popu'!$B$5:$B$428,0),"NA")</f>
        <v>NA</v>
      </c>
      <c r="E82" s="303" t="s">
        <v>228</v>
      </c>
      <c r="F82" s="303">
        <v>12</v>
      </c>
      <c r="G82" s="303">
        <v>10590</v>
      </c>
      <c r="H82" s="306">
        <v>44552</v>
      </c>
      <c r="I82" s="306">
        <v>45839</v>
      </c>
      <c r="J82" s="306">
        <v>46203</v>
      </c>
      <c r="K82" s="303" t="s">
        <v>113</v>
      </c>
      <c r="L82" s="306">
        <v>45839</v>
      </c>
      <c r="M82" s="306">
        <v>46203</v>
      </c>
      <c r="N82" s="303" t="s">
        <v>230</v>
      </c>
      <c r="O82" s="303" t="s">
        <v>245</v>
      </c>
      <c r="P82" s="148">
        <f t="shared" si="37"/>
        <v>0.2</v>
      </c>
      <c r="Q82" s="282">
        <v>1</v>
      </c>
      <c r="R82" s="282">
        <v>0</v>
      </c>
      <c r="S82" s="282" t="str">
        <f t="shared" si="52"/>
        <v>In-Orbit</v>
      </c>
      <c r="T82" s="282" t="s">
        <v>13</v>
      </c>
      <c r="U82" s="303" t="s">
        <v>551</v>
      </c>
      <c r="V82" s="303" t="s">
        <v>29</v>
      </c>
      <c r="W82" s="303" t="s">
        <v>78</v>
      </c>
      <c r="X82" s="303" t="s">
        <v>314</v>
      </c>
      <c r="Y82" s="303" t="s">
        <v>315</v>
      </c>
      <c r="Z82" s="303" t="s">
        <v>345</v>
      </c>
      <c r="AA82" s="308">
        <v>19617551.7198814</v>
      </c>
      <c r="AC82" s="289">
        <f t="shared" si="38"/>
        <v>0</v>
      </c>
      <c r="AD82" s="88" cm="1">
        <f t="array" ref="AD82">IF(AC82=0,0,INDEX(Summary!$S$4:$S$7,MATCH(AC82,Summary!$R$4:$R$7)+1))</f>
        <v>0</v>
      </c>
      <c r="AE82" s="88">
        <f>IFERROR(INDEX(Summary!$Y$4:$Y$6,MATCH('Input Data'!K82,Summary!$U$4:$U$6,0)),0)</f>
        <v>0.05</v>
      </c>
      <c r="AF82" s="88" t="b">
        <f t="shared" si="68"/>
        <v>1</v>
      </c>
      <c r="AG82" s="89">
        <f>IF(AF82,INDEX('IG Equity Share'!$B:$B,MATCH(YEAR(I82),'IG Equity Share'!$A:$A,0)),0)</f>
        <v>7.4999999999999997E-2</v>
      </c>
      <c r="AH82" s="383">
        <f>AJ82*AG82*_xlfn.XLOOKUP(I82,'S3123 Consortium Share'!$A$3:$A$5,'S3123 Consortium Share'!$F$3:$F$5,,-1)</f>
        <v>613048.49124629376</v>
      </c>
      <c r="AI82" s="14">
        <v>1</v>
      </c>
      <c r="AJ82" s="13">
        <f t="shared" si="69"/>
        <v>19617551.7198814</v>
      </c>
      <c r="AK82" s="13">
        <f t="shared" si="70"/>
        <v>19617551.7198814</v>
      </c>
      <c r="AL82" s="13" t="str">
        <f t="shared" si="71"/>
        <v>FUL</v>
      </c>
      <c r="AM82" s="52">
        <f t="shared" si="72"/>
        <v>2025</v>
      </c>
      <c r="AN82" s="4">
        <f>INDEX('[2]Input Data'!$AH:$AH,MATCH(A82,'[2]Input Data'!$A:$A,0),1)-AH82</f>
        <v>0</v>
      </c>
      <c r="AO82" s="13">
        <f t="shared" si="103"/>
        <v>0</v>
      </c>
      <c r="AP82" s="13">
        <f t="shared" si="103"/>
        <v>0</v>
      </c>
      <c r="AQ82" s="13">
        <f t="shared" si="103"/>
        <v>0</v>
      </c>
      <c r="AR82" s="13">
        <f t="shared" si="103"/>
        <v>0</v>
      </c>
      <c r="AS82" s="13">
        <f t="shared" si="103"/>
        <v>0</v>
      </c>
      <c r="AT82" s="13">
        <f t="shared" si="103"/>
        <v>0</v>
      </c>
      <c r="AU82" s="13">
        <f t="shared" si="103"/>
        <v>3923510.3439762802</v>
      </c>
      <c r="AV82" s="13">
        <f t="shared" si="98"/>
        <v>0</v>
      </c>
      <c r="AW82" s="13"/>
      <c r="AX82" s="13"/>
      <c r="AY82" s="13">
        <f t="shared" si="42"/>
        <v>3923510.3439762802</v>
      </c>
      <c r="AZ82" s="13">
        <f t="shared" ref="AZ82:AZ99" si="105">+AO82+AP82</f>
        <v>0</v>
      </c>
      <c r="BA82" s="74"/>
      <c r="BB82" s="25">
        <f t="shared" ref="BB82:BB99" si="106">+AK82-AY82</f>
        <v>15694041.375905121</v>
      </c>
      <c r="BC82" s="13">
        <f t="shared" ref="BC82:BC99" si="107">SUM(AO82)</f>
        <v>0</v>
      </c>
      <c r="BD82" s="13" t="b">
        <f>AND(AF82,NOT(ISNUMBER(MATCH(G82,Table1[Excluded Spacecraft ID],0))))</f>
        <v>0</v>
      </c>
      <c r="BE82" s="13">
        <f>BD82*AK82*_xlfn.XLOOKUP(I82,Table2[Date From],Table2[Cession],"Error",-1)*_xlfn.XLOOKUP(I82,'S3123 Consortium Share'!$A$3:$A$5,'S3123 Consortium Share'!$F$3:$F$5,,-1)</f>
        <v>0</v>
      </c>
      <c r="BF82" s="13">
        <f t="shared" ref="BF82:BF99" si="108">+BB82-BC82</f>
        <v>15694041.375905121</v>
      </c>
      <c r="BG82" s="89" cm="1">
        <f t="array" ref="BG82">IF(V82="FIBL",0,INDEX('IGR QS'!$A$1:$D$570,MATCH('Input Data'!V82&amp;'Input Data'!W82&amp;'Input Data'!AM82,'IGR QS'!A:A&amp;'IGR QS'!B:B&amp;'IGR QS'!C:C,0),4))</f>
        <v>0.5</v>
      </c>
      <c r="BH82" s="13">
        <f t="shared" ref="BH82:BH99" si="109">+BF82*BG82</f>
        <v>7847020.6879525604</v>
      </c>
      <c r="BI82" s="13">
        <f t="shared" ref="BI82:BI99" si="110">+BF82-BH82</f>
        <v>7847020.6879525604</v>
      </c>
      <c r="BJ82" s="13">
        <f t="shared" si="73"/>
        <v>0</v>
      </c>
      <c r="BK82" s="13">
        <f t="shared" ref="BK82:BK99" si="111">BH82+BJ82</f>
        <v>7847020.6879525604</v>
      </c>
      <c r="BL82" s="13">
        <f t="shared" ref="BL82:BL99" si="112">+BI82-BJ82</f>
        <v>7847020.6879525604</v>
      </c>
      <c r="BM82" s="21"/>
      <c r="BN82" s="13">
        <f t="shared" si="74"/>
        <v>66471396.42403952</v>
      </c>
      <c r="BO82" s="13">
        <f t="shared" si="75"/>
        <v>49043091.716622137</v>
      </c>
      <c r="BP82" s="13">
        <f t="shared" si="76"/>
        <v>17428304.707417384</v>
      </c>
      <c r="BQ82" s="13">
        <f t="shared" si="77"/>
        <v>147803485.05865392</v>
      </c>
      <c r="BR82" s="13">
        <f t="shared" si="78"/>
        <v>53568720.370673373</v>
      </c>
      <c r="BT82" s="13">
        <f t="shared" si="79"/>
        <v>15694041.375905121</v>
      </c>
      <c r="BU82" s="13">
        <f t="shared" si="80"/>
        <v>7847020.6879525604</v>
      </c>
      <c r="BV82" s="13">
        <f t="shared" si="81"/>
        <v>7847020.6879525604</v>
      </c>
      <c r="BW82" s="13">
        <f t="shared" si="82"/>
        <v>3923510.3439762802</v>
      </c>
      <c r="BX82" s="13"/>
      <c r="BY82" s="25">
        <f t="shared" si="83"/>
        <v>980877.58599407005</v>
      </c>
      <c r="BZ82" s="25">
        <f t="shared" si="84"/>
        <v>980877.58599407005</v>
      </c>
      <c r="CA82" s="25">
        <f t="shared" si="85"/>
        <v>0</v>
      </c>
      <c r="CB82" s="25">
        <f t="shared" si="86"/>
        <v>0</v>
      </c>
      <c r="CC82" s="25">
        <f t="shared" si="87"/>
        <v>490438.79299703502</v>
      </c>
      <c r="CD82" s="384">
        <f t="shared" si="88"/>
        <v>0</v>
      </c>
      <c r="CR82" s="25">
        <f t="shared" si="89"/>
        <v>1961755.1719881401</v>
      </c>
      <c r="CS82" s="25">
        <f t="shared" si="104"/>
        <v>1961755.1719881401</v>
      </c>
      <c r="CT82" s="25">
        <f t="shared" si="104"/>
        <v>0</v>
      </c>
      <c r="CU82" s="25">
        <f t="shared" si="90"/>
        <v>0</v>
      </c>
      <c r="CV82" s="25">
        <f t="shared" si="91"/>
        <v>980877.58599407005</v>
      </c>
      <c r="CW82" s="25">
        <f t="shared" si="92"/>
        <v>0</v>
      </c>
      <c r="CY82" s="25">
        <f t="shared" si="93"/>
        <v>980877.58599407005</v>
      </c>
      <c r="CZ82" s="25">
        <f t="shared" si="94"/>
        <v>980877.58599407005</v>
      </c>
      <c r="DA82" s="25">
        <f t="shared" si="99"/>
        <v>0</v>
      </c>
      <c r="DB82" s="25">
        <f t="shared" si="95"/>
        <v>0</v>
      </c>
      <c r="DC82" s="25">
        <f t="shared" si="96"/>
        <v>490438.79299703502</v>
      </c>
      <c r="DD82" s="25">
        <f t="shared" si="97"/>
        <v>0</v>
      </c>
    </row>
    <row r="83" spans="1:108" x14ac:dyDescent="0.35">
      <c r="A83" s="282" t="str">
        <f t="shared" si="36"/>
        <v>341568_473581</v>
      </c>
      <c r="B83" s="303">
        <v>341568</v>
      </c>
      <c r="C83" s="303">
        <v>473581</v>
      </c>
      <c r="D83" s="319" t="str">
        <f>IFERROR(MATCH(C83,'[4]Custom Earning Pattern Not Popu'!$B$5:$B$428,0),"NA")</f>
        <v>NA</v>
      </c>
      <c r="E83" s="303" t="s">
        <v>228</v>
      </c>
      <c r="F83" s="303">
        <v>9</v>
      </c>
      <c r="G83" s="303">
        <v>12486</v>
      </c>
      <c r="H83" s="306">
        <v>45414</v>
      </c>
      <c r="I83" s="306">
        <v>45885</v>
      </c>
      <c r="J83" s="306">
        <v>46144</v>
      </c>
      <c r="K83" s="303" t="s">
        <v>16</v>
      </c>
      <c r="L83" s="306">
        <v>45885</v>
      </c>
      <c r="M83" s="306">
        <v>46144</v>
      </c>
      <c r="N83" s="303" t="s">
        <v>467</v>
      </c>
      <c r="O83" s="303" t="s">
        <v>467</v>
      </c>
      <c r="P83" s="148">
        <f t="shared" si="37"/>
        <v>0.2</v>
      </c>
      <c r="Q83" s="282">
        <v>1</v>
      </c>
      <c r="R83" s="282">
        <v>0</v>
      </c>
      <c r="S83" s="282" t="str">
        <f t="shared" si="52"/>
        <v>In-Orbit</v>
      </c>
      <c r="T83" s="282" t="s">
        <v>13</v>
      </c>
      <c r="U83" s="303" t="s">
        <v>375</v>
      </c>
      <c r="V83" s="303" t="s">
        <v>29</v>
      </c>
      <c r="W83" s="303" t="s">
        <v>78</v>
      </c>
      <c r="X83" s="303" t="s">
        <v>415</v>
      </c>
      <c r="Y83" s="303" t="s">
        <v>334</v>
      </c>
      <c r="Z83" s="303" t="s">
        <v>338</v>
      </c>
      <c r="AA83" s="308">
        <v>4020619.7871133899</v>
      </c>
      <c r="AC83" s="289">
        <f t="shared" si="38"/>
        <v>2</v>
      </c>
      <c r="AD83" s="88" cm="1">
        <f t="array" ref="AD83">IF(AC83=0,0,INDEX(Summary!$S$4:$S$7,MATCH(AC83,Summary!$R$4:$R$7)+1))</f>
        <v>0.4</v>
      </c>
      <c r="AE83" s="88">
        <f>IFERROR(INDEX(Summary!$Y$4:$Y$6,MATCH('Input Data'!K83,Summary!$U$4:$U$6,0)),0)</f>
        <v>0.4</v>
      </c>
      <c r="AF83" s="88" t="b">
        <f t="shared" si="68"/>
        <v>1</v>
      </c>
      <c r="AG83" s="89">
        <f>IF(AF83,INDEX('IG Equity Share'!$B:$B,MATCH(YEAR(I83),'IG Equity Share'!$A:$A,0)),0)</f>
        <v>7.4999999999999997E-2</v>
      </c>
      <c r="AH83" s="383">
        <f>AJ83*AG83*_xlfn.XLOOKUP(I83,'S3123 Consortium Share'!$A$3:$A$5,'S3123 Consortium Share'!$F$3:$F$5,,-1)</f>
        <v>125644.36834729342</v>
      </c>
      <c r="AI83" s="14">
        <v>1</v>
      </c>
      <c r="AJ83" s="13">
        <f t="shared" si="69"/>
        <v>4020619.7871133899</v>
      </c>
      <c r="AK83" s="13">
        <f t="shared" si="70"/>
        <v>4020619.7871133899</v>
      </c>
      <c r="AL83" s="13" t="str">
        <f t="shared" si="71"/>
        <v>FUL</v>
      </c>
      <c r="AM83" s="52">
        <f t="shared" si="72"/>
        <v>2025</v>
      </c>
      <c r="AN83" s="4">
        <f>INDEX('[2]Input Data'!$AH:$AH,MATCH(A83,'[2]Input Data'!$A:$A,0),1)-AH83</f>
        <v>0</v>
      </c>
      <c r="AO83" s="13">
        <f t="shared" si="103"/>
        <v>0</v>
      </c>
      <c r="AP83" s="13">
        <f t="shared" si="103"/>
        <v>0</v>
      </c>
      <c r="AQ83" s="13">
        <f t="shared" si="103"/>
        <v>0</v>
      </c>
      <c r="AR83" s="13">
        <f t="shared" si="103"/>
        <v>0</v>
      </c>
      <c r="AS83" s="13">
        <f t="shared" si="103"/>
        <v>0</v>
      </c>
      <c r="AT83" s="13">
        <f t="shared" si="103"/>
        <v>0</v>
      </c>
      <c r="AU83" s="13">
        <f t="shared" si="103"/>
        <v>804123.95742267801</v>
      </c>
      <c r="AV83" s="13">
        <f t="shared" si="98"/>
        <v>0</v>
      </c>
      <c r="AW83" s="13"/>
      <c r="AX83" s="13"/>
      <c r="AY83" s="13">
        <f t="shared" si="42"/>
        <v>804123.95742267801</v>
      </c>
      <c r="AZ83" s="13">
        <f t="shared" si="105"/>
        <v>0</v>
      </c>
      <c r="BA83" s="74"/>
      <c r="BB83" s="25">
        <f t="shared" si="106"/>
        <v>3216495.829690712</v>
      </c>
      <c r="BC83" s="13">
        <f t="shared" si="107"/>
        <v>0</v>
      </c>
      <c r="BD83" s="13" t="b">
        <f>AND(AF83,NOT(ISNUMBER(MATCH(G83,Table1[Excluded Spacecraft ID],0))))</f>
        <v>1</v>
      </c>
      <c r="BE83" s="13">
        <f>BD83*AK83*_xlfn.XLOOKUP(I83,Table2[Date From],Table2[Cession],"Error",-1)*_xlfn.XLOOKUP(I83,'S3123 Consortium Share'!$A$3:$A$5,'S3123 Consortium Share'!$F$3:$F$5,,-1)</f>
        <v>335051.64892611583</v>
      </c>
      <c r="BF83" s="13">
        <f t="shared" si="108"/>
        <v>3216495.829690712</v>
      </c>
      <c r="BG83" s="89" cm="1">
        <f t="array" ref="BG83">IF(V83="FIBL",0,INDEX('IGR QS'!$A$1:$D$570,MATCH('Input Data'!V83&amp;'Input Data'!W83&amp;'Input Data'!AM83,'IGR QS'!A:A&amp;'IGR QS'!B:B&amp;'IGR QS'!C:C,0),4))</f>
        <v>0.5</v>
      </c>
      <c r="BH83" s="13">
        <f t="shared" si="109"/>
        <v>1608247.914845356</v>
      </c>
      <c r="BI83" s="13">
        <f t="shared" si="110"/>
        <v>1608247.914845356</v>
      </c>
      <c r="BJ83" s="13">
        <f t="shared" si="73"/>
        <v>0</v>
      </c>
      <c r="BK83" s="13">
        <f t="shared" si="111"/>
        <v>1608247.914845356</v>
      </c>
      <c r="BL83" s="13">
        <f t="shared" si="112"/>
        <v>1608247.914845356</v>
      </c>
      <c r="BM83" s="21"/>
      <c r="BN83" s="13">
        <f t="shared" si="74"/>
        <v>34042623.318762854</v>
      </c>
      <c r="BO83" s="13">
        <f t="shared" si="75"/>
        <v>34042623.318762854</v>
      </c>
      <c r="BP83" s="13">
        <f t="shared" si="76"/>
        <v>0</v>
      </c>
      <c r="BQ83" s="13">
        <f t="shared" si="77"/>
        <v>34042623.318762854</v>
      </c>
      <c r="BR83" s="13">
        <f t="shared" si="78"/>
        <v>17021311.659381427</v>
      </c>
      <c r="BT83" s="13">
        <f t="shared" si="79"/>
        <v>3216495.829690712</v>
      </c>
      <c r="BU83" s="13">
        <f t="shared" si="80"/>
        <v>1608247.914845356</v>
      </c>
      <c r="BV83" s="13">
        <f t="shared" si="81"/>
        <v>1608247.914845356</v>
      </c>
      <c r="BW83" s="13">
        <f t="shared" si="82"/>
        <v>804123.95742267801</v>
      </c>
      <c r="BX83" s="13"/>
      <c r="BY83" s="25">
        <f t="shared" si="83"/>
        <v>0</v>
      </c>
      <c r="BZ83" s="25">
        <f t="shared" si="84"/>
        <v>0</v>
      </c>
      <c r="CA83" s="25">
        <f t="shared" si="85"/>
        <v>0</v>
      </c>
      <c r="CB83" s="25">
        <f t="shared" si="86"/>
        <v>0</v>
      </c>
      <c r="CC83" s="25">
        <f t="shared" si="87"/>
        <v>0</v>
      </c>
      <c r="CD83" s="384">
        <f t="shared" si="88"/>
        <v>0</v>
      </c>
      <c r="CR83" s="25">
        <f t="shared" si="89"/>
        <v>0</v>
      </c>
      <c r="CS83" s="25">
        <f t="shared" si="104"/>
        <v>0</v>
      </c>
      <c r="CT83" s="25">
        <f t="shared" si="104"/>
        <v>0</v>
      </c>
      <c r="CU83" s="25">
        <f t="shared" si="90"/>
        <v>0</v>
      </c>
      <c r="CV83" s="25">
        <f t="shared" si="91"/>
        <v>0</v>
      </c>
      <c r="CW83" s="25">
        <f t="shared" si="92"/>
        <v>0</v>
      </c>
      <c r="CY83" s="25">
        <f t="shared" si="93"/>
        <v>0</v>
      </c>
      <c r="CZ83" s="25">
        <f t="shared" si="94"/>
        <v>0</v>
      </c>
      <c r="DA83" s="25">
        <f t="shared" si="99"/>
        <v>0</v>
      </c>
      <c r="DB83" s="25">
        <f t="shared" si="95"/>
        <v>0</v>
      </c>
      <c r="DC83" s="25">
        <f t="shared" si="96"/>
        <v>0</v>
      </c>
      <c r="DD83" s="25">
        <f t="shared" si="97"/>
        <v>0</v>
      </c>
    </row>
    <row r="84" spans="1:108" x14ac:dyDescent="0.35">
      <c r="A84" s="282" t="str">
        <f t="shared" si="36"/>
        <v>341568_473582</v>
      </c>
      <c r="B84" s="303">
        <v>341568</v>
      </c>
      <c r="C84" s="303">
        <v>473582</v>
      </c>
      <c r="D84" s="319" t="str">
        <f>IFERROR(MATCH(C84,'[4]Custom Earning Pattern Not Popu'!$B$5:$B$428,0),"NA")</f>
        <v>NA</v>
      </c>
      <c r="E84" s="303" t="s">
        <v>228</v>
      </c>
      <c r="F84" s="303">
        <v>12</v>
      </c>
      <c r="G84" s="303">
        <v>12487</v>
      </c>
      <c r="H84" s="306">
        <v>45519</v>
      </c>
      <c r="I84" s="306">
        <v>45780</v>
      </c>
      <c r="J84" s="306">
        <v>46144</v>
      </c>
      <c r="K84" s="303" t="s">
        <v>16</v>
      </c>
      <c r="L84" s="306">
        <v>45780</v>
      </c>
      <c r="M84" s="306">
        <v>46144</v>
      </c>
      <c r="N84" s="303" t="s">
        <v>467</v>
      </c>
      <c r="O84" s="303" t="s">
        <v>467</v>
      </c>
      <c r="P84" s="148">
        <f t="shared" si="37"/>
        <v>0.2</v>
      </c>
      <c r="Q84" s="282">
        <v>1</v>
      </c>
      <c r="R84" s="282">
        <v>0</v>
      </c>
      <c r="S84" s="282" t="str">
        <f t="shared" si="52"/>
        <v>In-Orbit</v>
      </c>
      <c r="T84" s="282" t="s">
        <v>13</v>
      </c>
      <c r="U84" s="303" t="s">
        <v>375</v>
      </c>
      <c r="V84" s="303" t="s">
        <v>29</v>
      </c>
      <c r="W84" s="303" t="s">
        <v>78</v>
      </c>
      <c r="X84" s="303" t="s">
        <v>303</v>
      </c>
      <c r="Y84" s="303" t="s">
        <v>334</v>
      </c>
      <c r="Z84" s="303" t="s">
        <v>338</v>
      </c>
      <c r="AA84" s="308">
        <v>4020619.7871133899</v>
      </c>
      <c r="AC84" s="289">
        <f t="shared" si="38"/>
        <v>2</v>
      </c>
      <c r="AD84" s="88" cm="1">
        <f t="array" ref="AD84">IF(AC84=0,0,INDEX(Summary!$S$4:$S$7,MATCH(AC84,Summary!$R$4:$R$7)+1))</f>
        <v>0.4</v>
      </c>
      <c r="AE84" s="88">
        <f>IFERROR(INDEX(Summary!$Y$4:$Y$6,MATCH('Input Data'!K84,Summary!$U$4:$U$6,0)),0)</f>
        <v>0.4</v>
      </c>
      <c r="AF84" s="88" t="b">
        <f t="shared" ref="AF84:AF114" si="113">IF(I84&gt;=DATE(2024,7,1),TRUE,FALSE)</f>
        <v>1</v>
      </c>
      <c r="AG84" s="89">
        <f>IF(AF84,INDEX('IG Equity Share'!$B:$B,MATCH(YEAR(I84),'IG Equity Share'!$A:$A,0)),0)</f>
        <v>7.4999999999999997E-2</v>
      </c>
      <c r="AH84" s="383">
        <f>AJ84*AG84*_xlfn.XLOOKUP(I84,'S3123 Consortium Share'!$A$3:$A$5,'S3123 Consortium Share'!$F$3:$F$5,,-1)</f>
        <v>125644.36834729342</v>
      </c>
      <c r="AI84" s="14">
        <v>1</v>
      </c>
      <c r="AJ84" s="13">
        <f t="shared" ref="AJ84:AJ115" si="114">AA84</f>
        <v>4020619.7871133899</v>
      </c>
      <c r="AK84" s="13">
        <f t="shared" ref="AK84:AK115" si="115">AJ84/AI84*Q84</f>
        <v>4020619.7871133899</v>
      </c>
      <c r="AL84" s="13" t="str">
        <f t="shared" ref="AL84:AL115" si="116">V84</f>
        <v>FUL</v>
      </c>
      <c r="AM84" s="52">
        <f t="shared" ref="AM84:AM115" si="117">YEAR(I84)</f>
        <v>2025</v>
      </c>
      <c r="AN84" s="4">
        <f>INDEX('[2]Input Data'!$AH:$AH,MATCH(A84,'[2]Input Data'!$A:$A,0),1)-AH84</f>
        <v>0</v>
      </c>
      <c r="AO84" s="13">
        <f t="shared" si="103"/>
        <v>0</v>
      </c>
      <c r="AP84" s="13">
        <f t="shared" si="103"/>
        <v>0</v>
      </c>
      <c r="AQ84" s="13">
        <f t="shared" si="103"/>
        <v>0</v>
      </c>
      <c r="AR84" s="13">
        <f t="shared" si="103"/>
        <v>0</v>
      </c>
      <c r="AS84" s="13">
        <f t="shared" si="103"/>
        <v>0</v>
      </c>
      <c r="AT84" s="13">
        <f t="shared" si="103"/>
        <v>0</v>
      </c>
      <c r="AU84" s="13">
        <f t="shared" si="103"/>
        <v>804123.95742267801</v>
      </c>
      <c r="AV84" s="13">
        <f t="shared" si="98"/>
        <v>0</v>
      </c>
      <c r="AW84" s="13"/>
      <c r="AX84" s="13"/>
      <c r="AY84" s="13">
        <f t="shared" si="42"/>
        <v>804123.95742267801</v>
      </c>
      <c r="AZ84" s="13">
        <f t="shared" si="105"/>
        <v>0</v>
      </c>
      <c r="BA84" s="74"/>
      <c r="BB84" s="25">
        <f t="shared" si="106"/>
        <v>3216495.829690712</v>
      </c>
      <c r="BC84" s="13">
        <f t="shared" si="107"/>
        <v>0</v>
      </c>
      <c r="BD84" s="13" t="b">
        <f>AND(AF84,NOT(ISNUMBER(MATCH(G84,Table1[Excluded Spacecraft ID],0))))</f>
        <v>1</v>
      </c>
      <c r="BE84" s="13">
        <f>BD84*AK84*_xlfn.XLOOKUP(I84,Table2[Date From],Table2[Cession],"Error",-1)*_xlfn.XLOOKUP(I84,'S3123 Consortium Share'!$A$3:$A$5,'S3123 Consortium Share'!$F$3:$F$5,,-1)</f>
        <v>335051.64892611583</v>
      </c>
      <c r="BF84" s="13">
        <f t="shared" si="108"/>
        <v>3216495.829690712</v>
      </c>
      <c r="BG84" s="89" cm="1">
        <f t="array" ref="BG84">IF(V84="FIBL",0,INDEX('IGR QS'!$A$1:$D$570,MATCH('Input Data'!V84&amp;'Input Data'!W84&amp;'Input Data'!AM84,'IGR QS'!A:A&amp;'IGR QS'!B:B&amp;'IGR QS'!C:C,0),4))</f>
        <v>0.5</v>
      </c>
      <c r="BH84" s="13">
        <f t="shared" si="109"/>
        <v>1608247.914845356</v>
      </c>
      <c r="BI84" s="13">
        <f t="shared" si="110"/>
        <v>1608247.914845356</v>
      </c>
      <c r="BJ84" s="13">
        <f t="shared" ref="BJ84:BJ115" si="118">IF(AND(V84=FIID,(BI84&gt;FIID_Deductible)),MIN(BI84-FIID_Deductible,FIID_Limit),IF(AND(V84=FUL,(BI84&gt;FUL_Deductible)),MIN(BI84-FUL_Deductible,FUL_Limit),0))</f>
        <v>0</v>
      </c>
      <c r="BK84" s="13">
        <f t="shared" si="111"/>
        <v>1608247.914845356</v>
      </c>
      <c r="BL84" s="13">
        <f t="shared" si="112"/>
        <v>1608247.914845356</v>
      </c>
      <c r="BM84" s="21"/>
      <c r="BN84" s="13">
        <f t="shared" ref="BN84:BN115" si="119">SUMIFS($BL:$BL,$N:$N,$N84,$Q:$Q,1)</f>
        <v>34042623.318762854</v>
      </c>
      <c r="BO84" s="13">
        <f t="shared" ref="BO84:BO115" si="120">SUMIFS($BL:$BL,$N:$N,$N84,$Q:$Q,1,$AL:$AL,$BO$18)</f>
        <v>34042623.318762854</v>
      </c>
      <c r="BP84" s="13">
        <f t="shared" ref="BP84:BP115" si="121">SUMIFS($BL:$BL,$N:$N,$N84,$V:$V,BP$18)</f>
        <v>0</v>
      </c>
      <c r="BQ84" s="13">
        <f t="shared" ref="BQ84:BQ115" si="122">SUMIFS($BK:$BK,$N:$N,$N84)</f>
        <v>34042623.318762854</v>
      </c>
      <c r="BR84" s="13">
        <f t="shared" ref="BR84:BR115" si="123">SUMIFS($AY:$AY,$N:$N,$N84)</f>
        <v>17021311.659381427</v>
      </c>
      <c r="BT84" s="13">
        <f t="shared" ref="BT84:BT115" si="124">SUMIFS($BF:$BF,$C:$C,$C84)</f>
        <v>3216495.829690712</v>
      </c>
      <c r="BU84" s="13">
        <f t="shared" ref="BU84:BU115" si="125">SUMIFS($BL:$BL,$C:$C,$C84)</f>
        <v>1608247.914845356</v>
      </c>
      <c r="BV84" s="13">
        <f t="shared" ref="BV84:BV115" si="126">SUMIFS($BK:$BK,$C:$C,$C84)</f>
        <v>1608247.914845356</v>
      </c>
      <c r="BW84" s="13">
        <f t="shared" ref="BW84:BW115" si="127">SUMIFS($AY:$AY,$C:$C,$C84)</f>
        <v>804123.95742267801</v>
      </c>
      <c r="BX84" s="13"/>
      <c r="BY84" s="25">
        <f t="shared" ref="BY84:BY115" si="128">IF($K84="GEO-GSO",$AK84*Proton_Flare_InsLoss,0)*Q84</f>
        <v>0</v>
      </c>
      <c r="BZ84" s="25">
        <f t="shared" ref="BZ84:BZ115" si="129">IF(AND($K84="GEO-GSO",AL84="FUL"),$AK84*Proton_Flare_InsLoss,0)*$Q84</f>
        <v>0</v>
      </c>
      <c r="CA84" s="25">
        <f t="shared" ref="CA84:CA115" si="130">IF(AND($K84="GEO-GSO",AL84="FIID"),$AK84*Proton_Flare_InsLoss,0)*$Q84</f>
        <v>0</v>
      </c>
      <c r="CB84" s="25">
        <f t="shared" ref="CB84:CB115" si="131">IF(AND($K84="GEO-GSO",AL84="FIBL"),$AK84*Proton_Flare_InsLoss,0)*$Q84</f>
        <v>0</v>
      </c>
      <c r="CC84" s="25">
        <f t="shared" ref="CC84:CC115" si="132">IF($K84="GEO-GSO",(AK84*BG84-BJ84)*Proton_Flare_InsLoss,0)*Q84</f>
        <v>0</v>
      </c>
      <c r="CD84" s="384">
        <f t="shared" ref="CD84:CD115" si="133">IF($K84="GEO-GSO",$AK84*Proton_Flare_InsLoss,0)*$Q84*$R84*0.2</f>
        <v>0</v>
      </c>
      <c r="CR84" s="25">
        <f t="shared" ref="CR84:CR115" si="134">IF(OR($K84="GEO-GSO",$K84="MEO"),$AK84*Generic_Defect_Loss,0)*$Q84*$P84</f>
        <v>0</v>
      </c>
      <c r="CS84" s="25">
        <f t="shared" si="104"/>
        <v>0</v>
      </c>
      <c r="CT84" s="25">
        <f t="shared" si="104"/>
        <v>0</v>
      </c>
      <c r="CU84" s="25">
        <f t="shared" ref="CU84:CU115" si="135">IF(AND(OR($K84="GEO-GSO",$K84="MEO"),$AL84="FIBL"),$AK84*Generic_Defect_Loss,0)*$Q84*$P84</f>
        <v>0</v>
      </c>
      <c r="CV84" s="25">
        <f t="shared" ref="CV84:CV115" si="136">IF(OR($K84="GEO-GSO",$K84="MEO"),($AK84*BG84-BJ84)*Generic_Defect_Loss,0)*$Q84*$P84</f>
        <v>0</v>
      </c>
      <c r="CW84" s="25">
        <f t="shared" ref="CW84:CW115" si="137">IF(OR($K84="GEO-GSO",$K84="MEO"),$AK84*Generic_Defect_Loss,0)*$Q84*$P84*$R84*0.2</f>
        <v>0</v>
      </c>
      <c r="CY84" s="25">
        <f t="shared" ref="CY84:CY115" si="138">IF(OR($K84="GEO-GSO",$K84="MEO"),$AK84*Space_Debris_Loss,0)*$Q84*$AE84</f>
        <v>0</v>
      </c>
      <c r="CZ84" s="25">
        <f t="shared" ref="CZ84:CZ115" si="139">IF(AND(OR($K84="GEO-GSO",$K84="MEO"),$AL84=CZ$19),$AK84*Space_Debris_Loss,0)*$Q84*$AE84</f>
        <v>0</v>
      </c>
      <c r="DA84" s="25">
        <f t="shared" si="99"/>
        <v>0</v>
      </c>
      <c r="DB84" s="25">
        <f t="shared" ref="DB84:DB115" si="140">IF(AND(OR($K84="GEO-GSO",$K84="MEO"),$AL84="FIBL"),$AK84*Space_Debris_Loss,0)*$Q84*$AE84</f>
        <v>0</v>
      </c>
      <c r="DC84" s="25">
        <f t="shared" ref="DC84:DC115" si="141">IF(OR($K84="GEO-GSO",$K84="MEO"),($AK84*BG84-BJ84)*Space_Debris_Loss,0)*$Q84*$AE84</f>
        <v>0</v>
      </c>
      <c r="DD84" s="25">
        <f t="shared" ref="DD84:DD115" si="142">IF(OR($K84="GEO-GSO",$K84="MEO"),$AK84*1,0)*$Q84*$AE84*$R84*0.2</f>
        <v>0</v>
      </c>
    </row>
    <row r="85" spans="1:108" x14ac:dyDescent="0.35">
      <c r="A85" s="282" t="str">
        <f t="shared" ref="A85:A147" si="143">B85&amp;"_"&amp;C85</f>
        <v>341568_473583</v>
      </c>
      <c r="B85" s="303">
        <v>341568</v>
      </c>
      <c r="C85" s="303">
        <v>473583</v>
      </c>
      <c r="D85" s="319" t="str">
        <f>IFERROR(MATCH(C85,'[4]Custom Earning Pattern Not Popu'!$B$5:$B$428,0),"NA")</f>
        <v>NA</v>
      </c>
      <c r="E85" s="303" t="s">
        <v>228</v>
      </c>
      <c r="F85" s="303">
        <v>9</v>
      </c>
      <c r="G85" s="303">
        <v>12486</v>
      </c>
      <c r="H85" s="306">
        <v>45414</v>
      </c>
      <c r="I85" s="306">
        <v>45885</v>
      </c>
      <c r="J85" s="306">
        <v>46144</v>
      </c>
      <c r="K85" s="303" t="s">
        <v>16</v>
      </c>
      <c r="L85" s="306">
        <v>45885</v>
      </c>
      <c r="M85" s="306">
        <v>46144</v>
      </c>
      <c r="N85" s="303" t="s">
        <v>467</v>
      </c>
      <c r="O85" s="303" t="s">
        <v>467</v>
      </c>
      <c r="P85" s="148">
        <f t="shared" ref="P85:P147" si="144">IFERROR(INDEX($P$10:$P$14,MATCH(DATEDIF($AC$15,M85,"M"),$O$10:$O$14,1)),0)</f>
        <v>0.2</v>
      </c>
      <c r="Q85" s="282">
        <v>1</v>
      </c>
      <c r="R85" s="282">
        <v>0</v>
      </c>
      <c r="S85" s="282" t="str">
        <f t="shared" si="52"/>
        <v>In-Orbit</v>
      </c>
      <c r="T85" s="282" t="s">
        <v>13</v>
      </c>
      <c r="U85" s="303" t="s">
        <v>375</v>
      </c>
      <c r="V85" s="303" t="s">
        <v>29</v>
      </c>
      <c r="W85" s="303" t="s">
        <v>78</v>
      </c>
      <c r="X85" s="351" t="s">
        <v>304</v>
      </c>
      <c r="Y85" s="303" t="s">
        <v>334</v>
      </c>
      <c r="Z85" s="303" t="s">
        <v>338</v>
      </c>
      <c r="AA85" s="308">
        <v>4020619.7871133899</v>
      </c>
      <c r="AC85" s="289">
        <f t="shared" ref="AC85:AC147" si="145">IF(IF(K85="LEO",ROUNDUP(((M85-$AC$15)/30.5),0)*Q85,0)&lt;0,0,IF(K85="LEO",ROUNDUP(((M85-$AC$15)/30.5),0)*Q85,0))</f>
        <v>2</v>
      </c>
      <c r="AD85" s="88" cm="1">
        <f t="array" ref="AD85">IF(AC85=0,0,INDEX(Summary!$S$4:$S$7,MATCH(AC85,Summary!$R$4:$R$7)+1))</f>
        <v>0.4</v>
      </c>
      <c r="AE85" s="88">
        <f>IFERROR(INDEX(Summary!$Y$4:$Y$6,MATCH('Input Data'!K85,Summary!$U$4:$U$6,0)),0)</f>
        <v>0.4</v>
      </c>
      <c r="AF85" s="88" t="b">
        <f t="shared" si="113"/>
        <v>1</v>
      </c>
      <c r="AG85" s="89">
        <f>IF(AF85,INDEX('IG Equity Share'!$B:$B,MATCH(YEAR(I85),'IG Equity Share'!$A:$A,0)),0)</f>
        <v>7.4999999999999997E-2</v>
      </c>
      <c r="AH85" s="383">
        <f>AJ85*AG85*_xlfn.XLOOKUP(I85,'S3123 Consortium Share'!$A$3:$A$5,'S3123 Consortium Share'!$F$3:$F$5,,-1)</f>
        <v>125644.36834729342</v>
      </c>
      <c r="AI85" s="14">
        <v>1</v>
      </c>
      <c r="AJ85" s="13">
        <f t="shared" si="114"/>
        <v>4020619.7871133899</v>
      </c>
      <c r="AK85" s="13">
        <f t="shared" si="115"/>
        <v>4020619.7871133899</v>
      </c>
      <c r="AL85" s="13" t="str">
        <f t="shared" si="116"/>
        <v>FUL</v>
      </c>
      <c r="AM85" s="52">
        <f t="shared" si="117"/>
        <v>2025</v>
      </c>
      <c r="AN85" s="4">
        <f>INDEX('[2]Input Data'!$AH:$AH,MATCH(A85,'[2]Input Data'!$A:$A,0),1)-AH85</f>
        <v>0</v>
      </c>
      <c r="AO85" s="13">
        <f t="shared" si="103"/>
        <v>0</v>
      </c>
      <c r="AP85" s="13">
        <f t="shared" si="103"/>
        <v>0</v>
      </c>
      <c r="AQ85" s="13">
        <f t="shared" si="103"/>
        <v>0</v>
      </c>
      <c r="AR85" s="13">
        <f t="shared" si="103"/>
        <v>0</v>
      </c>
      <c r="AS85" s="13">
        <f t="shared" si="103"/>
        <v>0</v>
      </c>
      <c r="AT85" s="13">
        <f t="shared" si="103"/>
        <v>0</v>
      </c>
      <c r="AU85" s="13">
        <f t="shared" si="103"/>
        <v>804123.95742267801</v>
      </c>
      <c r="AV85" s="13">
        <f t="shared" ref="AV85:AV116" si="146">+IF(AND($I85&lt;=AV$8,$I85&gt;=AV$7),$AK85*AV$11,0)</f>
        <v>0</v>
      </c>
      <c r="AW85" s="13"/>
      <c r="AX85" s="13"/>
      <c r="AY85" s="13">
        <f t="shared" ref="AY85:AY148" si="147">SUM(AO85:AX85)</f>
        <v>804123.95742267801</v>
      </c>
      <c r="AZ85" s="13">
        <f t="shared" si="105"/>
        <v>0</v>
      </c>
      <c r="BA85" s="74"/>
      <c r="BB85" s="25">
        <f t="shared" si="106"/>
        <v>3216495.829690712</v>
      </c>
      <c r="BC85" s="13">
        <f t="shared" si="107"/>
        <v>0</v>
      </c>
      <c r="BD85" s="13" t="b">
        <f>AND(AF85,NOT(ISNUMBER(MATCH(G85,Table1[Excluded Spacecraft ID],0))))</f>
        <v>1</v>
      </c>
      <c r="BE85" s="13">
        <f>BD85*AK85*_xlfn.XLOOKUP(I85,Table2[Date From],Table2[Cession],"Error",-1)*_xlfn.XLOOKUP(I85,'S3123 Consortium Share'!$A$3:$A$5,'S3123 Consortium Share'!$F$3:$F$5,,-1)</f>
        <v>335051.64892611583</v>
      </c>
      <c r="BF85" s="13">
        <f t="shared" si="108"/>
        <v>3216495.829690712</v>
      </c>
      <c r="BG85" s="89" cm="1">
        <f t="array" ref="BG85">IF(V85="FIBL",0,INDEX('IGR QS'!$A$1:$D$570,MATCH('Input Data'!V85&amp;'Input Data'!W85&amp;'Input Data'!AM85,'IGR QS'!A:A&amp;'IGR QS'!B:B&amp;'IGR QS'!C:C,0),4))</f>
        <v>0.5</v>
      </c>
      <c r="BH85" s="13">
        <f t="shared" si="109"/>
        <v>1608247.914845356</v>
      </c>
      <c r="BI85" s="13">
        <f t="shared" si="110"/>
        <v>1608247.914845356</v>
      </c>
      <c r="BJ85" s="13">
        <f t="shared" si="118"/>
        <v>0</v>
      </c>
      <c r="BK85" s="13">
        <f t="shared" si="111"/>
        <v>1608247.914845356</v>
      </c>
      <c r="BL85" s="13">
        <f t="shared" si="112"/>
        <v>1608247.914845356</v>
      </c>
      <c r="BM85" s="21"/>
      <c r="BN85" s="13">
        <f t="shared" si="119"/>
        <v>34042623.318762854</v>
      </c>
      <c r="BO85" s="13">
        <f t="shared" si="120"/>
        <v>34042623.318762854</v>
      </c>
      <c r="BP85" s="13">
        <f t="shared" si="121"/>
        <v>0</v>
      </c>
      <c r="BQ85" s="13">
        <f t="shared" si="122"/>
        <v>34042623.318762854</v>
      </c>
      <c r="BR85" s="13">
        <f t="shared" si="123"/>
        <v>17021311.659381427</v>
      </c>
      <c r="BT85" s="13">
        <f t="shared" si="124"/>
        <v>3216495.829690712</v>
      </c>
      <c r="BU85" s="13">
        <f t="shared" si="125"/>
        <v>1608247.914845356</v>
      </c>
      <c r="BV85" s="13">
        <f t="shared" si="126"/>
        <v>1608247.914845356</v>
      </c>
      <c r="BW85" s="13">
        <f t="shared" si="127"/>
        <v>804123.95742267801</v>
      </c>
      <c r="BX85" s="13"/>
      <c r="BY85" s="25">
        <f t="shared" si="128"/>
        <v>0</v>
      </c>
      <c r="BZ85" s="25">
        <f t="shared" si="129"/>
        <v>0</v>
      </c>
      <c r="CA85" s="25">
        <f t="shared" si="130"/>
        <v>0</v>
      </c>
      <c r="CB85" s="25">
        <f t="shared" si="131"/>
        <v>0</v>
      </c>
      <c r="CC85" s="25">
        <f t="shared" si="132"/>
        <v>0</v>
      </c>
      <c r="CD85" s="384">
        <f t="shared" si="133"/>
        <v>0</v>
      </c>
      <c r="CR85" s="25">
        <f t="shared" si="134"/>
        <v>0</v>
      </c>
      <c r="CS85" s="25">
        <f t="shared" si="104"/>
        <v>0</v>
      </c>
      <c r="CT85" s="25">
        <f t="shared" si="104"/>
        <v>0</v>
      </c>
      <c r="CU85" s="25">
        <f t="shared" si="135"/>
        <v>0</v>
      </c>
      <c r="CV85" s="25">
        <f t="shared" si="136"/>
        <v>0</v>
      </c>
      <c r="CW85" s="25">
        <f t="shared" si="137"/>
        <v>0</v>
      </c>
      <c r="CY85" s="25">
        <f t="shared" si="138"/>
        <v>0</v>
      </c>
      <c r="CZ85" s="25">
        <f t="shared" si="139"/>
        <v>0</v>
      </c>
      <c r="DA85" s="25">
        <f t="shared" si="99"/>
        <v>0</v>
      </c>
      <c r="DB85" s="25">
        <f t="shared" si="140"/>
        <v>0</v>
      </c>
      <c r="DC85" s="25">
        <f t="shared" si="141"/>
        <v>0</v>
      </c>
      <c r="DD85" s="25">
        <f t="shared" si="142"/>
        <v>0</v>
      </c>
    </row>
    <row r="86" spans="1:108" x14ac:dyDescent="0.35">
      <c r="A86" s="282" t="str">
        <f t="shared" si="143"/>
        <v>341568_473584</v>
      </c>
      <c r="B86" s="303">
        <v>341568</v>
      </c>
      <c r="C86" s="303">
        <v>473584</v>
      </c>
      <c r="D86" s="319" t="str">
        <f>IFERROR(MATCH(C86,'[4]Custom Earning Pattern Not Popu'!$B$5:$B$428,0),"NA")</f>
        <v>NA</v>
      </c>
      <c r="E86" s="303" t="s">
        <v>228</v>
      </c>
      <c r="F86" s="303">
        <v>12</v>
      </c>
      <c r="G86" s="303">
        <v>12485</v>
      </c>
      <c r="H86" s="306">
        <v>45414</v>
      </c>
      <c r="I86" s="306">
        <v>45780</v>
      </c>
      <c r="J86" s="306">
        <v>46144</v>
      </c>
      <c r="K86" s="303" t="s">
        <v>16</v>
      </c>
      <c r="L86" s="306">
        <v>45780</v>
      </c>
      <c r="M86" s="306">
        <v>46144</v>
      </c>
      <c r="N86" s="303" t="s">
        <v>467</v>
      </c>
      <c r="O86" s="303" t="s">
        <v>467</v>
      </c>
      <c r="P86" s="148">
        <f t="shared" si="144"/>
        <v>0.2</v>
      </c>
      <c r="Q86" s="282">
        <v>1</v>
      </c>
      <c r="R86" s="282">
        <v>0</v>
      </c>
      <c r="S86" s="282" t="str">
        <f t="shared" ref="S86:S148" si="148">E86</f>
        <v>In-Orbit</v>
      </c>
      <c r="T86" s="282" t="s">
        <v>13</v>
      </c>
      <c r="U86" s="303" t="s">
        <v>375</v>
      </c>
      <c r="V86" s="303" t="s">
        <v>29</v>
      </c>
      <c r="W86" s="303" t="s">
        <v>78</v>
      </c>
      <c r="X86" s="303" t="s">
        <v>302</v>
      </c>
      <c r="Y86" s="303" t="s">
        <v>334</v>
      </c>
      <c r="Z86" s="303" t="s">
        <v>338</v>
      </c>
      <c r="AA86" s="308">
        <v>4020619.7871133899</v>
      </c>
      <c r="AC86" s="289">
        <f t="shared" si="145"/>
        <v>2</v>
      </c>
      <c r="AD86" s="88" cm="1">
        <f t="array" ref="AD86">IF(AC86=0,0,INDEX(Summary!$S$4:$S$7,MATCH(AC86,Summary!$R$4:$R$7)+1))</f>
        <v>0.4</v>
      </c>
      <c r="AE86" s="88">
        <f>IFERROR(INDEX(Summary!$Y$4:$Y$6,MATCH('Input Data'!K86,Summary!$U$4:$U$6,0)),0)</f>
        <v>0.4</v>
      </c>
      <c r="AF86" s="88" t="b">
        <f t="shared" si="113"/>
        <v>1</v>
      </c>
      <c r="AG86" s="89">
        <f>IF(AF86,INDEX('IG Equity Share'!$B:$B,MATCH(YEAR(I86),'IG Equity Share'!$A:$A,0)),0)</f>
        <v>7.4999999999999997E-2</v>
      </c>
      <c r="AH86" s="383">
        <f>AJ86*AG86*_xlfn.XLOOKUP(I86,'S3123 Consortium Share'!$A$3:$A$5,'S3123 Consortium Share'!$F$3:$F$5,,-1)</f>
        <v>125644.36834729342</v>
      </c>
      <c r="AI86" s="14">
        <v>1</v>
      </c>
      <c r="AJ86" s="13">
        <f t="shared" si="114"/>
        <v>4020619.7871133899</v>
      </c>
      <c r="AK86" s="13">
        <f t="shared" si="115"/>
        <v>4020619.7871133899</v>
      </c>
      <c r="AL86" s="13" t="str">
        <f t="shared" si="116"/>
        <v>FUL</v>
      </c>
      <c r="AM86" s="52">
        <f t="shared" si="117"/>
        <v>2025</v>
      </c>
      <c r="AN86" s="4">
        <f>INDEX('[2]Input Data'!$AH:$AH,MATCH(A86,'[2]Input Data'!$A:$A,0),1)-AH86</f>
        <v>0</v>
      </c>
      <c r="AO86" s="13">
        <f t="shared" si="103"/>
        <v>0</v>
      </c>
      <c r="AP86" s="13">
        <f t="shared" si="103"/>
        <v>0</v>
      </c>
      <c r="AQ86" s="13">
        <f t="shared" si="103"/>
        <v>0</v>
      </c>
      <c r="AR86" s="13">
        <f t="shared" si="103"/>
        <v>0</v>
      </c>
      <c r="AS86" s="13">
        <f t="shared" si="103"/>
        <v>0</v>
      </c>
      <c r="AT86" s="13">
        <f t="shared" si="103"/>
        <v>0</v>
      </c>
      <c r="AU86" s="13">
        <f t="shared" si="103"/>
        <v>804123.95742267801</v>
      </c>
      <c r="AV86" s="13">
        <f t="shared" si="146"/>
        <v>0</v>
      </c>
      <c r="AW86" s="13"/>
      <c r="AX86" s="13"/>
      <c r="AY86" s="13">
        <f t="shared" si="147"/>
        <v>804123.95742267801</v>
      </c>
      <c r="AZ86" s="13">
        <f t="shared" si="105"/>
        <v>0</v>
      </c>
      <c r="BA86" s="74"/>
      <c r="BB86" s="25">
        <f t="shared" si="106"/>
        <v>3216495.829690712</v>
      </c>
      <c r="BC86" s="13">
        <f t="shared" si="107"/>
        <v>0</v>
      </c>
      <c r="BD86" s="13" t="b">
        <f>AND(AF86,NOT(ISNUMBER(MATCH(G86,Table1[Excluded Spacecraft ID],0))))</f>
        <v>1</v>
      </c>
      <c r="BE86" s="13">
        <f>BD86*AK86*_xlfn.XLOOKUP(I86,Table2[Date From],Table2[Cession],"Error",-1)*_xlfn.XLOOKUP(I86,'S3123 Consortium Share'!$A$3:$A$5,'S3123 Consortium Share'!$F$3:$F$5,,-1)</f>
        <v>335051.64892611583</v>
      </c>
      <c r="BF86" s="13">
        <f t="shared" si="108"/>
        <v>3216495.829690712</v>
      </c>
      <c r="BG86" s="89" cm="1">
        <f t="array" ref="BG86">IF(V86="FIBL",0,INDEX('IGR QS'!$A$1:$D$570,MATCH('Input Data'!V86&amp;'Input Data'!W86&amp;'Input Data'!AM86,'IGR QS'!A:A&amp;'IGR QS'!B:B&amp;'IGR QS'!C:C,0),4))</f>
        <v>0.5</v>
      </c>
      <c r="BH86" s="13">
        <f t="shared" si="109"/>
        <v>1608247.914845356</v>
      </c>
      <c r="BI86" s="13">
        <f t="shared" si="110"/>
        <v>1608247.914845356</v>
      </c>
      <c r="BJ86" s="13">
        <f t="shared" si="118"/>
        <v>0</v>
      </c>
      <c r="BK86" s="13">
        <f t="shared" si="111"/>
        <v>1608247.914845356</v>
      </c>
      <c r="BL86" s="13">
        <f t="shared" si="112"/>
        <v>1608247.914845356</v>
      </c>
      <c r="BM86" s="21"/>
      <c r="BN86" s="13">
        <f t="shared" si="119"/>
        <v>34042623.318762854</v>
      </c>
      <c r="BO86" s="13">
        <f t="shared" si="120"/>
        <v>34042623.318762854</v>
      </c>
      <c r="BP86" s="13">
        <f t="shared" si="121"/>
        <v>0</v>
      </c>
      <c r="BQ86" s="13">
        <f t="shared" si="122"/>
        <v>34042623.318762854</v>
      </c>
      <c r="BR86" s="13">
        <f t="shared" si="123"/>
        <v>17021311.659381427</v>
      </c>
      <c r="BT86" s="13">
        <f t="shared" si="124"/>
        <v>3216495.829690712</v>
      </c>
      <c r="BU86" s="13">
        <f t="shared" si="125"/>
        <v>1608247.914845356</v>
      </c>
      <c r="BV86" s="13">
        <f t="shared" si="126"/>
        <v>1608247.914845356</v>
      </c>
      <c r="BW86" s="13">
        <f t="shared" si="127"/>
        <v>804123.95742267801</v>
      </c>
      <c r="BX86" s="13"/>
      <c r="BY86" s="25">
        <f t="shared" si="128"/>
        <v>0</v>
      </c>
      <c r="BZ86" s="25">
        <f t="shared" si="129"/>
        <v>0</v>
      </c>
      <c r="CA86" s="25">
        <f t="shared" si="130"/>
        <v>0</v>
      </c>
      <c r="CB86" s="25">
        <f t="shared" si="131"/>
        <v>0</v>
      </c>
      <c r="CC86" s="25">
        <f t="shared" si="132"/>
        <v>0</v>
      </c>
      <c r="CD86" s="384">
        <f t="shared" si="133"/>
        <v>0</v>
      </c>
      <c r="CR86" s="25">
        <f t="shared" si="134"/>
        <v>0</v>
      </c>
      <c r="CS86" s="25">
        <f t="shared" si="104"/>
        <v>0</v>
      </c>
      <c r="CT86" s="25">
        <f t="shared" si="104"/>
        <v>0</v>
      </c>
      <c r="CU86" s="25">
        <f t="shared" si="135"/>
        <v>0</v>
      </c>
      <c r="CV86" s="25">
        <f t="shared" si="136"/>
        <v>0</v>
      </c>
      <c r="CW86" s="25">
        <f t="shared" si="137"/>
        <v>0</v>
      </c>
      <c r="CY86" s="25">
        <f t="shared" si="138"/>
        <v>0</v>
      </c>
      <c r="CZ86" s="25">
        <f t="shared" si="139"/>
        <v>0</v>
      </c>
      <c r="DA86" s="25">
        <f t="shared" si="99"/>
        <v>0</v>
      </c>
      <c r="DB86" s="25">
        <f t="shared" si="140"/>
        <v>0</v>
      </c>
      <c r="DC86" s="25">
        <f t="shared" si="141"/>
        <v>0</v>
      </c>
      <c r="DD86" s="25">
        <f t="shared" si="142"/>
        <v>0</v>
      </c>
    </row>
    <row r="87" spans="1:108" x14ac:dyDescent="0.35">
      <c r="A87" s="282" t="str">
        <f t="shared" si="143"/>
        <v>350998_477970</v>
      </c>
      <c r="B87" s="303">
        <v>350998</v>
      </c>
      <c r="C87" s="303">
        <v>477970</v>
      </c>
      <c r="D87" s="319" t="str">
        <f>IFERROR(MATCH(C87,'[4]Custom Earning Pattern Not Popu'!$B$5:$B$428,0),"NA")</f>
        <v>NA</v>
      </c>
      <c r="E87" s="303" t="s">
        <v>228</v>
      </c>
      <c r="F87" s="303">
        <v>12</v>
      </c>
      <c r="G87" s="303">
        <v>13874</v>
      </c>
      <c r="H87" s="306">
        <v>45516</v>
      </c>
      <c r="I87" s="306">
        <v>45881</v>
      </c>
      <c r="J87" s="306">
        <v>46245</v>
      </c>
      <c r="K87" s="309" t="s">
        <v>113</v>
      </c>
      <c r="L87" s="306">
        <v>45881</v>
      </c>
      <c r="M87" s="306">
        <v>46245</v>
      </c>
      <c r="N87" s="303" t="s">
        <v>413</v>
      </c>
      <c r="O87" s="303" t="s">
        <v>413</v>
      </c>
      <c r="P87" s="148">
        <f t="shared" si="144"/>
        <v>0.2</v>
      </c>
      <c r="Q87" s="282">
        <v>1</v>
      </c>
      <c r="R87" s="282">
        <v>0</v>
      </c>
      <c r="S87" s="282" t="str">
        <f t="shared" si="148"/>
        <v>In-Orbit</v>
      </c>
      <c r="T87" s="282" t="s">
        <v>13</v>
      </c>
      <c r="U87" s="303" t="s">
        <v>416</v>
      </c>
      <c r="V87" s="303" t="s">
        <v>31</v>
      </c>
      <c r="W87" s="303" t="s">
        <v>78</v>
      </c>
      <c r="X87" s="303" t="s">
        <v>417</v>
      </c>
      <c r="Y87" s="303" t="s">
        <v>333</v>
      </c>
      <c r="Z87" s="303" t="s">
        <v>338</v>
      </c>
      <c r="AA87" s="308">
        <v>3092820.6134019899</v>
      </c>
      <c r="AC87" s="289">
        <f t="shared" si="145"/>
        <v>0</v>
      </c>
      <c r="AD87" s="88" cm="1">
        <f t="array" ref="AD87">IF(AC87=0,0,INDEX(Summary!$S$4:$S$7,MATCH(AC87,Summary!$R$4:$R$7)+1))</f>
        <v>0</v>
      </c>
      <c r="AE87" s="88">
        <f>IFERROR(INDEX(Summary!$Y$4:$Y$6,MATCH('Input Data'!K87,Summary!$U$4:$U$6,0)),0)</f>
        <v>0.05</v>
      </c>
      <c r="AF87" s="88" t="b">
        <f t="shared" si="113"/>
        <v>1</v>
      </c>
      <c r="AG87" s="89">
        <f>IF(AF87,INDEX('IG Equity Share'!$B:$B,MATCH(YEAR(I87),'IG Equity Share'!$A:$A,0)),0)</f>
        <v>7.4999999999999997E-2</v>
      </c>
      <c r="AH87" s="383">
        <f>AJ87*AG87*_xlfn.XLOOKUP(I87,'S3123 Consortium Share'!$A$3:$A$5,'S3123 Consortium Share'!$F$3:$F$5,,-1)</f>
        <v>96650.644168812185</v>
      </c>
      <c r="AI87" s="14">
        <v>1</v>
      </c>
      <c r="AJ87" s="13">
        <f t="shared" si="114"/>
        <v>3092820.6134019899</v>
      </c>
      <c r="AK87" s="13">
        <f t="shared" si="115"/>
        <v>3092820.6134019899</v>
      </c>
      <c r="AL87" s="13" t="str">
        <f t="shared" si="116"/>
        <v>FIID</v>
      </c>
      <c r="AM87" s="52">
        <f t="shared" si="117"/>
        <v>2025</v>
      </c>
      <c r="AN87" s="4"/>
      <c r="AO87" s="13">
        <f t="shared" si="103"/>
        <v>0</v>
      </c>
      <c r="AP87" s="13">
        <f t="shared" si="103"/>
        <v>0</v>
      </c>
      <c r="AQ87" s="13">
        <f t="shared" si="103"/>
        <v>0</v>
      </c>
      <c r="AR87" s="13">
        <f t="shared" si="103"/>
        <v>0</v>
      </c>
      <c r="AS87" s="13">
        <f t="shared" si="103"/>
        <v>0</v>
      </c>
      <c r="AT87" s="13">
        <f t="shared" si="103"/>
        <v>0</v>
      </c>
      <c r="AU87" s="13">
        <f t="shared" si="103"/>
        <v>618564.12268039805</v>
      </c>
      <c r="AV87" s="13">
        <f t="shared" si="146"/>
        <v>0</v>
      </c>
      <c r="AW87" s="13"/>
      <c r="AX87" s="13"/>
      <c r="AY87" s="13">
        <f t="shared" si="147"/>
        <v>618564.12268039805</v>
      </c>
      <c r="AZ87" s="13">
        <f t="shared" si="105"/>
        <v>0</v>
      </c>
      <c r="BA87" s="74"/>
      <c r="BB87" s="25">
        <f t="shared" si="106"/>
        <v>2474256.4907215917</v>
      </c>
      <c r="BC87" s="13">
        <f t="shared" si="107"/>
        <v>0</v>
      </c>
      <c r="BD87" s="13" t="b">
        <f>AND(AF87,NOT(ISNUMBER(MATCH(G87,Table1[Excluded Spacecraft ID],0))))</f>
        <v>1</v>
      </c>
      <c r="BE87" s="13">
        <f>BD87*AK87*_xlfn.XLOOKUP(I87,Table2[Date From],Table2[Cession],"Error",-1)*_xlfn.XLOOKUP(I87,'S3123 Consortium Share'!$A$3:$A$5,'S3123 Consortium Share'!$F$3:$F$5,,-1)</f>
        <v>257735.05111683253</v>
      </c>
      <c r="BF87" s="13">
        <f t="shared" si="108"/>
        <v>2474256.4907215917</v>
      </c>
      <c r="BG87" s="89" cm="1">
        <f t="array" ref="BG87">IF(V87="FIBL",0,INDEX('IGR QS'!$A$1:$D$570,MATCH('Input Data'!V87&amp;'Input Data'!W87&amp;'Input Data'!AM87,'IGR QS'!A:A&amp;'IGR QS'!B:B&amp;'IGR QS'!C:C,0),4))</f>
        <v>0.85</v>
      </c>
      <c r="BH87" s="13">
        <f t="shared" si="109"/>
        <v>2103118.0171133531</v>
      </c>
      <c r="BI87" s="13">
        <f t="shared" si="110"/>
        <v>371138.47360823862</v>
      </c>
      <c r="BJ87" s="13">
        <f t="shared" si="118"/>
        <v>0</v>
      </c>
      <c r="BK87" s="13">
        <f t="shared" si="111"/>
        <v>2103118.0171133531</v>
      </c>
      <c r="BL87" s="13">
        <f t="shared" si="112"/>
        <v>371138.47360823862</v>
      </c>
      <c r="BM87" s="21"/>
      <c r="BN87" s="13">
        <f t="shared" si="119"/>
        <v>371138.47360823862</v>
      </c>
      <c r="BO87" s="13">
        <f t="shared" si="120"/>
        <v>0</v>
      </c>
      <c r="BP87" s="13">
        <f t="shared" si="121"/>
        <v>371138.47360823862</v>
      </c>
      <c r="BQ87" s="13">
        <f t="shared" si="122"/>
        <v>2103118.0171133531</v>
      </c>
      <c r="BR87" s="13">
        <f t="shared" si="123"/>
        <v>618564.12268039805</v>
      </c>
      <c r="BT87" s="13">
        <f t="shared" si="124"/>
        <v>2474256.4907215917</v>
      </c>
      <c r="BU87" s="13">
        <f t="shared" si="125"/>
        <v>371138.47360823862</v>
      </c>
      <c r="BV87" s="13">
        <f t="shared" si="126"/>
        <v>2103118.0171133531</v>
      </c>
      <c r="BW87" s="13">
        <f t="shared" si="127"/>
        <v>618564.12268039805</v>
      </c>
      <c r="BX87" s="13"/>
      <c r="BY87" s="25">
        <f t="shared" si="128"/>
        <v>154641.03067009951</v>
      </c>
      <c r="BZ87" s="25">
        <f t="shared" si="129"/>
        <v>0</v>
      </c>
      <c r="CA87" s="25">
        <f t="shared" si="130"/>
        <v>154641.03067009951</v>
      </c>
      <c r="CB87" s="25">
        <f t="shared" si="131"/>
        <v>0</v>
      </c>
      <c r="CC87" s="25">
        <f t="shared" si="132"/>
        <v>131444.87606958457</v>
      </c>
      <c r="CD87" s="384">
        <f t="shared" si="133"/>
        <v>0</v>
      </c>
      <c r="CR87" s="25">
        <f t="shared" si="134"/>
        <v>309282.06134019903</v>
      </c>
      <c r="CS87" s="25">
        <f t="shared" si="104"/>
        <v>0</v>
      </c>
      <c r="CT87" s="25">
        <f t="shared" si="104"/>
        <v>309282.06134019903</v>
      </c>
      <c r="CU87" s="25">
        <f t="shared" si="135"/>
        <v>0</v>
      </c>
      <c r="CV87" s="25">
        <f t="shared" si="136"/>
        <v>262889.75213916914</v>
      </c>
      <c r="CW87" s="25">
        <f t="shared" si="137"/>
        <v>0</v>
      </c>
      <c r="CY87" s="25">
        <f t="shared" si="138"/>
        <v>154641.03067009951</v>
      </c>
      <c r="CZ87" s="25">
        <f t="shared" si="139"/>
        <v>0</v>
      </c>
      <c r="DA87" s="25">
        <f t="shared" si="99"/>
        <v>154641.03067009951</v>
      </c>
      <c r="DB87" s="25">
        <f t="shared" si="140"/>
        <v>0</v>
      </c>
      <c r="DC87" s="25">
        <f t="shared" si="141"/>
        <v>131444.87606958457</v>
      </c>
      <c r="DD87" s="25">
        <f t="shared" si="142"/>
        <v>0</v>
      </c>
    </row>
    <row r="88" spans="1:108" x14ac:dyDescent="0.35">
      <c r="A88" s="282" t="str">
        <f t="shared" si="143"/>
        <v>351333_478633</v>
      </c>
      <c r="B88" s="303">
        <v>351333</v>
      </c>
      <c r="C88" s="371">
        <v>478633</v>
      </c>
      <c r="D88" s="319">
        <f>IFERROR(MATCH(C88,'[4]Custom Earning Pattern Not Popu'!$B$5:$B$428,0),"NA")</f>
        <v>395</v>
      </c>
      <c r="E88" s="303" t="s">
        <v>13</v>
      </c>
      <c r="F88" s="303" t="s">
        <v>13</v>
      </c>
      <c r="G88" s="303" t="s">
        <v>13</v>
      </c>
      <c r="H88" s="306" t="s">
        <v>13</v>
      </c>
      <c r="I88" s="306">
        <v>46023</v>
      </c>
      <c r="J88" s="306">
        <v>47118</v>
      </c>
      <c r="K88" s="303" t="s">
        <v>13</v>
      </c>
      <c r="L88" s="306">
        <v>46023</v>
      </c>
      <c r="M88" s="306">
        <v>47118</v>
      </c>
      <c r="N88" s="303" t="s">
        <v>13</v>
      </c>
      <c r="O88" s="303" t="s">
        <v>13</v>
      </c>
      <c r="P88" s="148">
        <f t="shared" si="144"/>
        <v>0.8</v>
      </c>
      <c r="Q88" s="282">
        <v>1</v>
      </c>
      <c r="R88" s="282">
        <v>0</v>
      </c>
      <c r="S88" s="282" t="str">
        <f t="shared" si="148"/>
        <v>NULL</v>
      </c>
      <c r="T88" s="282" t="s">
        <v>13</v>
      </c>
      <c r="U88" s="303" t="s">
        <v>552</v>
      </c>
      <c r="V88" s="303" t="s">
        <v>29</v>
      </c>
      <c r="W88" s="303" t="s">
        <v>80</v>
      </c>
      <c r="X88" s="303" t="s">
        <v>13</v>
      </c>
      <c r="Y88" s="303" t="s">
        <v>13</v>
      </c>
      <c r="Z88" s="303" t="s">
        <v>13</v>
      </c>
      <c r="AA88" s="334">
        <f>1891947.4884*0</f>
        <v>0</v>
      </c>
      <c r="AC88" s="289">
        <f t="shared" si="145"/>
        <v>0</v>
      </c>
      <c r="AD88" s="88" cm="1">
        <f t="array" ref="AD88">IF(AC88=0,0,INDEX(Summary!$S$4:$S$7,MATCH(AC88,Summary!$R$4:$R$7)+1))</f>
        <v>0</v>
      </c>
      <c r="AE88" s="88">
        <f>IFERROR(INDEX(Summary!$Y$4:$Y$6,MATCH('Input Data'!K88,Summary!$U$4:$U$6,0)),0)</f>
        <v>0</v>
      </c>
      <c r="AF88" s="88" t="b">
        <f t="shared" si="113"/>
        <v>1</v>
      </c>
      <c r="AG88" s="89">
        <f>IF(AF88,INDEX('IG Equity Share'!$B:$B,MATCH(YEAR(I88),'IG Equity Share'!$A:$A,0)),0)</f>
        <v>7.4999999999999997E-2</v>
      </c>
      <c r="AH88" s="383">
        <f>AJ88*AG88*_xlfn.XLOOKUP(I88,'S3123 Consortium Share'!$A$3:$A$5,'S3123 Consortium Share'!$F$3:$F$5,,-1)</f>
        <v>0</v>
      </c>
      <c r="AI88" s="14">
        <v>1</v>
      </c>
      <c r="AJ88" s="13">
        <f t="shared" si="114"/>
        <v>0</v>
      </c>
      <c r="AK88" s="13">
        <f t="shared" si="115"/>
        <v>0</v>
      </c>
      <c r="AL88" s="13" t="str">
        <f t="shared" si="116"/>
        <v>FUL</v>
      </c>
      <c r="AM88" s="52">
        <f t="shared" si="117"/>
        <v>2026</v>
      </c>
      <c r="AN88" s="4" t="e">
        <f>INDEX('[2]Input Data'!$AH:$AH,MATCH(A88,'[2]Input Data'!$A:$A,0),1)-AH88</f>
        <v>#N/A</v>
      </c>
      <c r="AO88" s="13">
        <f t="shared" si="103"/>
        <v>0</v>
      </c>
      <c r="AP88" s="13">
        <f t="shared" si="103"/>
        <v>0</v>
      </c>
      <c r="AQ88" s="13">
        <f t="shared" si="103"/>
        <v>0</v>
      </c>
      <c r="AR88" s="13">
        <f t="shared" si="103"/>
        <v>0</v>
      </c>
      <c r="AS88" s="13">
        <f t="shared" si="103"/>
        <v>0</v>
      </c>
      <c r="AT88" s="13">
        <f t="shared" si="103"/>
        <v>0</v>
      </c>
      <c r="AU88" s="13">
        <f t="shared" si="103"/>
        <v>0</v>
      </c>
      <c r="AV88" s="13">
        <f t="shared" si="146"/>
        <v>0</v>
      </c>
      <c r="AW88" s="13"/>
      <c r="AX88" s="13"/>
      <c r="AY88" s="13">
        <f t="shared" si="147"/>
        <v>0</v>
      </c>
      <c r="AZ88" s="13">
        <f t="shared" si="105"/>
        <v>0</v>
      </c>
      <c r="BA88" s="74"/>
      <c r="BB88" s="25">
        <f t="shared" si="106"/>
        <v>0</v>
      </c>
      <c r="BC88" s="13">
        <f t="shared" si="107"/>
        <v>0</v>
      </c>
      <c r="BD88" s="13" t="b">
        <f>AND(AF88,NOT(ISNUMBER(MATCH(G88,Table1[Excluded Spacecraft ID],0))))</f>
        <v>1</v>
      </c>
      <c r="BE88" s="13">
        <f>BD88*AK88*_xlfn.XLOOKUP(I88,Table2[Date From],Table2[Cession],"Error",-1)*_xlfn.XLOOKUP(I88,'S3123 Consortium Share'!$A$3:$A$5,'S3123 Consortium Share'!$F$3:$F$5,,-1)</f>
        <v>0</v>
      </c>
      <c r="BF88" s="13">
        <f t="shared" si="108"/>
        <v>0</v>
      </c>
      <c r="BG88" s="89" cm="1">
        <f t="array" ref="BG88">IF(V88="FIBL",0,INDEX('IGR QS'!$A$1:$D$570,MATCH('Input Data'!V88&amp;'Input Data'!W88&amp;'Input Data'!AM88,'IGR QS'!A:A&amp;'IGR QS'!B:B&amp;'IGR QS'!C:C,0),4))</f>
        <v>0.5</v>
      </c>
      <c r="BH88" s="13">
        <f t="shared" si="109"/>
        <v>0</v>
      </c>
      <c r="BI88" s="13">
        <f t="shared" si="110"/>
        <v>0</v>
      </c>
      <c r="BJ88" s="13">
        <f t="shared" si="118"/>
        <v>0</v>
      </c>
      <c r="BK88" s="13">
        <f t="shared" si="111"/>
        <v>0</v>
      </c>
      <c r="BL88" s="13">
        <f t="shared" si="112"/>
        <v>0</v>
      </c>
      <c r="BM88" s="21"/>
      <c r="BN88" s="13">
        <f t="shared" si="119"/>
        <v>0</v>
      </c>
      <c r="BO88" s="13">
        <f t="shared" si="120"/>
        <v>0</v>
      </c>
      <c r="BP88" s="13">
        <f t="shared" si="121"/>
        <v>0</v>
      </c>
      <c r="BQ88" s="13">
        <f t="shared" si="122"/>
        <v>0</v>
      </c>
      <c r="BR88" s="13">
        <f t="shared" si="123"/>
        <v>0</v>
      </c>
      <c r="BT88" s="13">
        <f t="shared" si="124"/>
        <v>0</v>
      </c>
      <c r="BU88" s="13">
        <f t="shared" si="125"/>
        <v>0</v>
      </c>
      <c r="BV88" s="13">
        <f t="shared" si="126"/>
        <v>0</v>
      </c>
      <c r="BW88" s="13">
        <f t="shared" si="127"/>
        <v>0</v>
      </c>
      <c r="BX88" s="13"/>
      <c r="BY88" s="25">
        <f t="shared" si="128"/>
        <v>0</v>
      </c>
      <c r="BZ88" s="25">
        <f t="shared" si="129"/>
        <v>0</v>
      </c>
      <c r="CA88" s="25">
        <f t="shared" si="130"/>
        <v>0</v>
      </c>
      <c r="CB88" s="25">
        <f t="shared" si="131"/>
        <v>0</v>
      </c>
      <c r="CC88" s="25">
        <f t="shared" si="132"/>
        <v>0</v>
      </c>
      <c r="CD88" s="384">
        <f t="shared" si="133"/>
        <v>0</v>
      </c>
      <c r="CR88" s="25">
        <f t="shared" si="134"/>
        <v>0</v>
      </c>
      <c r="CS88" s="25">
        <f t="shared" si="104"/>
        <v>0</v>
      </c>
      <c r="CT88" s="25">
        <f t="shared" si="104"/>
        <v>0</v>
      </c>
      <c r="CU88" s="25">
        <f t="shared" si="135"/>
        <v>0</v>
      </c>
      <c r="CV88" s="25">
        <f t="shared" si="136"/>
        <v>0</v>
      </c>
      <c r="CW88" s="25">
        <f t="shared" si="137"/>
        <v>0</v>
      </c>
      <c r="CY88" s="25">
        <f t="shared" si="138"/>
        <v>0</v>
      </c>
      <c r="CZ88" s="25">
        <f t="shared" si="139"/>
        <v>0</v>
      </c>
      <c r="DA88" s="25">
        <f t="shared" si="99"/>
        <v>0</v>
      </c>
      <c r="DB88" s="25">
        <f t="shared" si="140"/>
        <v>0</v>
      </c>
      <c r="DC88" s="25">
        <f t="shared" si="141"/>
        <v>0</v>
      </c>
      <c r="DD88" s="25">
        <f t="shared" si="142"/>
        <v>0</v>
      </c>
    </row>
    <row r="89" spans="1:108" x14ac:dyDescent="0.35">
      <c r="A89" s="282" t="str">
        <f t="shared" si="143"/>
        <v>351875_479568</v>
      </c>
      <c r="B89" s="303">
        <v>351875</v>
      </c>
      <c r="C89" s="303">
        <v>479568</v>
      </c>
      <c r="D89" s="319" t="str">
        <f>IFERROR(MATCH(C89,'[4]Custom Earning Pattern Not Popu'!$B$5:$B$428,0),"NA")</f>
        <v>NA</v>
      </c>
      <c r="E89" s="303" t="s">
        <v>228</v>
      </c>
      <c r="F89" s="303">
        <v>12</v>
      </c>
      <c r="G89" s="303">
        <v>9314</v>
      </c>
      <c r="H89" s="306">
        <v>43683</v>
      </c>
      <c r="I89" s="306">
        <v>45875</v>
      </c>
      <c r="J89" s="306">
        <v>46239</v>
      </c>
      <c r="K89" s="303" t="s">
        <v>113</v>
      </c>
      <c r="L89" s="306">
        <v>45875</v>
      </c>
      <c r="M89" s="306">
        <v>46239</v>
      </c>
      <c r="N89" s="303" t="s">
        <v>521</v>
      </c>
      <c r="O89" s="303" t="s">
        <v>245</v>
      </c>
      <c r="P89" s="148">
        <f t="shared" si="144"/>
        <v>0.2</v>
      </c>
      <c r="Q89" s="282">
        <v>1</v>
      </c>
      <c r="R89" s="282">
        <v>0</v>
      </c>
      <c r="S89" s="282" t="str">
        <f t="shared" si="148"/>
        <v>In-Orbit</v>
      </c>
      <c r="T89" s="282" t="s">
        <v>13</v>
      </c>
      <c r="U89" s="303" t="s">
        <v>418</v>
      </c>
      <c r="V89" s="303" t="s">
        <v>29</v>
      </c>
      <c r="W89" s="303" t="s">
        <v>78</v>
      </c>
      <c r="X89" s="303" t="s">
        <v>419</v>
      </c>
      <c r="Y89" s="303" t="s">
        <v>328</v>
      </c>
      <c r="Z89" s="303" t="s">
        <v>337</v>
      </c>
      <c r="AA89" s="308">
        <v>5257732.5685566999</v>
      </c>
      <c r="AC89" s="289">
        <f t="shared" si="145"/>
        <v>0</v>
      </c>
      <c r="AD89" s="88" cm="1">
        <f t="array" ref="AD89">IF(AC89=0,0,INDEX(Summary!$S$4:$S$7,MATCH(AC89,Summary!$R$4:$R$7)+1))</f>
        <v>0</v>
      </c>
      <c r="AE89" s="88">
        <f>IFERROR(INDEX(Summary!$Y$4:$Y$6,MATCH('Input Data'!K89,Summary!$U$4:$U$6,0)),0)</f>
        <v>0.05</v>
      </c>
      <c r="AF89" s="88" t="b">
        <f t="shared" si="113"/>
        <v>1</v>
      </c>
      <c r="AG89" s="89">
        <f>IF(AF89,INDEX('IG Equity Share'!$B:$B,MATCH(YEAR(I89),'IG Equity Share'!$A:$A,0)),0)</f>
        <v>7.4999999999999997E-2</v>
      </c>
      <c r="AH89" s="383">
        <f>AJ89*AG89*_xlfn.XLOOKUP(I89,'S3123 Consortium Share'!$A$3:$A$5,'S3123 Consortium Share'!$F$3:$F$5,,-1)</f>
        <v>164304.14276739687</v>
      </c>
      <c r="AI89" s="14">
        <v>1</v>
      </c>
      <c r="AJ89" s="13">
        <f t="shared" si="114"/>
        <v>5257732.5685566999</v>
      </c>
      <c r="AK89" s="13">
        <f t="shared" si="115"/>
        <v>5257732.5685566999</v>
      </c>
      <c r="AL89" s="13" t="str">
        <f t="shared" si="116"/>
        <v>FUL</v>
      </c>
      <c r="AM89" s="52">
        <f t="shared" si="117"/>
        <v>2025</v>
      </c>
      <c r="AN89" s="4"/>
      <c r="AO89" s="13">
        <f t="shared" si="103"/>
        <v>0</v>
      </c>
      <c r="AP89" s="13">
        <f t="shared" si="103"/>
        <v>0</v>
      </c>
      <c r="AQ89" s="13">
        <f t="shared" si="103"/>
        <v>0</v>
      </c>
      <c r="AR89" s="13">
        <f t="shared" si="103"/>
        <v>0</v>
      </c>
      <c r="AS89" s="13">
        <f t="shared" si="103"/>
        <v>0</v>
      </c>
      <c r="AT89" s="13">
        <f t="shared" si="103"/>
        <v>0</v>
      </c>
      <c r="AU89" s="13">
        <f t="shared" si="103"/>
        <v>1051546.51371134</v>
      </c>
      <c r="AV89" s="13">
        <f t="shared" si="146"/>
        <v>0</v>
      </c>
      <c r="AW89" s="13"/>
      <c r="AX89" s="13"/>
      <c r="AY89" s="13">
        <f t="shared" si="147"/>
        <v>1051546.51371134</v>
      </c>
      <c r="AZ89" s="13">
        <f t="shared" si="105"/>
        <v>0</v>
      </c>
      <c r="BA89" s="74"/>
      <c r="BB89" s="25">
        <f t="shared" si="106"/>
        <v>4206186.0548453601</v>
      </c>
      <c r="BC89" s="13">
        <f t="shared" si="107"/>
        <v>0</v>
      </c>
      <c r="BD89" s="13" t="b">
        <f>AND(AF89,NOT(ISNUMBER(MATCH(G89,Table1[Excluded Spacecraft ID],0))))</f>
        <v>1</v>
      </c>
      <c r="BE89" s="13">
        <f>BD89*AK89*_xlfn.XLOOKUP(I89,Table2[Date From],Table2[Cession],"Error",-1)*_xlfn.XLOOKUP(I89,'S3123 Consortium Share'!$A$3:$A$5,'S3123 Consortium Share'!$F$3:$F$5,,-1)</f>
        <v>438144.38071305834</v>
      </c>
      <c r="BF89" s="13">
        <f t="shared" si="108"/>
        <v>4206186.0548453601</v>
      </c>
      <c r="BG89" s="89" cm="1">
        <f t="array" ref="BG89">IF(V89="FIBL",0,INDEX('IGR QS'!$A$1:$D$570,MATCH('Input Data'!V89&amp;'Input Data'!W89&amp;'Input Data'!AM89,'IGR QS'!A:A&amp;'IGR QS'!B:B&amp;'IGR QS'!C:C,0),4))</f>
        <v>0.5</v>
      </c>
      <c r="BH89" s="13">
        <f t="shared" si="109"/>
        <v>2103093.0274226801</v>
      </c>
      <c r="BI89" s="13">
        <f t="shared" si="110"/>
        <v>2103093.0274226801</v>
      </c>
      <c r="BJ89" s="13">
        <f t="shared" si="118"/>
        <v>0</v>
      </c>
      <c r="BK89" s="13">
        <f t="shared" si="111"/>
        <v>2103093.0274226801</v>
      </c>
      <c r="BL89" s="13">
        <f t="shared" si="112"/>
        <v>2103093.0274226801</v>
      </c>
      <c r="BM89" s="21"/>
      <c r="BN89" s="13">
        <f t="shared" si="119"/>
        <v>2103093.0274226801</v>
      </c>
      <c r="BO89" s="13">
        <f t="shared" si="120"/>
        <v>2103093.0274226801</v>
      </c>
      <c r="BP89" s="13">
        <f t="shared" si="121"/>
        <v>0</v>
      </c>
      <c r="BQ89" s="13">
        <f t="shared" si="122"/>
        <v>2103093.0274226801</v>
      </c>
      <c r="BR89" s="13">
        <f t="shared" si="123"/>
        <v>1051546.51371134</v>
      </c>
      <c r="BT89" s="13">
        <f t="shared" si="124"/>
        <v>4206186.0548453601</v>
      </c>
      <c r="BU89" s="13">
        <f t="shared" si="125"/>
        <v>2103093.0274226801</v>
      </c>
      <c r="BV89" s="13">
        <f t="shared" si="126"/>
        <v>2103093.0274226801</v>
      </c>
      <c r="BW89" s="13">
        <f t="shared" si="127"/>
        <v>1051546.51371134</v>
      </c>
      <c r="BX89" s="13"/>
      <c r="BY89" s="25">
        <f t="shared" si="128"/>
        <v>262886.62842783501</v>
      </c>
      <c r="BZ89" s="25">
        <f t="shared" si="129"/>
        <v>262886.62842783501</v>
      </c>
      <c r="CA89" s="25">
        <f t="shared" si="130"/>
        <v>0</v>
      </c>
      <c r="CB89" s="25">
        <f t="shared" si="131"/>
        <v>0</v>
      </c>
      <c r="CC89" s="25">
        <f t="shared" si="132"/>
        <v>131443.3142139175</v>
      </c>
      <c r="CD89" s="384">
        <f t="shared" si="133"/>
        <v>0</v>
      </c>
      <c r="CR89" s="25">
        <f t="shared" si="134"/>
        <v>525773.25685567001</v>
      </c>
      <c r="CS89" s="25">
        <f t="shared" si="104"/>
        <v>525773.25685567001</v>
      </c>
      <c r="CT89" s="25">
        <f t="shared" si="104"/>
        <v>0</v>
      </c>
      <c r="CU89" s="25">
        <f t="shared" si="135"/>
        <v>0</v>
      </c>
      <c r="CV89" s="25">
        <f t="shared" si="136"/>
        <v>262886.62842783501</v>
      </c>
      <c r="CW89" s="25">
        <f t="shared" si="137"/>
        <v>0</v>
      </c>
      <c r="CY89" s="25">
        <f t="shared" si="138"/>
        <v>262886.62842783501</v>
      </c>
      <c r="CZ89" s="25">
        <f t="shared" si="139"/>
        <v>262886.62842783501</v>
      </c>
      <c r="DA89" s="25">
        <f t="shared" si="99"/>
        <v>0</v>
      </c>
      <c r="DB89" s="25">
        <f t="shared" si="140"/>
        <v>0</v>
      </c>
      <c r="DC89" s="25">
        <f t="shared" si="141"/>
        <v>131443.3142139175</v>
      </c>
      <c r="DD89" s="25">
        <f t="shared" si="142"/>
        <v>0</v>
      </c>
    </row>
    <row r="90" spans="1:108" x14ac:dyDescent="0.35">
      <c r="A90" s="282" t="str">
        <f t="shared" si="143"/>
        <v>356083_484966</v>
      </c>
      <c r="B90" s="303">
        <v>356083</v>
      </c>
      <c r="C90" s="303">
        <v>484966</v>
      </c>
      <c r="D90" s="319" t="str">
        <f>IFERROR(MATCH(C90,'[4]Custom Earning Pattern Not Popu'!$B$5:$B$428,0),"NA")</f>
        <v>NA</v>
      </c>
      <c r="E90" s="303" t="s">
        <v>228</v>
      </c>
      <c r="F90" s="303">
        <v>12</v>
      </c>
      <c r="G90" s="303">
        <v>8604</v>
      </c>
      <c r="H90" s="306">
        <v>40835</v>
      </c>
      <c r="I90" s="306">
        <v>45949</v>
      </c>
      <c r="J90" s="306">
        <v>46313</v>
      </c>
      <c r="K90" s="303" t="s">
        <v>113</v>
      </c>
      <c r="L90" s="306">
        <v>45949</v>
      </c>
      <c r="M90" s="306">
        <v>46313</v>
      </c>
      <c r="N90" s="303" t="s">
        <v>466</v>
      </c>
      <c r="O90" s="303" t="s">
        <v>466</v>
      </c>
      <c r="P90" s="148">
        <f t="shared" si="144"/>
        <v>0.4</v>
      </c>
      <c r="Q90" s="282">
        <v>1</v>
      </c>
      <c r="R90" s="282">
        <v>0</v>
      </c>
      <c r="S90" s="282" t="str">
        <f t="shared" si="148"/>
        <v>In-Orbit</v>
      </c>
      <c r="T90" s="282" t="s">
        <v>13</v>
      </c>
      <c r="U90" s="303" t="s">
        <v>470</v>
      </c>
      <c r="V90" s="303" t="s">
        <v>29</v>
      </c>
      <c r="W90" s="303" t="s">
        <v>78</v>
      </c>
      <c r="X90" s="303" t="s">
        <v>290</v>
      </c>
      <c r="Y90" s="303" t="s">
        <v>325</v>
      </c>
      <c r="Z90" s="303" t="s">
        <v>339</v>
      </c>
      <c r="AA90" s="308">
        <v>5608052.1556016998</v>
      </c>
      <c r="AC90" s="289">
        <f t="shared" si="145"/>
        <v>0</v>
      </c>
      <c r="AD90" s="88" cm="1">
        <f t="array" ref="AD90">IF(AC90=0,0,INDEX(Summary!$S$4:$S$7,MATCH(AC90,Summary!$R$4:$R$7)+1))</f>
        <v>0</v>
      </c>
      <c r="AE90" s="88">
        <f>IFERROR(INDEX(Summary!$Y$4:$Y$6,MATCH('Input Data'!K90,Summary!$U$4:$U$6,0)),0)</f>
        <v>0.05</v>
      </c>
      <c r="AF90" s="88" t="b">
        <f t="shared" si="113"/>
        <v>1</v>
      </c>
      <c r="AG90" s="89">
        <f>IF(AF90,INDEX('IG Equity Share'!$B:$B,MATCH(YEAR(I90),'IG Equity Share'!$A:$A,0)),0)</f>
        <v>7.4999999999999997E-2</v>
      </c>
      <c r="AH90" s="383">
        <f>AJ90*AG90*_xlfn.XLOOKUP(I90,'S3123 Consortium Share'!$A$3:$A$5,'S3123 Consortium Share'!$F$3:$F$5,,-1)</f>
        <v>175251.62986255312</v>
      </c>
      <c r="AI90" s="14">
        <v>1</v>
      </c>
      <c r="AJ90" s="13">
        <f t="shared" si="114"/>
        <v>5608052.1556016998</v>
      </c>
      <c r="AK90" s="13">
        <f t="shared" si="115"/>
        <v>5608052.1556016998</v>
      </c>
      <c r="AL90" s="13" t="str">
        <f t="shared" si="116"/>
        <v>FUL</v>
      </c>
      <c r="AM90" s="52">
        <f t="shared" si="117"/>
        <v>2025</v>
      </c>
      <c r="AN90" s="4">
        <f>INDEX('[2]Input Data'!$AH:$AH,MATCH(A90,'[2]Input Data'!$A:$A,0),1)-AH90</f>
        <v>0</v>
      </c>
      <c r="AO90" s="13">
        <f t="shared" ref="AO90:AU99" si="149">+IF(AND($I90&lt;=AO$8,$I90&gt;=AO$7),$AK90*AO$11,0)</f>
        <v>0</v>
      </c>
      <c r="AP90" s="13">
        <f t="shared" si="149"/>
        <v>0</v>
      </c>
      <c r="AQ90" s="13">
        <f t="shared" si="149"/>
        <v>0</v>
      </c>
      <c r="AR90" s="13">
        <f t="shared" si="149"/>
        <v>0</v>
      </c>
      <c r="AS90" s="13">
        <f t="shared" si="149"/>
        <v>0</v>
      </c>
      <c r="AT90" s="13">
        <f t="shared" si="149"/>
        <v>0</v>
      </c>
      <c r="AU90" s="13">
        <f t="shared" si="149"/>
        <v>1121610.43112034</v>
      </c>
      <c r="AV90" s="13">
        <f t="shared" si="146"/>
        <v>0</v>
      </c>
      <c r="AW90" s="13"/>
      <c r="AX90" s="13"/>
      <c r="AY90" s="13">
        <f t="shared" si="147"/>
        <v>1121610.43112034</v>
      </c>
      <c r="AZ90" s="13">
        <f t="shared" si="105"/>
        <v>0</v>
      </c>
      <c r="BA90" s="74"/>
      <c r="BB90" s="25">
        <f t="shared" si="106"/>
        <v>4486441.7244813601</v>
      </c>
      <c r="BC90" s="13">
        <f t="shared" si="107"/>
        <v>0</v>
      </c>
      <c r="BD90" s="13" t="b">
        <f>AND(AF90,NOT(ISNUMBER(MATCH(G90,Table1[Excluded Spacecraft ID],0))))</f>
        <v>1</v>
      </c>
      <c r="BE90" s="13">
        <f>BD90*AK90*_xlfn.XLOOKUP(I90,Table2[Date From],Table2[Cession],"Error",-1)*_xlfn.XLOOKUP(I90,'S3123 Consortium Share'!$A$3:$A$5,'S3123 Consortium Share'!$F$3:$F$5,,-1)</f>
        <v>467337.67963347503</v>
      </c>
      <c r="BF90" s="13">
        <f t="shared" si="108"/>
        <v>4486441.7244813601</v>
      </c>
      <c r="BG90" s="89" cm="1">
        <f t="array" ref="BG90">IF(V90="FIBL",0,INDEX('IGR QS'!$A$1:$D$570,MATCH('Input Data'!V90&amp;'Input Data'!W90&amp;'Input Data'!AM90,'IGR QS'!A:A&amp;'IGR QS'!B:B&amp;'IGR QS'!C:C,0),4))</f>
        <v>0.5</v>
      </c>
      <c r="BH90" s="13">
        <f t="shared" si="109"/>
        <v>2243220.86224068</v>
      </c>
      <c r="BI90" s="13">
        <f t="shared" si="110"/>
        <v>2243220.86224068</v>
      </c>
      <c r="BJ90" s="13">
        <f t="shared" si="118"/>
        <v>0</v>
      </c>
      <c r="BK90" s="13">
        <f t="shared" si="111"/>
        <v>2243220.86224068</v>
      </c>
      <c r="BL90" s="13">
        <f t="shared" si="112"/>
        <v>2243220.86224068</v>
      </c>
      <c r="BM90" s="21"/>
      <c r="BN90" s="13">
        <f t="shared" si="119"/>
        <v>42320200.903406374</v>
      </c>
      <c r="BO90" s="13">
        <f t="shared" si="120"/>
        <v>39234742.262773834</v>
      </c>
      <c r="BP90" s="13">
        <f t="shared" si="121"/>
        <v>3085458.6406325367</v>
      </c>
      <c r="BQ90" s="13">
        <f t="shared" si="122"/>
        <v>50319014.293024875</v>
      </c>
      <c r="BR90" s="13">
        <f t="shared" si="123"/>
        <v>23159803.799107812</v>
      </c>
      <c r="BT90" s="13">
        <f t="shared" si="124"/>
        <v>4486441.7244813601</v>
      </c>
      <c r="BU90" s="13">
        <f t="shared" si="125"/>
        <v>2243220.86224068</v>
      </c>
      <c r="BV90" s="13">
        <f t="shared" si="126"/>
        <v>2243220.86224068</v>
      </c>
      <c r="BW90" s="13">
        <f t="shared" si="127"/>
        <v>1121610.43112034</v>
      </c>
      <c r="BX90" s="13"/>
      <c r="BY90" s="25">
        <f t="shared" si="128"/>
        <v>280402.607780085</v>
      </c>
      <c r="BZ90" s="25">
        <f t="shared" si="129"/>
        <v>280402.607780085</v>
      </c>
      <c r="CA90" s="25">
        <f t="shared" si="130"/>
        <v>0</v>
      </c>
      <c r="CB90" s="25">
        <f t="shared" si="131"/>
        <v>0</v>
      </c>
      <c r="CC90" s="25">
        <f t="shared" si="132"/>
        <v>140201.3038900425</v>
      </c>
      <c r="CD90" s="384">
        <f t="shared" si="133"/>
        <v>0</v>
      </c>
      <c r="CR90" s="25">
        <f t="shared" si="134"/>
        <v>1121610.43112034</v>
      </c>
      <c r="CS90" s="25">
        <f t="shared" si="104"/>
        <v>1121610.43112034</v>
      </c>
      <c r="CT90" s="25">
        <f t="shared" si="104"/>
        <v>0</v>
      </c>
      <c r="CU90" s="25">
        <f t="shared" si="135"/>
        <v>0</v>
      </c>
      <c r="CV90" s="25">
        <f t="shared" si="136"/>
        <v>560805.21556017001</v>
      </c>
      <c r="CW90" s="25">
        <f t="shared" si="137"/>
        <v>0</v>
      </c>
      <c r="CY90" s="25">
        <f t="shared" si="138"/>
        <v>280402.607780085</v>
      </c>
      <c r="CZ90" s="25">
        <f t="shared" si="139"/>
        <v>280402.607780085</v>
      </c>
      <c r="DA90" s="25">
        <f t="shared" ref="DA90:DA121" si="150">IF(AND(OR($K90="GEO-GSO",$K90="MEO"),$AL90=DA$19),$AK90*Space_Debris_Loss,0)*$Q90*$AE90</f>
        <v>0</v>
      </c>
      <c r="DB90" s="25">
        <f t="shared" si="140"/>
        <v>0</v>
      </c>
      <c r="DC90" s="25">
        <f t="shared" si="141"/>
        <v>140201.3038900425</v>
      </c>
      <c r="DD90" s="25">
        <f t="shared" si="142"/>
        <v>0</v>
      </c>
    </row>
    <row r="91" spans="1:108" x14ac:dyDescent="0.35">
      <c r="A91" s="282" t="str">
        <f t="shared" si="143"/>
        <v>356083_484967</v>
      </c>
      <c r="B91" s="303">
        <v>356083</v>
      </c>
      <c r="C91" s="303">
        <v>484967</v>
      </c>
      <c r="D91" s="319" t="str">
        <f>IFERROR(MATCH(C91,'[4]Custom Earning Pattern Not Popu'!$B$5:$B$428,0),"NA")</f>
        <v>NA</v>
      </c>
      <c r="E91" s="303" t="s">
        <v>228</v>
      </c>
      <c r="F91" s="303">
        <v>12</v>
      </c>
      <c r="G91" s="303">
        <v>8603</v>
      </c>
      <c r="H91" s="306">
        <v>40538</v>
      </c>
      <c r="I91" s="306">
        <v>45949</v>
      </c>
      <c r="J91" s="306">
        <v>46313</v>
      </c>
      <c r="K91" s="303" t="s">
        <v>113</v>
      </c>
      <c r="L91" s="306">
        <v>45949</v>
      </c>
      <c r="M91" s="306">
        <v>46313</v>
      </c>
      <c r="N91" s="303" t="s">
        <v>231</v>
      </c>
      <c r="O91" s="303" t="s">
        <v>231</v>
      </c>
      <c r="P91" s="148">
        <f t="shared" si="144"/>
        <v>0.4</v>
      </c>
      <c r="Q91" s="282">
        <v>1</v>
      </c>
      <c r="R91" s="282">
        <v>0</v>
      </c>
      <c r="S91" s="282" t="str">
        <f t="shared" si="148"/>
        <v>In-Orbit</v>
      </c>
      <c r="T91" s="282" t="s">
        <v>13</v>
      </c>
      <c r="U91" s="303" t="s">
        <v>470</v>
      </c>
      <c r="V91" s="303" t="s">
        <v>29</v>
      </c>
      <c r="W91" s="303" t="s">
        <v>78</v>
      </c>
      <c r="X91" s="303" t="s">
        <v>291</v>
      </c>
      <c r="Y91" s="303" t="s">
        <v>315</v>
      </c>
      <c r="Z91" s="303" t="s">
        <v>339</v>
      </c>
      <c r="AA91" s="308">
        <v>4521747.2089585997</v>
      </c>
      <c r="AC91" s="289">
        <f t="shared" si="145"/>
        <v>0</v>
      </c>
      <c r="AD91" s="88" cm="1">
        <f t="array" ref="AD91">IF(AC91=0,0,INDEX(Summary!$S$4:$S$7,MATCH(AC91,Summary!$R$4:$R$7)+1))</f>
        <v>0</v>
      </c>
      <c r="AE91" s="88">
        <f>IFERROR(INDEX(Summary!$Y$4:$Y$6,MATCH('Input Data'!K91,Summary!$U$4:$U$6,0)),0)</f>
        <v>0.05</v>
      </c>
      <c r="AF91" s="88" t="b">
        <f t="shared" si="113"/>
        <v>1</v>
      </c>
      <c r="AG91" s="89">
        <f>IF(AF91,INDEX('IG Equity Share'!$B:$B,MATCH(YEAR(I91),'IG Equity Share'!$A:$A,0)),0)</f>
        <v>7.4999999999999997E-2</v>
      </c>
      <c r="AH91" s="383">
        <f>AJ91*AG91*_xlfn.XLOOKUP(I91,'S3123 Consortium Share'!$A$3:$A$5,'S3123 Consortium Share'!$F$3:$F$5,,-1)</f>
        <v>141304.60027995624</v>
      </c>
      <c r="AI91" s="14">
        <v>1</v>
      </c>
      <c r="AJ91" s="13">
        <f t="shared" si="114"/>
        <v>4521747.2089585997</v>
      </c>
      <c r="AK91" s="13">
        <f t="shared" si="115"/>
        <v>4521747.2089585997</v>
      </c>
      <c r="AL91" s="13" t="str">
        <f t="shared" si="116"/>
        <v>FUL</v>
      </c>
      <c r="AM91" s="52">
        <f t="shared" si="117"/>
        <v>2025</v>
      </c>
      <c r="AN91" s="4"/>
      <c r="AO91" s="13">
        <f t="shared" si="149"/>
        <v>0</v>
      </c>
      <c r="AP91" s="13">
        <f t="shared" si="149"/>
        <v>0</v>
      </c>
      <c r="AQ91" s="13">
        <f t="shared" si="149"/>
        <v>0</v>
      </c>
      <c r="AR91" s="13">
        <f t="shared" si="149"/>
        <v>0</v>
      </c>
      <c r="AS91" s="13">
        <f t="shared" si="149"/>
        <v>0</v>
      </c>
      <c r="AT91" s="13">
        <f t="shared" si="149"/>
        <v>0</v>
      </c>
      <c r="AU91" s="13">
        <f t="shared" si="149"/>
        <v>904349.44179171999</v>
      </c>
      <c r="AV91" s="13">
        <f t="shared" si="146"/>
        <v>0</v>
      </c>
      <c r="AW91" s="13"/>
      <c r="AX91" s="13"/>
      <c r="AY91" s="13">
        <f t="shared" si="147"/>
        <v>904349.44179171999</v>
      </c>
      <c r="AZ91" s="13">
        <f t="shared" si="105"/>
        <v>0</v>
      </c>
      <c r="BA91" s="74"/>
      <c r="BB91" s="25">
        <f t="shared" si="106"/>
        <v>3617397.76716688</v>
      </c>
      <c r="BC91" s="13">
        <f t="shared" si="107"/>
        <v>0</v>
      </c>
      <c r="BD91" s="13" t="b">
        <f>AND(AF91,NOT(ISNUMBER(MATCH(G91,Table1[Excluded Spacecraft ID],0))))</f>
        <v>1</v>
      </c>
      <c r="BE91" s="13">
        <f>BD91*AK91*_xlfn.XLOOKUP(I91,Table2[Date From],Table2[Cession],"Error",-1)*_xlfn.XLOOKUP(I91,'S3123 Consortium Share'!$A$3:$A$5,'S3123 Consortium Share'!$F$3:$F$5,,-1)</f>
        <v>376812.2674132167</v>
      </c>
      <c r="BF91" s="13">
        <f t="shared" si="108"/>
        <v>3617397.76716688</v>
      </c>
      <c r="BG91" s="89" cm="1">
        <f t="array" ref="BG91">IF(V91="FIBL",0,INDEX('IGR QS'!$A$1:$D$570,MATCH('Input Data'!V91&amp;'Input Data'!W91&amp;'Input Data'!AM91,'IGR QS'!A:A&amp;'IGR QS'!B:B&amp;'IGR QS'!C:C,0),4))</f>
        <v>0.5</v>
      </c>
      <c r="BH91" s="13">
        <f t="shared" si="109"/>
        <v>1808698.88358344</v>
      </c>
      <c r="BI91" s="13">
        <f t="shared" si="110"/>
        <v>1808698.88358344</v>
      </c>
      <c r="BJ91" s="13">
        <f t="shared" si="118"/>
        <v>0</v>
      </c>
      <c r="BK91" s="13">
        <f t="shared" si="111"/>
        <v>1808698.88358344</v>
      </c>
      <c r="BL91" s="13">
        <f t="shared" si="112"/>
        <v>1808698.88358344</v>
      </c>
      <c r="BM91" s="21"/>
      <c r="BN91" s="13">
        <f t="shared" si="119"/>
        <v>17510967.098857567</v>
      </c>
      <c r="BO91" s="13">
        <f t="shared" si="120"/>
        <v>14332947.228239156</v>
      </c>
      <c r="BP91" s="13">
        <f t="shared" si="121"/>
        <v>3178019.8706184095</v>
      </c>
      <c r="BQ91" s="13">
        <f t="shared" si="122"/>
        <v>32341726.495076805</v>
      </c>
      <c r="BR91" s="13">
        <f t="shared" si="123"/>
        <v>12463173.398483593</v>
      </c>
      <c r="BT91" s="13">
        <f t="shared" si="124"/>
        <v>3617397.76716688</v>
      </c>
      <c r="BU91" s="13">
        <f t="shared" si="125"/>
        <v>1808698.88358344</v>
      </c>
      <c r="BV91" s="13">
        <f t="shared" si="126"/>
        <v>1808698.88358344</v>
      </c>
      <c r="BW91" s="13">
        <f t="shared" si="127"/>
        <v>904349.44179171999</v>
      </c>
      <c r="BX91" s="13"/>
      <c r="BY91" s="25">
        <f t="shared" si="128"/>
        <v>226087.36044793</v>
      </c>
      <c r="BZ91" s="25">
        <f t="shared" si="129"/>
        <v>226087.36044793</v>
      </c>
      <c r="CA91" s="25">
        <f t="shared" si="130"/>
        <v>0</v>
      </c>
      <c r="CB91" s="25">
        <f t="shared" si="131"/>
        <v>0</v>
      </c>
      <c r="CC91" s="25">
        <f t="shared" si="132"/>
        <v>113043.680223965</v>
      </c>
      <c r="CD91" s="384">
        <f t="shared" si="133"/>
        <v>0</v>
      </c>
      <c r="CR91" s="25">
        <f t="shared" si="134"/>
        <v>904349.44179171999</v>
      </c>
      <c r="CS91" s="25">
        <f t="shared" si="104"/>
        <v>904349.44179171999</v>
      </c>
      <c r="CT91" s="25">
        <f t="shared" si="104"/>
        <v>0</v>
      </c>
      <c r="CU91" s="25">
        <f t="shared" si="135"/>
        <v>0</v>
      </c>
      <c r="CV91" s="25">
        <f t="shared" si="136"/>
        <v>452174.72089585999</v>
      </c>
      <c r="CW91" s="25">
        <f t="shared" si="137"/>
        <v>0</v>
      </c>
      <c r="CY91" s="25">
        <f t="shared" si="138"/>
        <v>226087.36044793</v>
      </c>
      <c r="CZ91" s="25">
        <f t="shared" si="139"/>
        <v>226087.36044793</v>
      </c>
      <c r="DA91" s="25">
        <f t="shared" si="150"/>
        <v>0</v>
      </c>
      <c r="DB91" s="25">
        <f t="shared" si="140"/>
        <v>0</v>
      </c>
      <c r="DC91" s="25">
        <f t="shared" si="141"/>
        <v>113043.680223965</v>
      </c>
      <c r="DD91" s="25">
        <f t="shared" si="142"/>
        <v>0</v>
      </c>
    </row>
    <row r="92" spans="1:108" x14ac:dyDescent="0.35">
      <c r="A92" s="282" t="str">
        <f t="shared" si="143"/>
        <v>356083_484968</v>
      </c>
      <c r="B92" s="303">
        <v>356083</v>
      </c>
      <c r="C92" s="303">
        <v>484968</v>
      </c>
      <c r="D92" s="319" t="str">
        <f>IFERROR(MATCH(C92,'[4]Custom Earning Pattern Not Popu'!$B$5:$B$428,0),"NA")</f>
        <v>NA</v>
      </c>
      <c r="E92" s="303" t="s">
        <v>228</v>
      </c>
      <c r="F92" s="303">
        <v>12</v>
      </c>
      <c r="G92" s="303">
        <v>9635</v>
      </c>
      <c r="H92" s="306">
        <v>42887</v>
      </c>
      <c r="I92" s="306">
        <v>45949</v>
      </c>
      <c r="J92" s="306">
        <v>46313</v>
      </c>
      <c r="K92" s="303" t="s">
        <v>113</v>
      </c>
      <c r="L92" s="306">
        <v>45949</v>
      </c>
      <c r="M92" s="306">
        <v>46313</v>
      </c>
      <c r="N92" s="303" t="s">
        <v>233</v>
      </c>
      <c r="O92" s="303" t="s">
        <v>233</v>
      </c>
      <c r="P92" s="148">
        <f t="shared" si="144"/>
        <v>0.4</v>
      </c>
      <c r="Q92" s="282">
        <v>1</v>
      </c>
      <c r="R92" s="282">
        <v>0</v>
      </c>
      <c r="S92" s="282" t="str">
        <f t="shared" si="148"/>
        <v>In-Orbit</v>
      </c>
      <c r="T92" s="282" t="s">
        <v>13</v>
      </c>
      <c r="U92" s="303" t="s">
        <v>470</v>
      </c>
      <c r="V92" s="303" t="s">
        <v>29</v>
      </c>
      <c r="W92" s="303" t="s">
        <v>78</v>
      </c>
      <c r="X92" s="303" t="s">
        <v>292</v>
      </c>
      <c r="Y92" s="303" t="s">
        <v>326</v>
      </c>
      <c r="Z92" s="303" t="s">
        <v>337</v>
      </c>
      <c r="AA92" s="308">
        <v>9278349.8814432994</v>
      </c>
      <c r="AC92" s="289">
        <f t="shared" si="145"/>
        <v>0</v>
      </c>
      <c r="AD92" s="88" cm="1">
        <f t="array" ref="AD92">IF(AC92=0,0,INDEX(Summary!$S$4:$S$7,MATCH(AC92,Summary!$R$4:$R$7)+1))</f>
        <v>0</v>
      </c>
      <c r="AE92" s="88">
        <f>IFERROR(INDEX(Summary!$Y$4:$Y$6,MATCH('Input Data'!K92,Summary!$U$4:$U$6,0)),0)</f>
        <v>0.05</v>
      </c>
      <c r="AF92" s="88" t="b">
        <f t="shared" si="113"/>
        <v>1</v>
      </c>
      <c r="AG92" s="89">
        <f>IF(AF92,INDEX('IG Equity Share'!$B:$B,MATCH(YEAR(I92),'IG Equity Share'!$A:$A,0)),0)</f>
        <v>7.4999999999999997E-2</v>
      </c>
      <c r="AH92" s="383">
        <f>AJ92*AG92*_xlfn.XLOOKUP(I92,'S3123 Consortium Share'!$A$3:$A$5,'S3123 Consortium Share'!$F$3:$F$5,,-1)</f>
        <v>289948.4337951031</v>
      </c>
      <c r="AI92" s="14">
        <v>1</v>
      </c>
      <c r="AJ92" s="13">
        <f t="shared" si="114"/>
        <v>9278349.8814432994</v>
      </c>
      <c r="AK92" s="13">
        <f t="shared" si="115"/>
        <v>9278349.8814432994</v>
      </c>
      <c r="AL92" s="13" t="str">
        <f t="shared" si="116"/>
        <v>FUL</v>
      </c>
      <c r="AM92" s="52">
        <f t="shared" si="117"/>
        <v>2025</v>
      </c>
      <c r="AN92" s="4">
        <f>INDEX('[2]Input Data'!$AH:$AH,MATCH(A92,'[2]Input Data'!$A:$A,0),1)-AH92</f>
        <v>0</v>
      </c>
      <c r="AO92" s="13">
        <f t="shared" si="149"/>
        <v>0</v>
      </c>
      <c r="AP92" s="13">
        <f t="shared" si="149"/>
        <v>0</v>
      </c>
      <c r="AQ92" s="13">
        <f t="shared" si="149"/>
        <v>0</v>
      </c>
      <c r="AR92" s="13">
        <f t="shared" si="149"/>
        <v>0</v>
      </c>
      <c r="AS92" s="13">
        <f t="shared" si="149"/>
        <v>0</v>
      </c>
      <c r="AT92" s="13">
        <f t="shared" si="149"/>
        <v>0</v>
      </c>
      <c r="AU92" s="13">
        <f t="shared" si="149"/>
        <v>1855669.97628866</v>
      </c>
      <c r="AV92" s="13">
        <f t="shared" si="146"/>
        <v>0</v>
      </c>
      <c r="AW92" s="13"/>
      <c r="AX92" s="13"/>
      <c r="AY92" s="13">
        <f t="shared" si="147"/>
        <v>1855669.97628866</v>
      </c>
      <c r="AZ92" s="13">
        <f t="shared" si="105"/>
        <v>0</v>
      </c>
      <c r="BA92" s="74"/>
      <c r="BB92" s="25">
        <f t="shared" si="106"/>
        <v>7422679.9051546399</v>
      </c>
      <c r="BC92" s="13">
        <f t="shared" si="107"/>
        <v>0</v>
      </c>
      <c r="BD92" s="13" t="b">
        <f>AND(AF92,NOT(ISNUMBER(MATCH(G92,Table1[Excluded Spacecraft ID],0))))</f>
        <v>1</v>
      </c>
      <c r="BE92" s="13">
        <f>BD92*AK92*_xlfn.XLOOKUP(I92,Table2[Date From],Table2[Cession],"Error",-1)*_xlfn.XLOOKUP(I92,'S3123 Consortium Share'!$A$3:$A$5,'S3123 Consortium Share'!$F$3:$F$5,,-1)</f>
        <v>773195.82345360832</v>
      </c>
      <c r="BF92" s="13">
        <f t="shared" si="108"/>
        <v>7422679.9051546399</v>
      </c>
      <c r="BG92" s="89" cm="1">
        <f t="array" ref="BG92">IF(V92="FIBL",0,INDEX('IGR QS'!$A$1:$D$570,MATCH('Input Data'!V92&amp;'Input Data'!W92&amp;'Input Data'!AM92,'IGR QS'!A:A&amp;'IGR QS'!B:B&amp;'IGR QS'!C:C,0),4))</f>
        <v>0.5</v>
      </c>
      <c r="BH92" s="13">
        <f t="shared" si="109"/>
        <v>3711339.9525773199</v>
      </c>
      <c r="BI92" s="13">
        <f t="shared" si="110"/>
        <v>3711339.9525773199</v>
      </c>
      <c r="BJ92" s="13">
        <f t="shared" si="118"/>
        <v>0</v>
      </c>
      <c r="BK92" s="13">
        <f t="shared" si="111"/>
        <v>3711339.9525773199</v>
      </c>
      <c r="BL92" s="13">
        <f t="shared" si="112"/>
        <v>3711339.9525773199</v>
      </c>
      <c r="BM92" s="21"/>
      <c r="BN92" s="13">
        <f t="shared" si="119"/>
        <v>45548263.152736805</v>
      </c>
      <c r="BO92" s="13">
        <f t="shared" si="120"/>
        <v>44546986.968158349</v>
      </c>
      <c r="BP92" s="13">
        <f t="shared" si="121"/>
        <v>1001276.1845784616</v>
      </c>
      <c r="BQ92" s="13">
        <f t="shared" si="122"/>
        <v>44620885.187436298</v>
      </c>
      <c r="BR92" s="13">
        <f t="shared" si="123"/>
        <v>22542287.085043281</v>
      </c>
      <c r="BT92" s="13">
        <f t="shared" si="124"/>
        <v>7422679.9051546399</v>
      </c>
      <c r="BU92" s="13">
        <f t="shared" si="125"/>
        <v>3711339.9525773199</v>
      </c>
      <c r="BV92" s="13">
        <f t="shared" si="126"/>
        <v>3711339.9525773199</v>
      </c>
      <c r="BW92" s="13">
        <f t="shared" si="127"/>
        <v>1855669.97628866</v>
      </c>
      <c r="BX92" s="13"/>
      <c r="BY92" s="25">
        <f t="shared" si="128"/>
        <v>463917.49407216499</v>
      </c>
      <c r="BZ92" s="25">
        <f t="shared" si="129"/>
        <v>463917.49407216499</v>
      </c>
      <c r="CA92" s="25">
        <f t="shared" si="130"/>
        <v>0</v>
      </c>
      <c r="CB92" s="25">
        <f t="shared" si="131"/>
        <v>0</v>
      </c>
      <c r="CC92" s="25">
        <f t="shared" si="132"/>
        <v>231958.7470360825</v>
      </c>
      <c r="CD92" s="384">
        <f t="shared" si="133"/>
        <v>0</v>
      </c>
      <c r="CR92" s="25">
        <f t="shared" si="134"/>
        <v>1855669.97628866</v>
      </c>
      <c r="CS92" s="25">
        <f t="shared" si="104"/>
        <v>1855669.97628866</v>
      </c>
      <c r="CT92" s="25">
        <f t="shared" si="104"/>
        <v>0</v>
      </c>
      <c r="CU92" s="25">
        <f t="shared" si="135"/>
        <v>0</v>
      </c>
      <c r="CV92" s="25">
        <f t="shared" si="136"/>
        <v>927834.98814432998</v>
      </c>
      <c r="CW92" s="25">
        <f t="shared" si="137"/>
        <v>0</v>
      </c>
      <c r="CY92" s="25">
        <f t="shared" si="138"/>
        <v>463917.49407216499</v>
      </c>
      <c r="CZ92" s="25">
        <f t="shared" si="139"/>
        <v>463917.49407216499</v>
      </c>
      <c r="DA92" s="25">
        <f t="shared" si="150"/>
        <v>0</v>
      </c>
      <c r="DB92" s="25">
        <f t="shared" si="140"/>
        <v>0</v>
      </c>
      <c r="DC92" s="25">
        <f t="shared" si="141"/>
        <v>231958.7470360825</v>
      </c>
      <c r="DD92" s="25">
        <f t="shared" si="142"/>
        <v>0</v>
      </c>
    </row>
    <row r="93" spans="1:108" x14ac:dyDescent="0.35">
      <c r="A93" s="282" t="str">
        <f t="shared" si="143"/>
        <v>356130_485048</v>
      </c>
      <c r="B93" s="303">
        <v>356130</v>
      </c>
      <c r="C93" s="303">
        <v>485048</v>
      </c>
      <c r="D93" s="319" t="str">
        <f>IFERROR(MATCH(C93,'[4]Custom Earning Pattern Not Popu'!$B$5:$B$428,0),"NA")</f>
        <v>NA</v>
      </c>
      <c r="E93" s="303" t="s">
        <v>228</v>
      </c>
      <c r="F93" s="303">
        <v>12</v>
      </c>
      <c r="G93" s="303">
        <v>10403</v>
      </c>
      <c r="H93" s="306">
        <v>43007</v>
      </c>
      <c r="I93" s="306">
        <v>45962</v>
      </c>
      <c r="J93" s="306">
        <v>46326</v>
      </c>
      <c r="K93" s="303" t="s">
        <v>113</v>
      </c>
      <c r="L93" s="306">
        <v>45962</v>
      </c>
      <c r="M93" s="306">
        <v>46326</v>
      </c>
      <c r="N93" s="303" t="s">
        <v>466</v>
      </c>
      <c r="O93" s="303" t="s">
        <v>466</v>
      </c>
      <c r="P93" s="148">
        <f t="shared" si="144"/>
        <v>0.4</v>
      </c>
      <c r="Q93" s="282">
        <v>1</v>
      </c>
      <c r="R93" s="282">
        <v>0</v>
      </c>
      <c r="S93" s="282" t="str">
        <f t="shared" si="148"/>
        <v>In-Orbit</v>
      </c>
      <c r="T93" s="282" t="s">
        <v>13</v>
      </c>
      <c r="U93" s="303" t="s">
        <v>471</v>
      </c>
      <c r="V93" s="303" t="s">
        <v>29</v>
      </c>
      <c r="W93" s="303" t="s">
        <v>78</v>
      </c>
      <c r="X93" s="303" t="s">
        <v>281</v>
      </c>
      <c r="Y93" s="303" t="s">
        <v>325</v>
      </c>
      <c r="Z93" s="303" t="s">
        <v>337</v>
      </c>
      <c r="AA93" s="308">
        <v>2544859.32882442</v>
      </c>
      <c r="AC93" s="289">
        <f t="shared" si="145"/>
        <v>0</v>
      </c>
      <c r="AD93" s="88" cm="1">
        <f t="array" ref="AD93">IF(AC93=0,0,INDEX(Summary!$S$4:$S$7,MATCH(AC93,Summary!$R$4:$R$7)+1))</f>
        <v>0</v>
      </c>
      <c r="AE93" s="88">
        <f>IFERROR(INDEX(Summary!$Y$4:$Y$6,MATCH('Input Data'!K93,Summary!$U$4:$U$6,0)),0)</f>
        <v>0.05</v>
      </c>
      <c r="AF93" s="88" t="b">
        <f t="shared" si="113"/>
        <v>1</v>
      </c>
      <c r="AG93" s="89">
        <f>IF(AF93,INDEX('IG Equity Share'!$B:$B,MATCH(YEAR(I93),'IG Equity Share'!$A:$A,0)),0)</f>
        <v>7.4999999999999997E-2</v>
      </c>
      <c r="AH93" s="383">
        <f>AJ93*AG93*_xlfn.XLOOKUP(I93,'S3123 Consortium Share'!$A$3:$A$5,'S3123 Consortium Share'!$F$3:$F$5,,-1)</f>
        <v>79526.854025763125</v>
      </c>
      <c r="AI93" s="14">
        <v>1</v>
      </c>
      <c r="AJ93" s="13">
        <f t="shared" si="114"/>
        <v>2544859.32882442</v>
      </c>
      <c r="AK93" s="13">
        <f t="shared" si="115"/>
        <v>2544859.32882442</v>
      </c>
      <c r="AL93" s="13" t="str">
        <f t="shared" si="116"/>
        <v>FUL</v>
      </c>
      <c r="AM93" s="52">
        <f t="shared" si="117"/>
        <v>2025</v>
      </c>
      <c r="AN93" s="4">
        <f>INDEX('[2]Input Data'!$AH:$AH,MATCH(A93,'[2]Input Data'!$A:$A,0),1)-AH93</f>
        <v>0</v>
      </c>
      <c r="AO93" s="13">
        <f t="shared" si="149"/>
        <v>0</v>
      </c>
      <c r="AP93" s="13">
        <f t="shared" si="149"/>
        <v>0</v>
      </c>
      <c r="AQ93" s="13">
        <f t="shared" si="149"/>
        <v>0</v>
      </c>
      <c r="AR93" s="13">
        <f t="shared" si="149"/>
        <v>0</v>
      </c>
      <c r="AS93" s="13">
        <f t="shared" si="149"/>
        <v>0</v>
      </c>
      <c r="AT93" s="13">
        <f t="shared" si="149"/>
        <v>0</v>
      </c>
      <c r="AU93" s="13">
        <f t="shared" si="149"/>
        <v>508971.86576488405</v>
      </c>
      <c r="AV93" s="13">
        <f t="shared" si="146"/>
        <v>0</v>
      </c>
      <c r="AW93" s="13"/>
      <c r="AX93" s="13"/>
      <c r="AY93" s="13">
        <f t="shared" si="147"/>
        <v>508971.86576488405</v>
      </c>
      <c r="AZ93" s="13">
        <f t="shared" si="105"/>
        <v>0</v>
      </c>
      <c r="BA93" s="74"/>
      <c r="BB93" s="25">
        <f t="shared" si="106"/>
        <v>2035887.4630595359</v>
      </c>
      <c r="BC93" s="13">
        <f t="shared" si="107"/>
        <v>0</v>
      </c>
      <c r="BD93" s="13" t="b">
        <f>AND(AF93,NOT(ISNUMBER(MATCH(G93,Table1[Excluded Spacecraft ID],0))))</f>
        <v>1</v>
      </c>
      <c r="BE93" s="13">
        <f>BD93*AK93*_xlfn.XLOOKUP(I93,Table2[Date From],Table2[Cession],"Error",-1)*_xlfn.XLOOKUP(I93,'S3123 Consortium Share'!$A$3:$A$5,'S3123 Consortium Share'!$F$3:$F$5,,-1)</f>
        <v>212071.61073536836</v>
      </c>
      <c r="BF93" s="13">
        <f t="shared" si="108"/>
        <v>2035887.4630595359</v>
      </c>
      <c r="BG93" s="89" cm="1">
        <f t="array" ref="BG93">IF(V93="FIBL",0,INDEX('IGR QS'!$A$1:$D$570,MATCH('Input Data'!V93&amp;'Input Data'!W93&amp;'Input Data'!AM93,'IGR QS'!A:A&amp;'IGR QS'!B:B&amp;'IGR QS'!C:C,0),4))</f>
        <v>0.5</v>
      </c>
      <c r="BH93" s="13">
        <f t="shared" si="109"/>
        <v>1017943.731529768</v>
      </c>
      <c r="BI93" s="13">
        <f t="shared" si="110"/>
        <v>1017943.731529768</v>
      </c>
      <c r="BJ93" s="13">
        <f t="shared" si="118"/>
        <v>0</v>
      </c>
      <c r="BK93" s="13">
        <f t="shared" si="111"/>
        <v>1017943.731529768</v>
      </c>
      <c r="BL93" s="13">
        <f t="shared" si="112"/>
        <v>1017943.731529768</v>
      </c>
      <c r="BM93" s="21"/>
      <c r="BN93" s="13">
        <f t="shared" si="119"/>
        <v>42320200.903406374</v>
      </c>
      <c r="BO93" s="13">
        <f t="shared" si="120"/>
        <v>39234742.262773834</v>
      </c>
      <c r="BP93" s="13">
        <f t="shared" si="121"/>
        <v>3085458.6406325367</v>
      </c>
      <c r="BQ93" s="13">
        <f t="shared" si="122"/>
        <v>50319014.293024875</v>
      </c>
      <c r="BR93" s="13">
        <f t="shared" si="123"/>
        <v>23159803.799107812</v>
      </c>
      <c r="BT93" s="13">
        <f t="shared" si="124"/>
        <v>2035887.4630595359</v>
      </c>
      <c r="BU93" s="13">
        <f t="shared" si="125"/>
        <v>1017943.731529768</v>
      </c>
      <c r="BV93" s="13">
        <f t="shared" si="126"/>
        <v>1017943.731529768</v>
      </c>
      <c r="BW93" s="13">
        <f t="shared" si="127"/>
        <v>508971.86576488405</v>
      </c>
      <c r="BX93" s="13"/>
      <c r="BY93" s="25">
        <f t="shared" si="128"/>
        <v>127242.96644122101</v>
      </c>
      <c r="BZ93" s="25">
        <f t="shared" si="129"/>
        <v>127242.96644122101</v>
      </c>
      <c r="CA93" s="25">
        <f t="shared" si="130"/>
        <v>0</v>
      </c>
      <c r="CB93" s="25">
        <f t="shared" si="131"/>
        <v>0</v>
      </c>
      <c r="CC93" s="25">
        <f t="shared" si="132"/>
        <v>63621.483220610506</v>
      </c>
      <c r="CD93" s="384">
        <f t="shared" si="133"/>
        <v>0</v>
      </c>
      <c r="CR93" s="25">
        <f t="shared" si="134"/>
        <v>508971.86576488405</v>
      </c>
      <c r="CS93" s="25">
        <f t="shared" si="104"/>
        <v>508971.86576488405</v>
      </c>
      <c r="CT93" s="25">
        <f t="shared" si="104"/>
        <v>0</v>
      </c>
      <c r="CU93" s="25">
        <f t="shared" si="135"/>
        <v>0</v>
      </c>
      <c r="CV93" s="25">
        <f t="shared" si="136"/>
        <v>254485.93288244202</v>
      </c>
      <c r="CW93" s="25">
        <f t="shared" si="137"/>
        <v>0</v>
      </c>
      <c r="CY93" s="25">
        <f t="shared" si="138"/>
        <v>127242.96644122101</v>
      </c>
      <c r="CZ93" s="25">
        <f t="shared" si="139"/>
        <v>127242.96644122101</v>
      </c>
      <c r="DA93" s="25">
        <f t="shared" si="150"/>
        <v>0</v>
      </c>
      <c r="DB93" s="25">
        <f t="shared" si="140"/>
        <v>0</v>
      </c>
      <c r="DC93" s="25">
        <f t="shared" si="141"/>
        <v>63621.483220610506</v>
      </c>
      <c r="DD93" s="25">
        <f t="shared" si="142"/>
        <v>0</v>
      </c>
    </row>
    <row r="94" spans="1:108" x14ac:dyDescent="0.35">
      <c r="A94" s="282" t="str">
        <f t="shared" si="143"/>
        <v>356130_485050</v>
      </c>
      <c r="B94" s="303">
        <v>356130</v>
      </c>
      <c r="C94" s="303">
        <v>485050</v>
      </c>
      <c r="D94" s="319" t="str">
        <f>IFERROR(MATCH(C94,'[4]Custom Earning Pattern Not Popu'!$B$5:$B$428,0),"NA")</f>
        <v>NA</v>
      </c>
      <c r="E94" s="303" t="s">
        <v>228</v>
      </c>
      <c r="F94" s="303">
        <v>12</v>
      </c>
      <c r="G94" s="303">
        <v>12491</v>
      </c>
      <c r="H94" s="306">
        <v>44058</v>
      </c>
      <c r="I94" s="306">
        <v>45962</v>
      </c>
      <c r="J94" s="306">
        <v>46326</v>
      </c>
      <c r="K94" s="303" t="s">
        <v>113</v>
      </c>
      <c r="L94" s="306">
        <v>45962</v>
      </c>
      <c r="M94" s="306">
        <v>46326</v>
      </c>
      <c r="N94" s="303" t="s">
        <v>466</v>
      </c>
      <c r="O94" s="303" t="s">
        <v>466</v>
      </c>
      <c r="P94" s="148">
        <f t="shared" si="144"/>
        <v>0.4</v>
      </c>
      <c r="Q94" s="282">
        <v>1</v>
      </c>
      <c r="R94" s="282">
        <v>0</v>
      </c>
      <c r="S94" s="282" t="str">
        <f t="shared" si="148"/>
        <v>In-Orbit</v>
      </c>
      <c r="T94" s="282" t="s">
        <v>13</v>
      </c>
      <c r="U94" s="303" t="s">
        <v>471</v>
      </c>
      <c r="V94" s="303" t="s">
        <v>29</v>
      </c>
      <c r="W94" s="303" t="s">
        <v>78</v>
      </c>
      <c r="X94" s="303" t="s">
        <v>414</v>
      </c>
      <c r="Y94" s="303" t="s">
        <v>325</v>
      </c>
      <c r="Z94" s="303" t="s">
        <v>337</v>
      </c>
      <c r="AA94" s="308">
        <v>2939010.0213085599</v>
      </c>
      <c r="AC94" s="289">
        <f t="shared" si="145"/>
        <v>0</v>
      </c>
      <c r="AD94" s="88" cm="1">
        <f t="array" ref="AD94">IF(AC94=0,0,INDEX(Summary!$S$4:$S$7,MATCH(AC94,Summary!$R$4:$R$7)+1))</f>
        <v>0</v>
      </c>
      <c r="AE94" s="88">
        <f>IFERROR(INDEX(Summary!$Y$4:$Y$6,MATCH('Input Data'!K94,Summary!$U$4:$U$6,0)),0)</f>
        <v>0.05</v>
      </c>
      <c r="AF94" s="88" t="b">
        <f t="shared" si="113"/>
        <v>1</v>
      </c>
      <c r="AG94" s="89">
        <f>IF(AF94,INDEX('IG Equity Share'!$B:$B,MATCH(YEAR(I94),'IG Equity Share'!$A:$A,0)),0)</f>
        <v>7.4999999999999997E-2</v>
      </c>
      <c r="AH94" s="383">
        <f>AJ94*AG94*_xlfn.XLOOKUP(I94,'S3123 Consortium Share'!$A$3:$A$5,'S3123 Consortium Share'!$F$3:$F$5,,-1)</f>
        <v>91844.063165892498</v>
      </c>
      <c r="AI94" s="14">
        <v>1</v>
      </c>
      <c r="AJ94" s="13">
        <f t="shared" si="114"/>
        <v>2939010.0213085599</v>
      </c>
      <c r="AK94" s="13">
        <f t="shared" si="115"/>
        <v>2939010.0213085599</v>
      </c>
      <c r="AL94" s="13" t="str">
        <f t="shared" si="116"/>
        <v>FUL</v>
      </c>
      <c r="AM94" s="52">
        <f t="shared" si="117"/>
        <v>2025</v>
      </c>
      <c r="AN94" s="4"/>
      <c r="AO94" s="13">
        <f t="shared" si="149"/>
        <v>0</v>
      </c>
      <c r="AP94" s="13">
        <f t="shared" si="149"/>
        <v>0</v>
      </c>
      <c r="AQ94" s="13">
        <f t="shared" si="149"/>
        <v>0</v>
      </c>
      <c r="AR94" s="13">
        <f t="shared" si="149"/>
        <v>0</v>
      </c>
      <c r="AS94" s="13">
        <f t="shared" si="149"/>
        <v>0</v>
      </c>
      <c r="AT94" s="13">
        <f t="shared" si="149"/>
        <v>0</v>
      </c>
      <c r="AU94" s="13">
        <f t="shared" si="149"/>
        <v>587802.00426171196</v>
      </c>
      <c r="AV94" s="13">
        <f t="shared" si="146"/>
        <v>0</v>
      </c>
      <c r="AW94" s="13"/>
      <c r="AX94" s="13"/>
      <c r="AY94" s="13">
        <f t="shared" si="147"/>
        <v>587802.00426171196</v>
      </c>
      <c r="AZ94" s="13">
        <f t="shared" si="105"/>
        <v>0</v>
      </c>
      <c r="BA94" s="74"/>
      <c r="BB94" s="25">
        <f t="shared" si="106"/>
        <v>2351208.0170468478</v>
      </c>
      <c r="BC94" s="13">
        <f t="shared" si="107"/>
        <v>0</v>
      </c>
      <c r="BD94" s="13" t="b">
        <f>AND(AF94,NOT(ISNUMBER(MATCH(G94,Table1[Excluded Spacecraft ID],0))))</f>
        <v>1</v>
      </c>
      <c r="BE94" s="13">
        <f>BD94*AK94*_xlfn.XLOOKUP(I94,Table2[Date From],Table2[Cession],"Error",-1)*_xlfn.XLOOKUP(I94,'S3123 Consortium Share'!$A$3:$A$5,'S3123 Consortium Share'!$F$3:$F$5,,-1)</f>
        <v>244917.50177571332</v>
      </c>
      <c r="BF94" s="13">
        <f t="shared" si="108"/>
        <v>2351208.0170468478</v>
      </c>
      <c r="BG94" s="89" cm="1">
        <f t="array" ref="BG94">IF(V94="FIBL",0,INDEX('IGR QS'!$A$1:$D$570,MATCH('Input Data'!V94&amp;'Input Data'!W94&amp;'Input Data'!AM94,'IGR QS'!A:A&amp;'IGR QS'!B:B&amp;'IGR QS'!C:C,0),4))</f>
        <v>0.5</v>
      </c>
      <c r="BH94" s="13">
        <f t="shared" si="109"/>
        <v>1175604.0085234239</v>
      </c>
      <c r="BI94" s="13">
        <f t="shared" si="110"/>
        <v>1175604.0085234239</v>
      </c>
      <c r="BJ94" s="13">
        <f t="shared" si="118"/>
        <v>0</v>
      </c>
      <c r="BK94" s="13">
        <f t="shared" si="111"/>
        <v>1175604.0085234239</v>
      </c>
      <c r="BL94" s="13">
        <f t="shared" si="112"/>
        <v>1175604.0085234239</v>
      </c>
      <c r="BM94" s="21"/>
      <c r="BN94" s="13">
        <f t="shared" si="119"/>
        <v>42320200.903406374</v>
      </c>
      <c r="BO94" s="13">
        <f t="shared" si="120"/>
        <v>39234742.262773834</v>
      </c>
      <c r="BP94" s="13">
        <f t="shared" si="121"/>
        <v>3085458.6406325367</v>
      </c>
      <c r="BQ94" s="13">
        <f t="shared" si="122"/>
        <v>50319014.293024875</v>
      </c>
      <c r="BR94" s="13">
        <f t="shared" si="123"/>
        <v>23159803.799107812</v>
      </c>
      <c r="BT94" s="13">
        <f t="shared" si="124"/>
        <v>2351208.0170468478</v>
      </c>
      <c r="BU94" s="13">
        <f t="shared" si="125"/>
        <v>1175604.0085234239</v>
      </c>
      <c r="BV94" s="13">
        <f t="shared" si="126"/>
        <v>1175604.0085234239</v>
      </c>
      <c r="BW94" s="13">
        <f t="shared" si="127"/>
        <v>587802.00426171196</v>
      </c>
      <c r="BX94" s="13"/>
      <c r="BY94" s="25">
        <f t="shared" si="128"/>
        <v>146950.50106542799</v>
      </c>
      <c r="BZ94" s="25">
        <f t="shared" si="129"/>
        <v>146950.50106542799</v>
      </c>
      <c r="CA94" s="25">
        <f t="shared" si="130"/>
        <v>0</v>
      </c>
      <c r="CB94" s="25">
        <f t="shared" si="131"/>
        <v>0</v>
      </c>
      <c r="CC94" s="25">
        <f t="shared" si="132"/>
        <v>73475.250532713995</v>
      </c>
      <c r="CD94" s="384">
        <f t="shared" si="133"/>
        <v>0</v>
      </c>
      <c r="CR94" s="25">
        <f t="shared" si="134"/>
        <v>587802.00426171196</v>
      </c>
      <c r="CS94" s="25">
        <f t="shared" si="104"/>
        <v>587802.00426171196</v>
      </c>
      <c r="CT94" s="25">
        <f t="shared" si="104"/>
        <v>0</v>
      </c>
      <c r="CU94" s="25">
        <f t="shared" si="135"/>
        <v>0</v>
      </c>
      <c r="CV94" s="25">
        <f t="shared" si="136"/>
        <v>293901.00213085598</v>
      </c>
      <c r="CW94" s="25">
        <f t="shared" si="137"/>
        <v>0</v>
      </c>
      <c r="CY94" s="25">
        <f t="shared" si="138"/>
        <v>146950.50106542799</v>
      </c>
      <c r="CZ94" s="25">
        <f t="shared" si="139"/>
        <v>146950.50106542799</v>
      </c>
      <c r="DA94" s="25">
        <f t="shared" si="150"/>
        <v>0</v>
      </c>
      <c r="DB94" s="25">
        <f t="shared" si="140"/>
        <v>0</v>
      </c>
      <c r="DC94" s="25">
        <f t="shared" si="141"/>
        <v>73475.250532713995</v>
      </c>
      <c r="DD94" s="25">
        <f t="shared" si="142"/>
        <v>0</v>
      </c>
    </row>
    <row r="95" spans="1:108" x14ac:dyDescent="0.35">
      <c r="A95" s="282" t="str">
        <f t="shared" si="143"/>
        <v>356133_485057</v>
      </c>
      <c r="B95" s="303">
        <v>356133</v>
      </c>
      <c r="C95" s="303">
        <v>485057</v>
      </c>
      <c r="D95" s="319" t="str">
        <f>IFERROR(MATCH(C95,'[4]Custom Earning Pattern Not Popu'!$B$5:$B$428,0),"NA")</f>
        <v>NA</v>
      </c>
      <c r="E95" s="303" t="s">
        <v>228</v>
      </c>
      <c r="F95" s="303">
        <v>12</v>
      </c>
      <c r="G95" s="303">
        <v>7894</v>
      </c>
      <c r="H95" s="306">
        <v>39343</v>
      </c>
      <c r="I95" s="306">
        <v>45939</v>
      </c>
      <c r="J95" s="306">
        <v>46303</v>
      </c>
      <c r="K95" s="303" t="s">
        <v>16</v>
      </c>
      <c r="L95" s="306">
        <v>45939</v>
      </c>
      <c r="M95" s="306">
        <v>46303</v>
      </c>
      <c r="N95" s="303" t="s">
        <v>237</v>
      </c>
      <c r="O95" s="303" t="s">
        <v>237</v>
      </c>
      <c r="P95" s="148">
        <f t="shared" si="144"/>
        <v>0.4</v>
      </c>
      <c r="Q95" s="282">
        <v>1</v>
      </c>
      <c r="R95" s="282">
        <v>0</v>
      </c>
      <c r="S95" s="282" t="str">
        <f t="shared" si="148"/>
        <v>In-Orbit</v>
      </c>
      <c r="T95" s="282" t="s">
        <v>13</v>
      </c>
      <c r="U95" s="303" t="s">
        <v>472</v>
      </c>
      <c r="V95" s="303" t="s">
        <v>29</v>
      </c>
      <c r="W95" s="303" t="s">
        <v>78</v>
      </c>
      <c r="X95" s="303" t="s">
        <v>278</v>
      </c>
      <c r="Y95" s="303" t="s">
        <v>327</v>
      </c>
      <c r="Z95" s="303" t="s">
        <v>340</v>
      </c>
      <c r="AA95" s="308">
        <v>2164947.8314433</v>
      </c>
      <c r="AC95" s="289">
        <f t="shared" si="145"/>
        <v>7</v>
      </c>
      <c r="AD95" s="88" cm="1">
        <f t="array" ref="AD95">IF(AC95=0,0,INDEX(Summary!$S$4:$S$7,MATCH(AC95,Summary!$R$4:$R$7)+1))</f>
        <v>0.6</v>
      </c>
      <c r="AE95" s="88">
        <f>IFERROR(INDEX(Summary!$Y$4:$Y$6,MATCH('Input Data'!K95,Summary!$U$4:$U$6,0)),0)</f>
        <v>0.4</v>
      </c>
      <c r="AF95" s="88" t="b">
        <f t="shared" si="113"/>
        <v>1</v>
      </c>
      <c r="AG95" s="89">
        <f>IF(AF95,INDEX('IG Equity Share'!$B:$B,MATCH(YEAR(I95),'IG Equity Share'!$A:$A,0)),0)</f>
        <v>7.4999999999999997E-2</v>
      </c>
      <c r="AH95" s="383">
        <f>AJ95*AG95*_xlfn.XLOOKUP(I95,'S3123 Consortium Share'!$A$3:$A$5,'S3123 Consortium Share'!$F$3:$F$5,,-1)</f>
        <v>67654.619732603125</v>
      </c>
      <c r="AI95" s="14">
        <v>1</v>
      </c>
      <c r="AJ95" s="13">
        <f t="shared" si="114"/>
        <v>2164947.8314433</v>
      </c>
      <c r="AK95" s="13">
        <f t="shared" si="115"/>
        <v>2164947.8314433</v>
      </c>
      <c r="AL95" s="13" t="str">
        <f t="shared" si="116"/>
        <v>FUL</v>
      </c>
      <c r="AM95" s="52">
        <f t="shared" si="117"/>
        <v>2025</v>
      </c>
      <c r="AN95" s="4">
        <f>INDEX('[2]Input Data'!$AH:$AH,MATCH(A95,'[2]Input Data'!$A:$A,0),1)-AH95</f>
        <v>0</v>
      </c>
      <c r="AO95" s="13">
        <f t="shared" si="149"/>
        <v>0</v>
      </c>
      <c r="AP95" s="13">
        <f t="shared" si="149"/>
        <v>0</v>
      </c>
      <c r="AQ95" s="13">
        <f t="shared" si="149"/>
        <v>0</v>
      </c>
      <c r="AR95" s="13">
        <f t="shared" si="149"/>
        <v>0</v>
      </c>
      <c r="AS95" s="13">
        <f t="shared" si="149"/>
        <v>0</v>
      </c>
      <c r="AT95" s="13">
        <f t="shared" si="149"/>
        <v>0</v>
      </c>
      <c r="AU95" s="13">
        <f t="shared" si="149"/>
        <v>432989.56628866005</v>
      </c>
      <c r="AV95" s="13">
        <f t="shared" si="146"/>
        <v>0</v>
      </c>
      <c r="AW95" s="13"/>
      <c r="AX95" s="13"/>
      <c r="AY95" s="13">
        <f t="shared" si="147"/>
        <v>432989.56628866005</v>
      </c>
      <c r="AZ95" s="13">
        <f t="shared" si="105"/>
        <v>0</v>
      </c>
      <c r="BA95" s="74"/>
      <c r="BB95" s="25">
        <f t="shared" si="106"/>
        <v>1731958.26515464</v>
      </c>
      <c r="BC95" s="13">
        <f t="shared" si="107"/>
        <v>0</v>
      </c>
      <c r="BD95" s="13" t="b">
        <f>AND(AF95,NOT(ISNUMBER(MATCH(G95,Table1[Excluded Spacecraft ID],0))))</f>
        <v>1</v>
      </c>
      <c r="BE95" s="13">
        <f>BD95*AK95*_xlfn.XLOOKUP(I95,Table2[Date From],Table2[Cession],"Error",-1)*_xlfn.XLOOKUP(I95,'S3123 Consortium Share'!$A$3:$A$5,'S3123 Consortium Share'!$F$3:$F$5,,-1)</f>
        <v>180412.3192869417</v>
      </c>
      <c r="BF95" s="13">
        <f t="shared" si="108"/>
        <v>1731958.26515464</v>
      </c>
      <c r="BG95" s="89" cm="1">
        <f t="array" ref="BG95">IF(V95="FIBL",0,INDEX('IGR QS'!$A$1:$D$570,MATCH('Input Data'!V95&amp;'Input Data'!W95&amp;'Input Data'!AM95,'IGR QS'!A:A&amp;'IGR QS'!B:B&amp;'IGR QS'!C:C,0),4))</f>
        <v>0.5</v>
      </c>
      <c r="BH95" s="13">
        <f t="shared" si="109"/>
        <v>865979.13257731998</v>
      </c>
      <c r="BI95" s="13">
        <f t="shared" si="110"/>
        <v>865979.13257731998</v>
      </c>
      <c r="BJ95" s="13">
        <f t="shared" si="118"/>
        <v>0</v>
      </c>
      <c r="BK95" s="13">
        <f t="shared" si="111"/>
        <v>865979.13257731998</v>
      </c>
      <c r="BL95" s="13">
        <f t="shared" si="112"/>
        <v>865979.13257731998</v>
      </c>
      <c r="BM95" s="21"/>
      <c r="BN95" s="13">
        <f t="shared" si="119"/>
        <v>6556699.5354639189</v>
      </c>
      <c r="BO95" s="13">
        <f t="shared" si="120"/>
        <v>6556699.5354639189</v>
      </c>
      <c r="BP95" s="13">
        <f t="shared" si="121"/>
        <v>0</v>
      </c>
      <c r="BQ95" s="13">
        <f t="shared" si="122"/>
        <v>6556699.5354639189</v>
      </c>
      <c r="BR95" s="13">
        <f t="shared" si="123"/>
        <v>3278349.7677319609</v>
      </c>
      <c r="BT95" s="13">
        <f t="shared" si="124"/>
        <v>1731958.26515464</v>
      </c>
      <c r="BU95" s="13">
        <f t="shared" si="125"/>
        <v>865979.13257731998</v>
      </c>
      <c r="BV95" s="13">
        <f t="shared" si="126"/>
        <v>865979.13257731998</v>
      </c>
      <c r="BW95" s="13">
        <f t="shared" si="127"/>
        <v>432989.56628866005</v>
      </c>
      <c r="BX95" s="13"/>
      <c r="BY95" s="25">
        <f t="shared" si="128"/>
        <v>0</v>
      </c>
      <c r="BZ95" s="25">
        <f t="shared" si="129"/>
        <v>0</v>
      </c>
      <c r="CA95" s="25">
        <f t="shared" si="130"/>
        <v>0</v>
      </c>
      <c r="CB95" s="25">
        <f t="shared" si="131"/>
        <v>0</v>
      </c>
      <c r="CC95" s="25">
        <f t="shared" si="132"/>
        <v>0</v>
      </c>
      <c r="CD95" s="384">
        <f t="shared" si="133"/>
        <v>0</v>
      </c>
      <c r="CR95" s="25">
        <f t="shared" si="134"/>
        <v>0</v>
      </c>
      <c r="CS95" s="25">
        <f t="shared" si="104"/>
        <v>0</v>
      </c>
      <c r="CT95" s="25">
        <f t="shared" si="104"/>
        <v>0</v>
      </c>
      <c r="CU95" s="25">
        <f t="shared" si="135"/>
        <v>0</v>
      </c>
      <c r="CV95" s="25">
        <f t="shared" si="136"/>
        <v>0</v>
      </c>
      <c r="CW95" s="25">
        <f t="shared" si="137"/>
        <v>0</v>
      </c>
      <c r="CY95" s="25">
        <f t="shared" si="138"/>
        <v>0</v>
      </c>
      <c r="CZ95" s="25">
        <f t="shared" si="139"/>
        <v>0</v>
      </c>
      <c r="DA95" s="25">
        <f t="shared" si="150"/>
        <v>0</v>
      </c>
      <c r="DB95" s="25">
        <f t="shared" si="140"/>
        <v>0</v>
      </c>
      <c r="DC95" s="25">
        <f t="shared" si="141"/>
        <v>0</v>
      </c>
      <c r="DD95" s="25">
        <f t="shared" si="142"/>
        <v>0</v>
      </c>
    </row>
    <row r="96" spans="1:108" x14ac:dyDescent="0.35">
      <c r="A96" s="282" t="str">
        <f t="shared" si="143"/>
        <v>356133_485059</v>
      </c>
      <c r="B96" s="303">
        <v>356133</v>
      </c>
      <c r="C96" s="303">
        <v>485059</v>
      </c>
      <c r="D96" s="319" t="str">
        <f>IFERROR(MATCH(C96,'[4]Custom Earning Pattern Not Popu'!$B$5:$B$428,0),"NA")</f>
        <v>NA</v>
      </c>
      <c r="E96" s="303" t="s">
        <v>228</v>
      </c>
      <c r="F96" s="303">
        <v>12</v>
      </c>
      <c r="G96" s="303">
        <v>9033</v>
      </c>
      <c r="H96" s="306">
        <v>41864</v>
      </c>
      <c r="I96" s="306">
        <v>45939</v>
      </c>
      <c r="J96" s="306">
        <v>46303</v>
      </c>
      <c r="K96" s="303" t="s">
        <v>16</v>
      </c>
      <c r="L96" s="306">
        <v>45939</v>
      </c>
      <c r="M96" s="306">
        <v>46303</v>
      </c>
      <c r="N96" s="303" t="s">
        <v>237</v>
      </c>
      <c r="O96" s="303" t="s">
        <v>237</v>
      </c>
      <c r="P96" s="148">
        <f t="shared" si="144"/>
        <v>0.4</v>
      </c>
      <c r="Q96" s="282">
        <v>1</v>
      </c>
      <c r="R96" s="282">
        <v>0</v>
      </c>
      <c r="S96" s="282" t="str">
        <f t="shared" si="148"/>
        <v>In-Orbit</v>
      </c>
      <c r="T96" s="282" t="s">
        <v>13</v>
      </c>
      <c r="U96" s="303" t="s">
        <v>472</v>
      </c>
      <c r="V96" s="303" t="s">
        <v>29</v>
      </c>
      <c r="W96" s="303" t="s">
        <v>78</v>
      </c>
      <c r="X96" s="303" t="s">
        <v>279</v>
      </c>
      <c r="Y96" s="303" t="s">
        <v>327</v>
      </c>
      <c r="Z96" s="303" t="s">
        <v>341</v>
      </c>
      <c r="AA96" s="308">
        <v>3865978.7564432998</v>
      </c>
      <c r="AC96" s="289">
        <f t="shared" si="145"/>
        <v>7</v>
      </c>
      <c r="AD96" s="88" cm="1">
        <f t="array" ref="AD96">IF(AC96=0,0,INDEX(Summary!$S$4:$S$7,MATCH(AC96,Summary!$R$4:$R$7)+1))</f>
        <v>0.6</v>
      </c>
      <c r="AE96" s="88">
        <f>IFERROR(INDEX(Summary!$Y$4:$Y$6,MATCH('Input Data'!K96,Summary!$U$4:$U$6,0)),0)</f>
        <v>0.4</v>
      </c>
      <c r="AF96" s="88" t="b">
        <f t="shared" si="113"/>
        <v>1</v>
      </c>
      <c r="AG96" s="89">
        <f>IF(AF96,INDEX('IG Equity Share'!$B:$B,MATCH(YEAR(I96),'IG Equity Share'!$A:$A,0)),0)</f>
        <v>7.4999999999999997E-2</v>
      </c>
      <c r="AH96" s="383">
        <f>AJ96*AG96*_xlfn.XLOOKUP(I96,'S3123 Consortium Share'!$A$3:$A$5,'S3123 Consortium Share'!$F$3:$F$5,,-1)</f>
        <v>120811.8361388531</v>
      </c>
      <c r="AI96" s="14">
        <v>1</v>
      </c>
      <c r="AJ96" s="13">
        <f t="shared" si="114"/>
        <v>3865978.7564432998</v>
      </c>
      <c r="AK96" s="13">
        <f t="shared" si="115"/>
        <v>3865978.7564432998</v>
      </c>
      <c r="AL96" s="13" t="str">
        <f t="shared" si="116"/>
        <v>FUL</v>
      </c>
      <c r="AM96" s="52">
        <f t="shared" si="117"/>
        <v>2025</v>
      </c>
      <c r="AN96" s="4">
        <f>INDEX('[2]Input Data'!$AH:$AH,MATCH(A96,'[2]Input Data'!$A:$A,0),1)-AH96</f>
        <v>0</v>
      </c>
      <c r="AO96" s="13">
        <f t="shared" si="149"/>
        <v>0</v>
      </c>
      <c r="AP96" s="13">
        <f t="shared" si="149"/>
        <v>0</v>
      </c>
      <c r="AQ96" s="13">
        <f t="shared" si="149"/>
        <v>0</v>
      </c>
      <c r="AR96" s="13">
        <f t="shared" si="149"/>
        <v>0</v>
      </c>
      <c r="AS96" s="13">
        <f t="shared" si="149"/>
        <v>0</v>
      </c>
      <c r="AT96" s="13">
        <f t="shared" si="149"/>
        <v>0</v>
      </c>
      <c r="AU96" s="13">
        <f t="shared" si="149"/>
        <v>773195.75128865999</v>
      </c>
      <c r="AV96" s="13">
        <f t="shared" si="146"/>
        <v>0</v>
      </c>
      <c r="AW96" s="13"/>
      <c r="AX96" s="13"/>
      <c r="AY96" s="13">
        <f t="shared" si="147"/>
        <v>773195.75128865999</v>
      </c>
      <c r="AZ96" s="13">
        <f t="shared" si="105"/>
        <v>0</v>
      </c>
      <c r="BA96" s="74"/>
      <c r="BB96" s="25">
        <f t="shared" si="106"/>
        <v>3092783.0051546399</v>
      </c>
      <c r="BC96" s="13">
        <f t="shared" si="107"/>
        <v>0</v>
      </c>
      <c r="BD96" s="13" t="b">
        <f>AND(AF96,NOT(ISNUMBER(MATCH(G96,Table1[Excluded Spacecraft ID],0))))</f>
        <v>1</v>
      </c>
      <c r="BE96" s="13">
        <f>BD96*AK96*_xlfn.XLOOKUP(I96,Table2[Date From],Table2[Cession],"Error",-1)*_xlfn.XLOOKUP(I96,'S3123 Consortium Share'!$A$3:$A$5,'S3123 Consortium Share'!$F$3:$F$5,,-1)</f>
        <v>322164.896370275</v>
      </c>
      <c r="BF96" s="13">
        <f t="shared" si="108"/>
        <v>3092783.0051546399</v>
      </c>
      <c r="BG96" s="89" cm="1">
        <f t="array" ref="BG96">IF(V96="FIBL",0,INDEX('IGR QS'!$A$1:$D$570,MATCH('Input Data'!V96&amp;'Input Data'!W96&amp;'Input Data'!AM96,'IGR QS'!A:A&amp;'IGR QS'!B:B&amp;'IGR QS'!C:C,0),4))</f>
        <v>0.5</v>
      </c>
      <c r="BH96" s="13">
        <f t="shared" si="109"/>
        <v>1546391.50257732</v>
      </c>
      <c r="BI96" s="13">
        <f t="shared" si="110"/>
        <v>1546391.50257732</v>
      </c>
      <c r="BJ96" s="13">
        <f t="shared" si="118"/>
        <v>0</v>
      </c>
      <c r="BK96" s="13">
        <f t="shared" si="111"/>
        <v>1546391.50257732</v>
      </c>
      <c r="BL96" s="13">
        <f t="shared" si="112"/>
        <v>1546391.50257732</v>
      </c>
      <c r="BM96" s="21"/>
      <c r="BN96" s="13">
        <f t="shared" si="119"/>
        <v>6556699.5354639189</v>
      </c>
      <c r="BO96" s="13">
        <f t="shared" si="120"/>
        <v>6556699.5354639189</v>
      </c>
      <c r="BP96" s="13">
        <f t="shared" si="121"/>
        <v>0</v>
      </c>
      <c r="BQ96" s="13">
        <f t="shared" si="122"/>
        <v>6556699.5354639189</v>
      </c>
      <c r="BR96" s="13">
        <f t="shared" si="123"/>
        <v>3278349.7677319609</v>
      </c>
      <c r="BT96" s="13">
        <f t="shared" si="124"/>
        <v>3092783.0051546399</v>
      </c>
      <c r="BU96" s="13">
        <f t="shared" si="125"/>
        <v>1546391.50257732</v>
      </c>
      <c r="BV96" s="13">
        <f t="shared" si="126"/>
        <v>1546391.50257732</v>
      </c>
      <c r="BW96" s="13">
        <f t="shared" si="127"/>
        <v>773195.75128865999</v>
      </c>
      <c r="BX96" s="13"/>
      <c r="BY96" s="25">
        <f t="shared" si="128"/>
        <v>0</v>
      </c>
      <c r="BZ96" s="25">
        <f t="shared" si="129"/>
        <v>0</v>
      </c>
      <c r="CA96" s="25">
        <f t="shared" si="130"/>
        <v>0</v>
      </c>
      <c r="CB96" s="25">
        <f t="shared" si="131"/>
        <v>0</v>
      </c>
      <c r="CC96" s="25">
        <f t="shared" si="132"/>
        <v>0</v>
      </c>
      <c r="CD96" s="384">
        <f t="shared" si="133"/>
        <v>0</v>
      </c>
      <c r="CR96" s="25">
        <f t="shared" si="134"/>
        <v>0</v>
      </c>
      <c r="CS96" s="25">
        <f t="shared" si="104"/>
        <v>0</v>
      </c>
      <c r="CT96" s="25">
        <f t="shared" si="104"/>
        <v>0</v>
      </c>
      <c r="CU96" s="25">
        <f t="shared" si="135"/>
        <v>0</v>
      </c>
      <c r="CV96" s="25">
        <f t="shared" si="136"/>
        <v>0</v>
      </c>
      <c r="CW96" s="25">
        <f t="shared" si="137"/>
        <v>0</v>
      </c>
      <c r="CY96" s="25">
        <f t="shared" si="138"/>
        <v>0</v>
      </c>
      <c r="CZ96" s="25">
        <f t="shared" si="139"/>
        <v>0</v>
      </c>
      <c r="DA96" s="25">
        <f t="shared" si="150"/>
        <v>0</v>
      </c>
      <c r="DB96" s="25">
        <f t="shared" si="140"/>
        <v>0</v>
      </c>
      <c r="DC96" s="25">
        <f t="shared" si="141"/>
        <v>0</v>
      </c>
      <c r="DD96" s="25">
        <f t="shared" si="142"/>
        <v>0</v>
      </c>
    </row>
    <row r="97" spans="1:108" x14ac:dyDescent="0.35">
      <c r="A97" s="282" t="str">
        <f t="shared" si="143"/>
        <v>356133_485060</v>
      </c>
      <c r="B97" s="303">
        <v>356133</v>
      </c>
      <c r="C97" s="303">
        <v>485060</v>
      </c>
      <c r="D97" s="319" t="str">
        <f>IFERROR(MATCH(C97,'[4]Custom Earning Pattern Not Popu'!$B$5:$B$428,0),"NA")</f>
        <v>NA</v>
      </c>
      <c r="E97" s="303" t="s">
        <v>228</v>
      </c>
      <c r="F97" s="303">
        <v>12</v>
      </c>
      <c r="G97" s="303">
        <v>8170</v>
      </c>
      <c r="H97" s="306">
        <v>40094</v>
      </c>
      <c r="I97" s="306">
        <v>45939</v>
      </c>
      <c r="J97" s="306">
        <v>46303</v>
      </c>
      <c r="K97" s="303" t="s">
        <v>16</v>
      </c>
      <c r="L97" s="306">
        <v>45939</v>
      </c>
      <c r="M97" s="306">
        <v>46303</v>
      </c>
      <c r="N97" s="303" t="s">
        <v>237</v>
      </c>
      <c r="O97" s="303" t="s">
        <v>237</v>
      </c>
      <c r="P97" s="148">
        <f t="shared" si="144"/>
        <v>0.4</v>
      </c>
      <c r="Q97" s="282">
        <v>1</v>
      </c>
      <c r="R97" s="282">
        <v>0</v>
      </c>
      <c r="S97" s="282" t="str">
        <f t="shared" si="148"/>
        <v>In-Orbit</v>
      </c>
      <c r="T97" s="282" t="s">
        <v>13</v>
      </c>
      <c r="U97" s="303" t="s">
        <v>472</v>
      </c>
      <c r="V97" s="303" t="s">
        <v>29</v>
      </c>
      <c r="W97" s="303" t="s">
        <v>78</v>
      </c>
      <c r="X97" s="303" t="s">
        <v>280</v>
      </c>
      <c r="Y97" s="303" t="s">
        <v>327</v>
      </c>
      <c r="Z97" s="303" t="s">
        <v>340</v>
      </c>
      <c r="AA97" s="308">
        <v>2164947.8314433</v>
      </c>
      <c r="AC97" s="289">
        <f t="shared" si="145"/>
        <v>7</v>
      </c>
      <c r="AD97" s="88" cm="1">
        <f t="array" ref="AD97">IF(AC97=0,0,INDEX(Summary!$S$4:$S$7,MATCH(AC97,Summary!$R$4:$R$7)+1))</f>
        <v>0.6</v>
      </c>
      <c r="AE97" s="88">
        <f>IFERROR(INDEX(Summary!$Y$4:$Y$6,MATCH('Input Data'!K97,Summary!$U$4:$U$6,0)),0)</f>
        <v>0.4</v>
      </c>
      <c r="AF97" s="88" t="b">
        <f t="shared" si="113"/>
        <v>1</v>
      </c>
      <c r="AG97" s="89">
        <f>IF(AF97,INDEX('IG Equity Share'!$B:$B,MATCH(YEAR(I97),'IG Equity Share'!$A:$A,0)),0)</f>
        <v>7.4999999999999997E-2</v>
      </c>
      <c r="AH97" s="383">
        <f>AJ97*AG97*_xlfn.XLOOKUP(I97,'S3123 Consortium Share'!$A$3:$A$5,'S3123 Consortium Share'!$F$3:$F$5,,-1)</f>
        <v>67654.619732603125</v>
      </c>
      <c r="AI97" s="14">
        <v>1</v>
      </c>
      <c r="AJ97" s="13">
        <f t="shared" si="114"/>
        <v>2164947.8314433</v>
      </c>
      <c r="AK97" s="13">
        <f t="shared" si="115"/>
        <v>2164947.8314433</v>
      </c>
      <c r="AL97" s="13" t="str">
        <f t="shared" si="116"/>
        <v>FUL</v>
      </c>
      <c r="AM97" s="52">
        <f t="shared" si="117"/>
        <v>2025</v>
      </c>
      <c r="AN97" s="4">
        <f>INDEX('[2]Input Data'!$AH:$AH,MATCH(A97,'[2]Input Data'!$A:$A,0),1)-AH97</f>
        <v>0</v>
      </c>
      <c r="AO97" s="13">
        <f t="shared" si="149"/>
        <v>0</v>
      </c>
      <c r="AP97" s="13">
        <f t="shared" si="149"/>
        <v>0</v>
      </c>
      <c r="AQ97" s="13">
        <f t="shared" si="149"/>
        <v>0</v>
      </c>
      <c r="AR97" s="13">
        <f t="shared" si="149"/>
        <v>0</v>
      </c>
      <c r="AS97" s="13">
        <f t="shared" si="149"/>
        <v>0</v>
      </c>
      <c r="AT97" s="13">
        <f t="shared" si="149"/>
        <v>0</v>
      </c>
      <c r="AU97" s="13">
        <f t="shared" si="149"/>
        <v>432989.56628866005</v>
      </c>
      <c r="AV97" s="13">
        <f t="shared" si="146"/>
        <v>0</v>
      </c>
      <c r="AW97" s="13"/>
      <c r="AX97" s="13"/>
      <c r="AY97" s="13">
        <f t="shared" si="147"/>
        <v>432989.56628866005</v>
      </c>
      <c r="AZ97" s="13">
        <f t="shared" si="105"/>
        <v>0</v>
      </c>
      <c r="BA97" s="74"/>
      <c r="BB97" s="25">
        <f t="shared" si="106"/>
        <v>1731958.26515464</v>
      </c>
      <c r="BC97" s="13">
        <f t="shared" si="107"/>
        <v>0</v>
      </c>
      <c r="BD97" s="13" t="b">
        <f>AND(AF97,NOT(ISNUMBER(MATCH(G97,Table1[Excluded Spacecraft ID],0))))</f>
        <v>1</v>
      </c>
      <c r="BE97" s="13">
        <f>BD97*AK97*_xlfn.XLOOKUP(I97,Table2[Date From],Table2[Cession],"Error",-1)*_xlfn.XLOOKUP(I97,'S3123 Consortium Share'!$A$3:$A$5,'S3123 Consortium Share'!$F$3:$F$5,,-1)</f>
        <v>180412.3192869417</v>
      </c>
      <c r="BF97" s="13">
        <f t="shared" si="108"/>
        <v>1731958.26515464</v>
      </c>
      <c r="BG97" s="89" cm="1">
        <f t="array" ref="BG97">IF(V97="FIBL",0,INDEX('IGR QS'!$A$1:$D$570,MATCH('Input Data'!V97&amp;'Input Data'!W97&amp;'Input Data'!AM97,'IGR QS'!A:A&amp;'IGR QS'!B:B&amp;'IGR QS'!C:C,0),4))</f>
        <v>0.5</v>
      </c>
      <c r="BH97" s="13">
        <f t="shared" si="109"/>
        <v>865979.13257731998</v>
      </c>
      <c r="BI97" s="13">
        <f t="shared" si="110"/>
        <v>865979.13257731998</v>
      </c>
      <c r="BJ97" s="13">
        <f t="shared" si="118"/>
        <v>0</v>
      </c>
      <c r="BK97" s="13">
        <f t="shared" si="111"/>
        <v>865979.13257731998</v>
      </c>
      <c r="BL97" s="13">
        <f t="shared" si="112"/>
        <v>865979.13257731998</v>
      </c>
      <c r="BM97" s="21"/>
      <c r="BN97" s="13">
        <f t="shared" si="119"/>
        <v>6556699.5354639189</v>
      </c>
      <c r="BO97" s="13">
        <f t="shared" si="120"/>
        <v>6556699.5354639189</v>
      </c>
      <c r="BP97" s="13">
        <f t="shared" si="121"/>
        <v>0</v>
      </c>
      <c r="BQ97" s="13">
        <f t="shared" si="122"/>
        <v>6556699.5354639189</v>
      </c>
      <c r="BR97" s="13">
        <f t="shared" si="123"/>
        <v>3278349.7677319609</v>
      </c>
      <c r="BT97" s="13">
        <f t="shared" si="124"/>
        <v>1731958.26515464</v>
      </c>
      <c r="BU97" s="13">
        <f t="shared" si="125"/>
        <v>865979.13257731998</v>
      </c>
      <c r="BV97" s="13">
        <f t="shared" si="126"/>
        <v>865979.13257731998</v>
      </c>
      <c r="BW97" s="13">
        <f t="shared" si="127"/>
        <v>432989.56628866005</v>
      </c>
      <c r="BX97" s="13"/>
      <c r="BY97" s="25">
        <f t="shared" si="128"/>
        <v>0</v>
      </c>
      <c r="BZ97" s="25">
        <f t="shared" si="129"/>
        <v>0</v>
      </c>
      <c r="CA97" s="25">
        <f t="shared" si="130"/>
        <v>0</v>
      </c>
      <c r="CB97" s="25">
        <f t="shared" si="131"/>
        <v>0</v>
      </c>
      <c r="CC97" s="25">
        <f t="shared" si="132"/>
        <v>0</v>
      </c>
      <c r="CD97" s="384">
        <f t="shared" si="133"/>
        <v>0</v>
      </c>
      <c r="CR97" s="25">
        <f t="shared" si="134"/>
        <v>0</v>
      </c>
      <c r="CS97" s="25">
        <f t="shared" si="104"/>
        <v>0</v>
      </c>
      <c r="CT97" s="25">
        <f t="shared" si="104"/>
        <v>0</v>
      </c>
      <c r="CU97" s="25">
        <f t="shared" si="135"/>
        <v>0</v>
      </c>
      <c r="CV97" s="25">
        <f t="shared" si="136"/>
        <v>0</v>
      </c>
      <c r="CW97" s="25">
        <f t="shared" si="137"/>
        <v>0</v>
      </c>
      <c r="CY97" s="25">
        <f t="shared" si="138"/>
        <v>0</v>
      </c>
      <c r="CZ97" s="25">
        <f t="shared" si="139"/>
        <v>0</v>
      </c>
      <c r="DA97" s="25">
        <f t="shared" si="150"/>
        <v>0</v>
      </c>
      <c r="DB97" s="25">
        <f t="shared" si="140"/>
        <v>0</v>
      </c>
      <c r="DC97" s="25">
        <f t="shared" si="141"/>
        <v>0</v>
      </c>
      <c r="DD97" s="25">
        <f t="shared" si="142"/>
        <v>0</v>
      </c>
    </row>
    <row r="98" spans="1:108" x14ac:dyDescent="0.35">
      <c r="A98" s="282" t="str">
        <f t="shared" si="143"/>
        <v>357074_486815</v>
      </c>
      <c r="B98" s="303">
        <v>357074</v>
      </c>
      <c r="C98" s="303">
        <v>486815</v>
      </c>
      <c r="D98" s="319" t="str">
        <f>IFERROR(MATCH(C98,'[4]Custom Earning Pattern Not Popu'!$B$5:$B$428,0),"NA")</f>
        <v>NA</v>
      </c>
      <c r="E98" s="303" t="s">
        <v>229</v>
      </c>
      <c r="F98" s="309">
        <v>16</v>
      </c>
      <c r="G98" s="303">
        <v>10709</v>
      </c>
      <c r="H98" s="306">
        <v>45975</v>
      </c>
      <c r="I98" s="306">
        <v>45931</v>
      </c>
      <c r="J98" s="306">
        <v>46660</v>
      </c>
      <c r="K98" s="303" t="s">
        <v>113</v>
      </c>
      <c r="L98" s="306">
        <v>45975</v>
      </c>
      <c r="M98" s="400">
        <v>46521</v>
      </c>
      <c r="N98" s="303" t="s">
        <v>233</v>
      </c>
      <c r="O98" s="303" t="s">
        <v>233</v>
      </c>
      <c r="P98" s="148">
        <f t="shared" si="144"/>
        <v>0.6</v>
      </c>
      <c r="Q98" s="282">
        <v>1</v>
      </c>
      <c r="R98" s="282">
        <v>0</v>
      </c>
      <c r="S98" s="282" t="str">
        <f t="shared" si="148"/>
        <v>L + 12 Months</v>
      </c>
      <c r="T98" s="282" t="s">
        <v>13</v>
      </c>
      <c r="U98" s="303" t="s">
        <v>473</v>
      </c>
      <c r="V98" s="303" t="s">
        <v>29</v>
      </c>
      <c r="W98" s="303" t="s">
        <v>80</v>
      </c>
      <c r="X98" s="303" t="s">
        <v>486</v>
      </c>
      <c r="Y98" s="303" t="s">
        <v>326</v>
      </c>
      <c r="Z98" s="303" t="s">
        <v>341</v>
      </c>
      <c r="AA98" s="308">
        <v>18556701</v>
      </c>
      <c r="AC98" s="289">
        <f t="shared" si="145"/>
        <v>0</v>
      </c>
      <c r="AD98" s="88" cm="1">
        <f t="array" ref="AD98">IF(AC98=0,0,INDEX(Summary!$S$4:$S$7,MATCH(AC98,Summary!$R$4:$R$7)+1))</f>
        <v>0</v>
      </c>
      <c r="AE98" s="88">
        <f>IFERROR(INDEX(Summary!$Y$4:$Y$6,MATCH('Input Data'!K98,Summary!$U$4:$U$6,0)),0)</f>
        <v>0.05</v>
      </c>
      <c r="AF98" s="88" t="b">
        <f t="shared" si="113"/>
        <v>1</v>
      </c>
      <c r="AG98" s="89">
        <f>IF(AF98,INDEX('IG Equity Share'!$B:$B,MATCH(YEAR(I98),'IG Equity Share'!$A:$A,0)),0)</f>
        <v>7.4999999999999997E-2</v>
      </c>
      <c r="AH98" s="383">
        <f>AJ98*AG98*_xlfn.XLOOKUP(I98,'S3123 Consortium Share'!$A$3:$A$5,'S3123 Consortium Share'!$F$3:$F$5,,-1)</f>
        <v>579896.90625</v>
      </c>
      <c r="AI98" s="14">
        <v>1</v>
      </c>
      <c r="AJ98" s="13">
        <f t="shared" si="114"/>
        <v>18556701</v>
      </c>
      <c r="AK98" s="13">
        <f t="shared" si="115"/>
        <v>18556701</v>
      </c>
      <c r="AL98" s="13" t="str">
        <f t="shared" si="116"/>
        <v>FUL</v>
      </c>
      <c r="AM98" s="52">
        <f t="shared" si="117"/>
        <v>2025</v>
      </c>
      <c r="AN98" s="4"/>
      <c r="AO98" s="13">
        <f t="shared" si="149"/>
        <v>0</v>
      </c>
      <c r="AP98" s="13">
        <f t="shared" si="149"/>
        <v>0</v>
      </c>
      <c r="AQ98" s="13">
        <f t="shared" si="149"/>
        <v>0</v>
      </c>
      <c r="AR98" s="13">
        <f t="shared" si="149"/>
        <v>0</v>
      </c>
      <c r="AS98" s="13">
        <f t="shared" si="149"/>
        <v>0</v>
      </c>
      <c r="AT98" s="13">
        <f t="shared" si="149"/>
        <v>0</v>
      </c>
      <c r="AU98" s="13">
        <f t="shared" si="149"/>
        <v>3711340.2</v>
      </c>
      <c r="AV98" s="13">
        <f t="shared" si="146"/>
        <v>0</v>
      </c>
      <c r="AW98" s="13"/>
      <c r="AX98" s="13"/>
      <c r="AY98" s="13">
        <f t="shared" si="147"/>
        <v>3711340.2</v>
      </c>
      <c r="AZ98" s="13">
        <f t="shared" si="105"/>
        <v>0</v>
      </c>
      <c r="BA98" s="74"/>
      <c r="BB98" s="25">
        <f t="shared" si="106"/>
        <v>14845360.800000001</v>
      </c>
      <c r="BC98" s="13">
        <f t="shared" si="107"/>
        <v>0</v>
      </c>
      <c r="BD98" s="13" t="b">
        <f>AND(AF98,NOT(ISNUMBER(MATCH(G98,Table1[Excluded Spacecraft ID],0))))</f>
        <v>1</v>
      </c>
      <c r="BE98" s="13">
        <f>BD98*AK98*_xlfn.XLOOKUP(I98,Table2[Date From],Table2[Cession],"Error",-1)*_xlfn.XLOOKUP(I98,'S3123 Consortium Share'!$A$3:$A$5,'S3123 Consortium Share'!$F$3:$F$5,,-1)</f>
        <v>1546391.7500000002</v>
      </c>
      <c r="BF98" s="13">
        <f t="shared" si="108"/>
        <v>14845360.800000001</v>
      </c>
      <c r="BG98" s="89" cm="1">
        <f t="array" ref="BG98">IF(V98="FIBL",0,INDEX('IGR QS'!$A$1:$D$570,MATCH('Input Data'!V98&amp;'Input Data'!W98&amp;'Input Data'!AM98,'IGR QS'!A:A&amp;'IGR QS'!B:B&amp;'IGR QS'!C:C,0),4))</f>
        <v>0.5</v>
      </c>
      <c r="BH98" s="13">
        <f t="shared" si="109"/>
        <v>7422680.4000000004</v>
      </c>
      <c r="BI98" s="13">
        <f t="shared" si="110"/>
        <v>7422680.4000000004</v>
      </c>
      <c r="BJ98" s="13">
        <f t="shared" si="118"/>
        <v>0</v>
      </c>
      <c r="BK98" s="13">
        <f t="shared" si="111"/>
        <v>7422680.4000000004</v>
      </c>
      <c r="BL98" s="13">
        <f t="shared" si="112"/>
        <v>7422680.4000000004</v>
      </c>
      <c r="BM98" s="21"/>
      <c r="BN98" s="13">
        <f t="shared" si="119"/>
        <v>45548263.152736805</v>
      </c>
      <c r="BO98" s="13">
        <f t="shared" si="120"/>
        <v>44546986.968158349</v>
      </c>
      <c r="BP98" s="13">
        <f t="shared" si="121"/>
        <v>1001276.1845784616</v>
      </c>
      <c r="BQ98" s="13">
        <f t="shared" si="122"/>
        <v>44620885.187436298</v>
      </c>
      <c r="BR98" s="13">
        <f t="shared" si="123"/>
        <v>22542287.085043281</v>
      </c>
      <c r="BT98" s="13">
        <f t="shared" si="124"/>
        <v>14845360.800000001</v>
      </c>
      <c r="BU98" s="13">
        <f t="shared" si="125"/>
        <v>7422680.4000000004</v>
      </c>
      <c r="BV98" s="13">
        <f t="shared" si="126"/>
        <v>7422680.4000000004</v>
      </c>
      <c r="BW98" s="13">
        <f t="shared" si="127"/>
        <v>3711340.2</v>
      </c>
      <c r="BX98" s="13"/>
      <c r="BY98" s="25">
        <f t="shared" si="128"/>
        <v>927835.05</v>
      </c>
      <c r="BZ98" s="25">
        <f t="shared" si="129"/>
        <v>927835.05</v>
      </c>
      <c r="CA98" s="25">
        <f t="shared" si="130"/>
        <v>0</v>
      </c>
      <c r="CB98" s="25">
        <f t="shared" si="131"/>
        <v>0</v>
      </c>
      <c r="CC98" s="25">
        <f t="shared" si="132"/>
        <v>463917.52500000002</v>
      </c>
      <c r="CD98" s="384">
        <f t="shared" si="133"/>
        <v>0</v>
      </c>
      <c r="CR98" s="25">
        <f t="shared" si="134"/>
        <v>5567010.2999999998</v>
      </c>
      <c r="CS98" s="25">
        <f t="shared" si="104"/>
        <v>5567010.2999999998</v>
      </c>
      <c r="CT98" s="25">
        <f t="shared" si="104"/>
        <v>0</v>
      </c>
      <c r="CU98" s="25">
        <f t="shared" si="135"/>
        <v>0</v>
      </c>
      <c r="CV98" s="25">
        <f t="shared" si="136"/>
        <v>2783505.15</v>
      </c>
      <c r="CW98" s="25">
        <f t="shared" si="137"/>
        <v>0</v>
      </c>
      <c r="CY98" s="25">
        <f t="shared" si="138"/>
        <v>927835.05</v>
      </c>
      <c r="CZ98" s="25">
        <f t="shared" si="139"/>
        <v>927835.05</v>
      </c>
      <c r="DA98" s="25">
        <f t="shared" si="150"/>
        <v>0</v>
      </c>
      <c r="DB98" s="25">
        <f t="shared" si="140"/>
        <v>0</v>
      </c>
      <c r="DC98" s="25">
        <f t="shared" si="141"/>
        <v>463917.52500000002</v>
      </c>
      <c r="DD98" s="25">
        <f t="shared" si="142"/>
        <v>0</v>
      </c>
    </row>
    <row r="99" spans="1:108" x14ac:dyDescent="0.35">
      <c r="A99" s="282" t="str">
        <f t="shared" si="143"/>
        <v>349114_488489</v>
      </c>
      <c r="B99" s="303">
        <v>349114</v>
      </c>
      <c r="C99" s="303">
        <v>488489</v>
      </c>
      <c r="D99" s="319" t="str">
        <f>IFERROR(MATCH(C99,'[4]Custom Earning Pattern Not Popu'!$B$5:$B$428,0),"NA")</f>
        <v>NA</v>
      </c>
      <c r="E99" s="303" t="s">
        <v>228</v>
      </c>
      <c r="F99" s="303">
        <v>15</v>
      </c>
      <c r="G99" s="303">
        <v>9780</v>
      </c>
      <c r="H99" s="306">
        <v>43419</v>
      </c>
      <c r="I99" s="306">
        <v>45877</v>
      </c>
      <c r="J99" s="306">
        <v>46326</v>
      </c>
      <c r="K99" s="303" t="s">
        <v>113</v>
      </c>
      <c r="L99" s="306">
        <v>45877</v>
      </c>
      <c r="M99" s="306">
        <v>46326</v>
      </c>
      <c r="N99" s="303" t="s">
        <v>236</v>
      </c>
      <c r="O99" s="303" t="s">
        <v>236</v>
      </c>
      <c r="P99" s="148">
        <f t="shared" si="144"/>
        <v>0.4</v>
      </c>
      <c r="Q99" s="282">
        <v>1</v>
      </c>
      <c r="R99" s="282">
        <v>0</v>
      </c>
      <c r="S99" s="282" t="str">
        <f t="shared" si="148"/>
        <v>In-Orbit</v>
      </c>
      <c r="T99" s="282" t="s">
        <v>13</v>
      </c>
      <c r="U99" s="303" t="s">
        <v>420</v>
      </c>
      <c r="V99" s="303" t="s">
        <v>29</v>
      </c>
      <c r="W99" s="303" t="s">
        <v>78</v>
      </c>
      <c r="X99" s="303" t="s">
        <v>421</v>
      </c>
      <c r="Y99" s="303" t="s">
        <v>324</v>
      </c>
      <c r="Z99" s="303" t="s">
        <v>338</v>
      </c>
      <c r="AA99" s="308">
        <v>4948456.0742267901</v>
      </c>
      <c r="AC99" s="289">
        <f t="shared" si="145"/>
        <v>0</v>
      </c>
      <c r="AD99" s="88" cm="1">
        <f t="array" ref="AD99">IF(AC99=0,0,INDEX(Summary!$S$4:$S$7,MATCH(AC99,Summary!$R$4:$R$7)+1))</f>
        <v>0</v>
      </c>
      <c r="AE99" s="88">
        <f>IFERROR(INDEX(Summary!$Y$4:$Y$6,MATCH('Input Data'!K99,Summary!$U$4:$U$6,0)),0)</f>
        <v>0.05</v>
      </c>
      <c r="AF99" s="88" t="b">
        <f t="shared" si="113"/>
        <v>1</v>
      </c>
      <c r="AG99" s="89">
        <f>IF(AF99,INDEX('IG Equity Share'!$B:$B,MATCH(YEAR(I99),'IG Equity Share'!$A:$A,0)),0)</f>
        <v>7.4999999999999997E-2</v>
      </c>
      <c r="AH99" s="383">
        <f>AJ99*AG99*_xlfn.XLOOKUP(I99,'S3123 Consortium Share'!$A$3:$A$5,'S3123 Consortium Share'!$F$3:$F$5,,-1)</f>
        <v>154639.25231958719</v>
      </c>
      <c r="AI99" s="14">
        <v>1</v>
      </c>
      <c r="AJ99" s="13">
        <f t="shared" si="114"/>
        <v>4948456.0742267901</v>
      </c>
      <c r="AK99" s="13">
        <f t="shared" si="115"/>
        <v>4948456.0742267901</v>
      </c>
      <c r="AL99" s="13" t="str">
        <f t="shared" si="116"/>
        <v>FUL</v>
      </c>
      <c r="AM99" s="52">
        <f t="shared" si="117"/>
        <v>2025</v>
      </c>
      <c r="AN99" s="4">
        <f>INDEX('[2]Input Data'!$AH:$AH,MATCH(A99,'[2]Input Data'!$A:$A,0),1)-AH99</f>
        <v>0</v>
      </c>
      <c r="AO99" s="13">
        <f t="shared" si="149"/>
        <v>0</v>
      </c>
      <c r="AP99" s="13">
        <f t="shared" si="149"/>
        <v>0</v>
      </c>
      <c r="AQ99" s="13">
        <f t="shared" si="149"/>
        <v>0</v>
      </c>
      <c r="AR99" s="13">
        <f t="shared" si="149"/>
        <v>0</v>
      </c>
      <c r="AS99" s="13">
        <f t="shared" si="149"/>
        <v>0</v>
      </c>
      <c r="AT99" s="13">
        <f t="shared" si="149"/>
        <v>0</v>
      </c>
      <c r="AU99" s="13">
        <f t="shared" si="149"/>
        <v>989691.21484535804</v>
      </c>
      <c r="AV99" s="13">
        <f t="shared" si="146"/>
        <v>0</v>
      </c>
      <c r="AW99" s="13"/>
      <c r="AX99" s="13"/>
      <c r="AY99" s="13">
        <f t="shared" si="147"/>
        <v>989691.21484535804</v>
      </c>
      <c r="AZ99" s="13">
        <f t="shared" si="105"/>
        <v>0</v>
      </c>
      <c r="BA99" s="74"/>
      <c r="BB99" s="25">
        <f t="shared" si="106"/>
        <v>3958764.8593814322</v>
      </c>
      <c r="BC99" s="13">
        <f t="shared" si="107"/>
        <v>0</v>
      </c>
      <c r="BD99" s="13" t="b">
        <f>AND(AF99,NOT(ISNUMBER(MATCH(G99,Table1[Excluded Spacecraft ID],0))))</f>
        <v>1</v>
      </c>
      <c r="BE99" s="13">
        <f>BD99*AK99*_xlfn.XLOOKUP(I99,Table2[Date From],Table2[Cession],"Error",-1)*_xlfn.XLOOKUP(I99,'S3123 Consortium Share'!$A$3:$A$5,'S3123 Consortium Share'!$F$3:$F$5,,-1)</f>
        <v>412371.33951889921</v>
      </c>
      <c r="BF99" s="13">
        <f t="shared" si="108"/>
        <v>3958764.8593814322</v>
      </c>
      <c r="BG99" s="89" cm="1">
        <f t="array" ref="BG99">IF(V99="FIBL",0,INDEX('IGR QS'!$A$1:$D$570,MATCH('Input Data'!V99&amp;'Input Data'!W99&amp;'Input Data'!AM99,'IGR QS'!A:A&amp;'IGR QS'!B:B&amp;'IGR QS'!C:C,0),4))</f>
        <v>0.5</v>
      </c>
      <c r="BH99" s="13">
        <f t="shared" si="109"/>
        <v>1979382.4296907161</v>
      </c>
      <c r="BI99" s="13">
        <f t="shared" si="110"/>
        <v>1979382.4296907161</v>
      </c>
      <c r="BJ99" s="13">
        <f t="shared" si="118"/>
        <v>0</v>
      </c>
      <c r="BK99" s="13">
        <f t="shared" si="111"/>
        <v>1979382.4296907161</v>
      </c>
      <c r="BL99" s="13">
        <f t="shared" si="112"/>
        <v>1979382.4296907161</v>
      </c>
      <c r="BM99" s="21"/>
      <c r="BN99" s="13">
        <f t="shared" si="119"/>
        <v>8286852.3573225886</v>
      </c>
      <c r="BO99" s="13">
        <f t="shared" si="120"/>
        <v>8286852.3573225886</v>
      </c>
      <c r="BP99" s="13">
        <f t="shared" si="121"/>
        <v>0</v>
      </c>
      <c r="BQ99" s="13">
        <f t="shared" si="122"/>
        <v>8286852.3573225886</v>
      </c>
      <c r="BR99" s="13">
        <f t="shared" si="123"/>
        <v>4143426.1786612943</v>
      </c>
      <c r="BT99" s="13">
        <f t="shared" si="124"/>
        <v>3958764.8593814322</v>
      </c>
      <c r="BU99" s="13">
        <f t="shared" si="125"/>
        <v>1979382.4296907161</v>
      </c>
      <c r="BV99" s="13">
        <f t="shared" si="126"/>
        <v>1979382.4296907161</v>
      </c>
      <c r="BW99" s="13">
        <f t="shared" si="127"/>
        <v>989691.21484535804</v>
      </c>
      <c r="BX99" s="13"/>
      <c r="BY99" s="25">
        <f t="shared" si="128"/>
        <v>247422.80371133951</v>
      </c>
      <c r="BZ99" s="25">
        <f t="shared" si="129"/>
        <v>247422.80371133951</v>
      </c>
      <c r="CA99" s="25">
        <f t="shared" si="130"/>
        <v>0</v>
      </c>
      <c r="CB99" s="25">
        <f t="shared" si="131"/>
        <v>0</v>
      </c>
      <c r="CC99" s="25">
        <f t="shared" si="132"/>
        <v>123711.40185566976</v>
      </c>
      <c r="CD99" s="384">
        <f t="shared" si="133"/>
        <v>0</v>
      </c>
      <c r="CR99" s="25">
        <f t="shared" si="134"/>
        <v>989691.21484535804</v>
      </c>
      <c r="CS99" s="25">
        <f t="shared" si="104"/>
        <v>989691.21484535804</v>
      </c>
      <c r="CT99" s="25">
        <f t="shared" si="104"/>
        <v>0</v>
      </c>
      <c r="CU99" s="25">
        <f t="shared" si="135"/>
        <v>0</v>
      </c>
      <c r="CV99" s="25">
        <f t="shared" si="136"/>
        <v>494845.60742267902</v>
      </c>
      <c r="CW99" s="25">
        <f t="shared" si="137"/>
        <v>0</v>
      </c>
      <c r="CY99" s="25">
        <f t="shared" si="138"/>
        <v>247422.80371133951</v>
      </c>
      <c r="CZ99" s="25">
        <f t="shared" si="139"/>
        <v>247422.80371133951</v>
      </c>
      <c r="DA99" s="25">
        <f t="shared" si="150"/>
        <v>0</v>
      </c>
      <c r="DB99" s="25">
        <f t="shared" si="140"/>
        <v>0</v>
      </c>
      <c r="DC99" s="25">
        <f t="shared" si="141"/>
        <v>123711.40185566976</v>
      </c>
      <c r="DD99" s="25">
        <f t="shared" si="142"/>
        <v>0</v>
      </c>
    </row>
    <row r="100" spans="1:108" x14ac:dyDescent="0.35">
      <c r="A100" s="282" t="str">
        <f t="shared" si="143"/>
        <v>349114_488490</v>
      </c>
      <c r="B100" s="303">
        <v>349114</v>
      </c>
      <c r="C100" s="303">
        <v>488490</v>
      </c>
      <c r="D100" s="319" t="str">
        <f>IFERROR(MATCH(C100,'[4]Custom Earning Pattern Not Popu'!$B$5:$B$428,0),"NA")</f>
        <v>NA</v>
      </c>
      <c r="E100" s="303" t="s">
        <v>228</v>
      </c>
      <c r="F100" s="303">
        <v>15</v>
      </c>
      <c r="G100" s="303">
        <v>8993</v>
      </c>
      <c r="H100" s="306">
        <v>41515</v>
      </c>
      <c r="I100" s="306">
        <v>45877</v>
      </c>
      <c r="J100" s="306">
        <v>46326</v>
      </c>
      <c r="K100" s="303" t="s">
        <v>113</v>
      </c>
      <c r="L100" s="306">
        <v>45877</v>
      </c>
      <c r="M100" s="306">
        <v>46326</v>
      </c>
      <c r="N100" s="303" t="s">
        <v>466</v>
      </c>
      <c r="O100" s="303" t="s">
        <v>466</v>
      </c>
      <c r="P100" s="148">
        <f t="shared" si="144"/>
        <v>0.4</v>
      </c>
      <c r="Q100" s="282">
        <v>1</v>
      </c>
      <c r="R100" s="282">
        <v>0</v>
      </c>
      <c r="S100" s="282" t="str">
        <f t="shared" si="148"/>
        <v>In-Orbit</v>
      </c>
      <c r="T100" s="282" t="s">
        <v>13</v>
      </c>
      <c r="U100" s="303" t="s">
        <v>420</v>
      </c>
      <c r="V100" s="303" t="s">
        <v>29</v>
      </c>
      <c r="W100" s="303" t="s">
        <v>78</v>
      </c>
      <c r="X100" s="303" t="s">
        <v>422</v>
      </c>
      <c r="Y100" s="303" t="s">
        <v>325</v>
      </c>
      <c r="Z100" s="303" t="s">
        <v>337</v>
      </c>
      <c r="AA100" s="308">
        <v>6680409.8857731996</v>
      </c>
      <c r="AC100" s="289">
        <f t="shared" si="145"/>
        <v>0</v>
      </c>
      <c r="AD100" s="88" cm="1">
        <f t="array" ref="AD100">IF(AC100=0,0,INDEX(Summary!$S$4:$S$7,MATCH(AC100,Summary!$R$4:$R$7)+1))</f>
        <v>0</v>
      </c>
      <c r="AE100" s="88">
        <f>IFERROR(INDEX(Summary!$Y$4:$Y$6,MATCH('Input Data'!K100,Summary!$U$4:$U$6,0)),0)</f>
        <v>0.05</v>
      </c>
      <c r="AF100" s="88" t="b">
        <f t="shared" si="113"/>
        <v>1</v>
      </c>
      <c r="AG100" s="89">
        <f>IF(AF100,INDEX('IG Equity Share'!$B:$B,MATCH(YEAR(I100),'IG Equity Share'!$A:$A,0)),0)</f>
        <v>7.4999999999999997E-2</v>
      </c>
      <c r="AH100" s="383">
        <f>AJ100*AG100*_xlfn.XLOOKUP(I100,'S3123 Consortium Share'!$A$3:$A$5,'S3123 Consortium Share'!$F$3:$F$5,,-1)</f>
        <v>208762.80893041249</v>
      </c>
      <c r="AI100" s="14">
        <v>1</v>
      </c>
      <c r="AJ100" s="13">
        <f t="shared" si="114"/>
        <v>6680409.8857731996</v>
      </c>
      <c r="AK100" s="13">
        <f t="shared" si="115"/>
        <v>6680409.8857731996</v>
      </c>
      <c r="AL100" s="13" t="str">
        <f t="shared" si="116"/>
        <v>FUL</v>
      </c>
      <c r="AM100" s="52">
        <f t="shared" si="117"/>
        <v>2025</v>
      </c>
      <c r="AN100" s="4"/>
      <c r="AO100" s="13">
        <f t="shared" ref="AO100:AU109" si="151">+IF(AND($I100&lt;=AO$8,$I100&gt;=AO$7),$AK100*AO$11,0)</f>
        <v>0</v>
      </c>
      <c r="AP100" s="13">
        <f t="shared" si="151"/>
        <v>0</v>
      </c>
      <c r="AQ100" s="13">
        <f t="shared" si="151"/>
        <v>0</v>
      </c>
      <c r="AR100" s="13">
        <f t="shared" si="151"/>
        <v>0</v>
      </c>
      <c r="AS100" s="13">
        <f t="shared" si="151"/>
        <v>0</v>
      </c>
      <c r="AT100" s="13">
        <f t="shared" si="151"/>
        <v>0</v>
      </c>
      <c r="AU100" s="13">
        <f t="shared" si="151"/>
        <v>1336081.97715464</v>
      </c>
      <c r="AV100" s="13">
        <f t="shared" si="146"/>
        <v>0</v>
      </c>
      <c r="AW100" s="13"/>
      <c r="AX100" s="13"/>
      <c r="AY100" s="13">
        <f t="shared" si="147"/>
        <v>1336081.97715464</v>
      </c>
      <c r="AZ100" s="13">
        <f t="shared" ref="AZ100:AZ143" si="152">+AO100+AP100</f>
        <v>0</v>
      </c>
      <c r="BA100" s="74"/>
      <c r="BB100" s="25">
        <f t="shared" ref="BB100:BB143" si="153">+AK100-AY100</f>
        <v>5344327.9086185601</v>
      </c>
      <c r="BC100" s="13">
        <f t="shared" ref="BC100:BC143" si="154">SUM(AO100)</f>
        <v>0</v>
      </c>
      <c r="BD100" s="13" t="b">
        <f>AND(AF100,NOT(ISNUMBER(MATCH(G100,Table1[Excluded Spacecraft ID],0))))</f>
        <v>1</v>
      </c>
      <c r="BE100" s="13">
        <f>BD100*AK100*_xlfn.XLOOKUP(I100,Table2[Date From],Table2[Cession],"Error",-1)*_xlfn.XLOOKUP(I100,'S3123 Consortium Share'!$A$3:$A$5,'S3123 Consortium Share'!$F$3:$F$5,,-1)</f>
        <v>556700.82381443342</v>
      </c>
      <c r="BF100" s="13">
        <f t="shared" ref="BF100:BF143" si="155">+BB100-BC100</f>
        <v>5344327.9086185601</v>
      </c>
      <c r="BG100" s="89" cm="1">
        <f t="array" ref="BG100">IF(V100="FIBL",0,INDEX('IGR QS'!$A$1:$D$570,MATCH('Input Data'!V100&amp;'Input Data'!W100&amp;'Input Data'!AM100,'IGR QS'!A:A&amp;'IGR QS'!B:B&amp;'IGR QS'!C:C,0),4))</f>
        <v>0.5</v>
      </c>
      <c r="BH100" s="13">
        <f t="shared" ref="BH100:BH143" si="156">+BF100*BG100</f>
        <v>2672163.95430928</v>
      </c>
      <c r="BI100" s="13">
        <f t="shared" ref="BI100:BI143" si="157">+BF100-BH100</f>
        <v>2672163.95430928</v>
      </c>
      <c r="BJ100" s="13">
        <f t="shared" si="118"/>
        <v>0</v>
      </c>
      <c r="BK100" s="13">
        <f t="shared" ref="BK100:BK143" si="158">BH100+BJ100</f>
        <v>2672163.95430928</v>
      </c>
      <c r="BL100" s="13">
        <f t="shared" ref="BL100:BL143" si="159">+BI100-BJ100</f>
        <v>2672163.95430928</v>
      </c>
      <c r="BM100" s="21"/>
      <c r="BN100" s="13">
        <f t="shared" si="119"/>
        <v>42320200.903406374</v>
      </c>
      <c r="BO100" s="13">
        <f t="shared" si="120"/>
        <v>39234742.262773834</v>
      </c>
      <c r="BP100" s="13">
        <f t="shared" si="121"/>
        <v>3085458.6406325367</v>
      </c>
      <c r="BQ100" s="13">
        <f t="shared" si="122"/>
        <v>50319014.293024875</v>
      </c>
      <c r="BR100" s="13">
        <f t="shared" si="123"/>
        <v>23159803.799107812</v>
      </c>
      <c r="BT100" s="13">
        <f t="shared" si="124"/>
        <v>5344327.9086185601</v>
      </c>
      <c r="BU100" s="13">
        <f t="shared" si="125"/>
        <v>2672163.95430928</v>
      </c>
      <c r="BV100" s="13">
        <f t="shared" si="126"/>
        <v>2672163.95430928</v>
      </c>
      <c r="BW100" s="13">
        <f t="shared" si="127"/>
        <v>1336081.97715464</v>
      </c>
      <c r="BX100" s="13"/>
      <c r="BY100" s="25">
        <f t="shared" si="128"/>
        <v>334020.49428866</v>
      </c>
      <c r="BZ100" s="25">
        <f t="shared" si="129"/>
        <v>334020.49428866</v>
      </c>
      <c r="CA100" s="25">
        <f t="shared" si="130"/>
        <v>0</v>
      </c>
      <c r="CB100" s="25">
        <f t="shared" si="131"/>
        <v>0</v>
      </c>
      <c r="CC100" s="25">
        <f t="shared" si="132"/>
        <v>167010.24714433</v>
      </c>
      <c r="CD100" s="384">
        <f t="shared" si="133"/>
        <v>0</v>
      </c>
      <c r="CR100" s="25">
        <f t="shared" si="134"/>
        <v>1336081.97715464</v>
      </c>
      <c r="CS100" s="25">
        <f t="shared" ref="CS100:CT119" si="160">IF(AND(OR($K100="GEO-GSO",$K100="MEO"),$AL100=CS$19),$AK100*Generic_Defect_Loss,0)*$Q100*$P100</f>
        <v>1336081.97715464</v>
      </c>
      <c r="CT100" s="25">
        <f t="shared" si="160"/>
        <v>0</v>
      </c>
      <c r="CU100" s="25">
        <f t="shared" si="135"/>
        <v>0</v>
      </c>
      <c r="CV100" s="25">
        <f t="shared" si="136"/>
        <v>668040.98857732001</v>
      </c>
      <c r="CW100" s="25">
        <f t="shared" si="137"/>
        <v>0</v>
      </c>
      <c r="CY100" s="25">
        <f t="shared" si="138"/>
        <v>334020.49428866</v>
      </c>
      <c r="CZ100" s="25">
        <f t="shared" si="139"/>
        <v>334020.49428866</v>
      </c>
      <c r="DA100" s="25">
        <f t="shared" si="150"/>
        <v>0</v>
      </c>
      <c r="DB100" s="25">
        <f t="shared" si="140"/>
        <v>0</v>
      </c>
      <c r="DC100" s="25">
        <f t="shared" si="141"/>
        <v>167010.24714433</v>
      </c>
      <c r="DD100" s="25">
        <f t="shared" si="142"/>
        <v>0</v>
      </c>
    </row>
    <row r="101" spans="1:108" x14ac:dyDescent="0.35">
      <c r="A101" s="282" t="str">
        <f t="shared" si="143"/>
        <v>349114_489316</v>
      </c>
      <c r="B101" s="303">
        <v>349114</v>
      </c>
      <c r="C101" s="303">
        <v>489316</v>
      </c>
      <c r="D101" s="319" t="str">
        <f>IFERROR(MATCH(C101,'[4]Custom Earning Pattern Not Popu'!$B$5:$B$428,0),"NA")</f>
        <v>NA</v>
      </c>
      <c r="E101" s="303" t="s">
        <v>228</v>
      </c>
      <c r="F101" s="303">
        <v>15</v>
      </c>
      <c r="G101" s="303">
        <v>9780</v>
      </c>
      <c r="H101" s="306">
        <v>43419</v>
      </c>
      <c r="I101" s="306">
        <v>45877</v>
      </c>
      <c r="J101" s="306">
        <v>46326</v>
      </c>
      <c r="K101" s="303" t="s">
        <v>113</v>
      </c>
      <c r="L101" s="306">
        <v>45877</v>
      </c>
      <c r="M101" s="306">
        <v>46326</v>
      </c>
      <c r="N101" s="303" t="s">
        <v>236</v>
      </c>
      <c r="O101" s="303" t="s">
        <v>236</v>
      </c>
      <c r="P101" s="148">
        <f t="shared" si="144"/>
        <v>0.4</v>
      </c>
      <c r="Q101" s="282">
        <v>1</v>
      </c>
      <c r="R101" s="282">
        <v>0</v>
      </c>
      <c r="S101" s="282" t="str">
        <f t="shared" si="148"/>
        <v>In-Orbit</v>
      </c>
      <c r="T101" s="282" t="s">
        <v>13</v>
      </c>
      <c r="U101" s="303" t="s">
        <v>420</v>
      </c>
      <c r="V101" s="303" t="s">
        <v>29</v>
      </c>
      <c r="W101" s="303" t="s">
        <v>78</v>
      </c>
      <c r="X101" s="303" t="s">
        <v>421</v>
      </c>
      <c r="Y101" s="303" t="s">
        <v>324</v>
      </c>
      <c r="Z101" s="303" t="s">
        <v>338</v>
      </c>
      <c r="AA101" s="308">
        <v>4948456.0742267901</v>
      </c>
      <c r="AC101" s="289">
        <f t="shared" si="145"/>
        <v>0</v>
      </c>
      <c r="AD101" s="88" cm="1">
        <f t="array" ref="AD101">IF(AC101=0,0,INDEX(Summary!$S$4:$S$7,MATCH(AC101,Summary!$R$4:$R$7)+1))</f>
        <v>0</v>
      </c>
      <c r="AE101" s="88">
        <f>IFERROR(INDEX(Summary!$Y$4:$Y$6,MATCH('Input Data'!K101,Summary!$U$4:$U$6,0)),0)</f>
        <v>0.05</v>
      </c>
      <c r="AF101" s="88" t="b">
        <f t="shared" si="113"/>
        <v>1</v>
      </c>
      <c r="AG101" s="89">
        <f>IF(AF101,INDEX('IG Equity Share'!$B:$B,MATCH(YEAR(I101),'IG Equity Share'!$A:$A,0)),0)</f>
        <v>7.4999999999999997E-2</v>
      </c>
      <c r="AH101" s="383">
        <f>AJ101*AG101*_xlfn.XLOOKUP(I101,'S3123 Consortium Share'!$A$3:$A$5,'S3123 Consortium Share'!$F$3:$F$5,,-1)</f>
        <v>154639.25231958719</v>
      </c>
      <c r="AI101" s="14">
        <v>1</v>
      </c>
      <c r="AJ101" s="13">
        <f t="shared" si="114"/>
        <v>4948456.0742267901</v>
      </c>
      <c r="AK101" s="13">
        <f t="shared" si="115"/>
        <v>4948456.0742267901</v>
      </c>
      <c r="AL101" s="13" t="str">
        <f t="shared" si="116"/>
        <v>FUL</v>
      </c>
      <c r="AM101" s="52">
        <f t="shared" si="117"/>
        <v>2025</v>
      </c>
      <c r="AN101" s="4">
        <f>INDEX('[2]Input Data'!$AH:$AH,MATCH(A101,'[2]Input Data'!$A:$A,0),1)-AH101</f>
        <v>0</v>
      </c>
      <c r="AO101" s="13">
        <f t="shared" si="151"/>
        <v>0</v>
      </c>
      <c r="AP101" s="13">
        <f t="shared" si="151"/>
        <v>0</v>
      </c>
      <c r="AQ101" s="13">
        <f t="shared" si="151"/>
        <v>0</v>
      </c>
      <c r="AR101" s="13">
        <f t="shared" si="151"/>
        <v>0</v>
      </c>
      <c r="AS101" s="13">
        <f t="shared" si="151"/>
        <v>0</v>
      </c>
      <c r="AT101" s="13">
        <f t="shared" si="151"/>
        <v>0</v>
      </c>
      <c r="AU101" s="13">
        <f t="shared" si="151"/>
        <v>989691.21484535804</v>
      </c>
      <c r="AV101" s="13">
        <f t="shared" si="146"/>
        <v>0</v>
      </c>
      <c r="AW101" s="13"/>
      <c r="AX101" s="13"/>
      <c r="AY101" s="13">
        <f t="shared" si="147"/>
        <v>989691.21484535804</v>
      </c>
      <c r="AZ101" s="13">
        <f t="shared" si="152"/>
        <v>0</v>
      </c>
      <c r="BA101" s="74"/>
      <c r="BB101" s="25">
        <f t="shared" si="153"/>
        <v>3958764.8593814322</v>
      </c>
      <c r="BC101" s="13">
        <f t="shared" si="154"/>
        <v>0</v>
      </c>
      <c r="BD101" s="13" t="b">
        <f>AND(AF101,NOT(ISNUMBER(MATCH(G101,Table1[Excluded Spacecraft ID],0))))</f>
        <v>1</v>
      </c>
      <c r="BE101" s="13">
        <f>BD101*AK101*_xlfn.XLOOKUP(I101,Table2[Date From],Table2[Cession],"Error",-1)*_xlfn.XLOOKUP(I101,'S3123 Consortium Share'!$A$3:$A$5,'S3123 Consortium Share'!$F$3:$F$5,,-1)</f>
        <v>412371.33951889921</v>
      </c>
      <c r="BF101" s="13">
        <f t="shared" si="155"/>
        <v>3958764.8593814322</v>
      </c>
      <c r="BG101" s="89" cm="1">
        <f t="array" ref="BG101">IF(V101="FIBL",0,INDEX('IGR QS'!$A$1:$D$570,MATCH('Input Data'!V101&amp;'Input Data'!W101&amp;'Input Data'!AM101,'IGR QS'!A:A&amp;'IGR QS'!B:B&amp;'IGR QS'!C:C,0),4))</f>
        <v>0.5</v>
      </c>
      <c r="BH101" s="13">
        <f t="shared" si="156"/>
        <v>1979382.4296907161</v>
      </c>
      <c r="BI101" s="13">
        <f t="shared" si="157"/>
        <v>1979382.4296907161</v>
      </c>
      <c r="BJ101" s="13">
        <f t="shared" si="118"/>
        <v>0</v>
      </c>
      <c r="BK101" s="13">
        <f t="shared" si="158"/>
        <v>1979382.4296907161</v>
      </c>
      <c r="BL101" s="13">
        <f t="shared" si="159"/>
        <v>1979382.4296907161</v>
      </c>
      <c r="BM101" s="21"/>
      <c r="BN101" s="13">
        <f t="shared" si="119"/>
        <v>8286852.3573225886</v>
      </c>
      <c r="BO101" s="13">
        <f t="shared" si="120"/>
        <v>8286852.3573225886</v>
      </c>
      <c r="BP101" s="13">
        <f t="shared" si="121"/>
        <v>0</v>
      </c>
      <c r="BQ101" s="13">
        <f t="shared" si="122"/>
        <v>8286852.3573225886</v>
      </c>
      <c r="BR101" s="13">
        <f t="shared" si="123"/>
        <v>4143426.1786612943</v>
      </c>
      <c r="BT101" s="13">
        <f t="shared" si="124"/>
        <v>3958764.8593814322</v>
      </c>
      <c r="BU101" s="13">
        <f t="shared" si="125"/>
        <v>1979382.4296907161</v>
      </c>
      <c r="BV101" s="13">
        <f t="shared" si="126"/>
        <v>1979382.4296907161</v>
      </c>
      <c r="BW101" s="13">
        <f t="shared" si="127"/>
        <v>989691.21484535804</v>
      </c>
      <c r="BX101" s="13"/>
      <c r="BY101" s="25">
        <f t="shared" si="128"/>
        <v>247422.80371133951</v>
      </c>
      <c r="BZ101" s="25">
        <f t="shared" si="129"/>
        <v>247422.80371133951</v>
      </c>
      <c r="CA101" s="25">
        <f t="shared" si="130"/>
        <v>0</v>
      </c>
      <c r="CB101" s="25">
        <f t="shared" si="131"/>
        <v>0</v>
      </c>
      <c r="CC101" s="25">
        <f t="shared" si="132"/>
        <v>123711.40185566976</v>
      </c>
      <c r="CD101" s="384">
        <f t="shared" si="133"/>
        <v>0</v>
      </c>
      <c r="CR101" s="25">
        <f t="shared" si="134"/>
        <v>989691.21484535804</v>
      </c>
      <c r="CS101" s="25">
        <f t="shared" si="160"/>
        <v>989691.21484535804</v>
      </c>
      <c r="CT101" s="25">
        <f t="shared" si="160"/>
        <v>0</v>
      </c>
      <c r="CU101" s="25">
        <f t="shared" si="135"/>
        <v>0</v>
      </c>
      <c r="CV101" s="25">
        <f t="shared" si="136"/>
        <v>494845.60742267902</v>
      </c>
      <c r="CW101" s="25">
        <f t="shared" si="137"/>
        <v>0</v>
      </c>
      <c r="CY101" s="25">
        <f t="shared" si="138"/>
        <v>247422.80371133951</v>
      </c>
      <c r="CZ101" s="25">
        <f t="shared" si="139"/>
        <v>247422.80371133951</v>
      </c>
      <c r="DA101" s="25">
        <f t="shared" si="150"/>
        <v>0</v>
      </c>
      <c r="DB101" s="25">
        <f t="shared" si="140"/>
        <v>0</v>
      </c>
      <c r="DC101" s="25">
        <f t="shared" si="141"/>
        <v>123711.40185566976</v>
      </c>
      <c r="DD101" s="25">
        <f t="shared" si="142"/>
        <v>0</v>
      </c>
    </row>
    <row r="102" spans="1:108" x14ac:dyDescent="0.35">
      <c r="A102" s="282" t="str">
        <f t="shared" si="143"/>
        <v>349114_489317</v>
      </c>
      <c r="B102" s="303">
        <v>349114</v>
      </c>
      <c r="C102" s="303">
        <v>489317</v>
      </c>
      <c r="D102" s="319" t="str">
        <f>IFERROR(MATCH(C102,'[4]Custom Earning Pattern Not Popu'!$B$5:$B$428,0),"NA")</f>
        <v>NA</v>
      </c>
      <c r="E102" s="303" t="s">
        <v>228</v>
      </c>
      <c r="F102" s="303">
        <v>15</v>
      </c>
      <c r="G102" s="303">
        <v>8993</v>
      </c>
      <c r="H102" s="306">
        <v>41515</v>
      </c>
      <c r="I102" s="306">
        <v>45877</v>
      </c>
      <c r="J102" s="306">
        <v>46326</v>
      </c>
      <c r="K102" s="303" t="s">
        <v>113</v>
      </c>
      <c r="L102" s="306">
        <v>45877</v>
      </c>
      <c r="M102" s="306">
        <v>46326</v>
      </c>
      <c r="N102" s="303" t="s">
        <v>466</v>
      </c>
      <c r="O102" s="303" t="s">
        <v>466</v>
      </c>
      <c r="P102" s="148">
        <f t="shared" si="144"/>
        <v>0.4</v>
      </c>
      <c r="Q102" s="282">
        <v>1</v>
      </c>
      <c r="R102" s="282">
        <v>0</v>
      </c>
      <c r="S102" s="282" t="str">
        <f t="shared" si="148"/>
        <v>In-Orbit</v>
      </c>
      <c r="T102" s="282" t="s">
        <v>13</v>
      </c>
      <c r="U102" s="303" t="s">
        <v>420</v>
      </c>
      <c r="V102" s="303" t="s">
        <v>29</v>
      </c>
      <c r="W102" s="303" t="s">
        <v>78</v>
      </c>
      <c r="X102" s="303" t="s">
        <v>422</v>
      </c>
      <c r="Y102" s="303" t="s">
        <v>325</v>
      </c>
      <c r="Z102" s="303" t="s">
        <v>337</v>
      </c>
      <c r="AA102" s="308">
        <v>6680409.8857731996</v>
      </c>
      <c r="AC102" s="289">
        <f t="shared" si="145"/>
        <v>0</v>
      </c>
      <c r="AD102" s="88" cm="1">
        <f t="array" ref="AD102">IF(AC102=0,0,INDEX(Summary!$S$4:$S$7,MATCH(AC102,Summary!$R$4:$R$7)+1))</f>
        <v>0</v>
      </c>
      <c r="AE102" s="88">
        <f>IFERROR(INDEX(Summary!$Y$4:$Y$6,MATCH('Input Data'!K102,Summary!$U$4:$U$6,0)),0)</f>
        <v>0.05</v>
      </c>
      <c r="AF102" s="88" t="b">
        <f t="shared" si="113"/>
        <v>1</v>
      </c>
      <c r="AG102" s="89">
        <f>IF(AF102,INDEX('IG Equity Share'!$B:$B,MATCH(YEAR(I102),'IG Equity Share'!$A:$A,0)),0)</f>
        <v>7.4999999999999997E-2</v>
      </c>
      <c r="AH102" s="383">
        <f>AJ102*AG102*_xlfn.XLOOKUP(I102,'S3123 Consortium Share'!$A$3:$A$5,'S3123 Consortium Share'!$F$3:$F$5,,-1)</f>
        <v>208762.80893041249</v>
      </c>
      <c r="AI102" s="14">
        <v>1</v>
      </c>
      <c r="AJ102" s="13">
        <f t="shared" si="114"/>
        <v>6680409.8857731996</v>
      </c>
      <c r="AK102" s="13">
        <f t="shared" si="115"/>
        <v>6680409.8857731996</v>
      </c>
      <c r="AL102" s="13" t="str">
        <f t="shared" si="116"/>
        <v>FUL</v>
      </c>
      <c r="AM102" s="52">
        <f t="shared" si="117"/>
        <v>2025</v>
      </c>
      <c r="AN102" s="4"/>
      <c r="AO102" s="13">
        <f t="shared" si="151"/>
        <v>0</v>
      </c>
      <c r="AP102" s="13">
        <f t="shared" si="151"/>
        <v>0</v>
      </c>
      <c r="AQ102" s="13">
        <f t="shared" si="151"/>
        <v>0</v>
      </c>
      <c r="AR102" s="13">
        <f t="shared" si="151"/>
        <v>0</v>
      </c>
      <c r="AS102" s="13">
        <f t="shared" si="151"/>
        <v>0</v>
      </c>
      <c r="AT102" s="13">
        <f t="shared" si="151"/>
        <v>0</v>
      </c>
      <c r="AU102" s="13">
        <f t="shared" si="151"/>
        <v>1336081.97715464</v>
      </c>
      <c r="AV102" s="13">
        <f t="shared" si="146"/>
        <v>0</v>
      </c>
      <c r="AW102" s="13"/>
      <c r="AX102" s="13"/>
      <c r="AY102" s="13">
        <f t="shared" si="147"/>
        <v>1336081.97715464</v>
      </c>
      <c r="AZ102" s="13">
        <f t="shared" si="152"/>
        <v>0</v>
      </c>
      <c r="BA102" s="74"/>
      <c r="BB102" s="25">
        <f t="shared" si="153"/>
        <v>5344327.9086185601</v>
      </c>
      <c r="BC102" s="13">
        <f t="shared" si="154"/>
        <v>0</v>
      </c>
      <c r="BD102" s="13" t="b">
        <f>AND(AF102,NOT(ISNUMBER(MATCH(G102,Table1[Excluded Spacecraft ID],0))))</f>
        <v>1</v>
      </c>
      <c r="BE102" s="13">
        <f>BD102*AK102*_xlfn.XLOOKUP(I102,Table2[Date From],Table2[Cession],"Error",-1)*_xlfn.XLOOKUP(I102,'S3123 Consortium Share'!$A$3:$A$5,'S3123 Consortium Share'!$F$3:$F$5,,-1)</f>
        <v>556700.82381443342</v>
      </c>
      <c r="BF102" s="13">
        <f t="shared" si="155"/>
        <v>5344327.9086185601</v>
      </c>
      <c r="BG102" s="89" cm="1">
        <f t="array" ref="BG102">IF(V102="FIBL",0,INDEX('IGR QS'!$A$1:$D$570,MATCH('Input Data'!V102&amp;'Input Data'!W102&amp;'Input Data'!AM102,'IGR QS'!A:A&amp;'IGR QS'!B:B&amp;'IGR QS'!C:C,0),4))</f>
        <v>0.5</v>
      </c>
      <c r="BH102" s="13">
        <f t="shared" si="156"/>
        <v>2672163.95430928</v>
      </c>
      <c r="BI102" s="13">
        <f t="shared" si="157"/>
        <v>2672163.95430928</v>
      </c>
      <c r="BJ102" s="13">
        <f t="shared" si="118"/>
        <v>0</v>
      </c>
      <c r="BK102" s="13">
        <f t="shared" si="158"/>
        <v>2672163.95430928</v>
      </c>
      <c r="BL102" s="13">
        <f t="shared" si="159"/>
        <v>2672163.95430928</v>
      </c>
      <c r="BM102" s="21"/>
      <c r="BN102" s="13">
        <f t="shared" si="119"/>
        <v>42320200.903406374</v>
      </c>
      <c r="BO102" s="13">
        <f t="shared" si="120"/>
        <v>39234742.262773834</v>
      </c>
      <c r="BP102" s="13">
        <f t="shared" si="121"/>
        <v>3085458.6406325367</v>
      </c>
      <c r="BQ102" s="13">
        <f t="shared" si="122"/>
        <v>50319014.293024875</v>
      </c>
      <c r="BR102" s="13">
        <f t="shared" si="123"/>
        <v>23159803.799107812</v>
      </c>
      <c r="BT102" s="13">
        <f t="shared" si="124"/>
        <v>5344327.9086185601</v>
      </c>
      <c r="BU102" s="13">
        <f t="shared" si="125"/>
        <v>2672163.95430928</v>
      </c>
      <c r="BV102" s="13">
        <f t="shared" si="126"/>
        <v>2672163.95430928</v>
      </c>
      <c r="BW102" s="13">
        <f t="shared" si="127"/>
        <v>1336081.97715464</v>
      </c>
      <c r="BX102" s="13"/>
      <c r="BY102" s="25">
        <f t="shared" si="128"/>
        <v>334020.49428866</v>
      </c>
      <c r="BZ102" s="25">
        <f t="shared" si="129"/>
        <v>334020.49428866</v>
      </c>
      <c r="CA102" s="25">
        <f t="shared" si="130"/>
        <v>0</v>
      </c>
      <c r="CB102" s="25">
        <f t="shared" si="131"/>
        <v>0</v>
      </c>
      <c r="CC102" s="25">
        <f t="shared" si="132"/>
        <v>167010.24714433</v>
      </c>
      <c r="CD102" s="384">
        <f t="shared" si="133"/>
        <v>0</v>
      </c>
      <c r="CR102" s="25">
        <f t="shared" si="134"/>
        <v>1336081.97715464</v>
      </c>
      <c r="CS102" s="25">
        <f t="shared" si="160"/>
        <v>1336081.97715464</v>
      </c>
      <c r="CT102" s="25">
        <f t="shared" si="160"/>
        <v>0</v>
      </c>
      <c r="CU102" s="25">
        <f t="shared" si="135"/>
        <v>0</v>
      </c>
      <c r="CV102" s="25">
        <f t="shared" si="136"/>
        <v>668040.98857732001</v>
      </c>
      <c r="CW102" s="25">
        <f t="shared" si="137"/>
        <v>0</v>
      </c>
      <c r="CY102" s="25">
        <f t="shared" si="138"/>
        <v>334020.49428866</v>
      </c>
      <c r="CZ102" s="25">
        <f t="shared" si="139"/>
        <v>334020.49428866</v>
      </c>
      <c r="DA102" s="25">
        <f t="shared" si="150"/>
        <v>0</v>
      </c>
      <c r="DB102" s="25">
        <f t="shared" si="140"/>
        <v>0</v>
      </c>
      <c r="DC102" s="25">
        <f t="shared" si="141"/>
        <v>167010.24714433</v>
      </c>
      <c r="DD102" s="25">
        <f t="shared" si="142"/>
        <v>0</v>
      </c>
    </row>
    <row r="103" spans="1:108" x14ac:dyDescent="0.35">
      <c r="A103" s="282" t="str">
        <f t="shared" si="143"/>
        <v>359147_489926</v>
      </c>
      <c r="B103" s="303">
        <v>359147</v>
      </c>
      <c r="C103" s="303">
        <v>489926</v>
      </c>
      <c r="D103" s="319" t="str">
        <f>IFERROR(MATCH(C103,'[4]Custom Earning Pattern Not Popu'!$B$5:$B$428,0),"NA")</f>
        <v>NA</v>
      </c>
      <c r="E103" s="303" t="s">
        <v>229</v>
      </c>
      <c r="F103" s="303">
        <v>12</v>
      </c>
      <c r="G103" s="303">
        <v>13099</v>
      </c>
      <c r="H103" s="306">
        <v>45992</v>
      </c>
      <c r="I103" s="306">
        <v>45975</v>
      </c>
      <c r="J103" s="306">
        <v>46339</v>
      </c>
      <c r="K103" s="303" t="s">
        <v>16</v>
      </c>
      <c r="L103" s="306">
        <v>45992</v>
      </c>
      <c r="M103" s="306">
        <v>46357</v>
      </c>
      <c r="N103" s="303" t="s">
        <v>353</v>
      </c>
      <c r="O103" s="303" t="s">
        <v>353</v>
      </c>
      <c r="P103" s="148">
        <f t="shared" si="144"/>
        <v>0.4</v>
      </c>
      <c r="Q103" s="282">
        <v>1</v>
      </c>
      <c r="R103" s="282">
        <v>0</v>
      </c>
      <c r="S103" s="282" t="str">
        <f t="shared" si="148"/>
        <v>L + 12 Months</v>
      </c>
      <c r="T103" s="282" t="s">
        <v>13</v>
      </c>
      <c r="U103" s="303" t="s">
        <v>474</v>
      </c>
      <c r="V103" s="303" t="s">
        <v>29</v>
      </c>
      <c r="W103" s="303" t="s">
        <v>80</v>
      </c>
      <c r="X103" s="303" t="s">
        <v>487</v>
      </c>
      <c r="Y103" s="303" t="s">
        <v>335</v>
      </c>
      <c r="Z103" s="303" t="s">
        <v>405</v>
      </c>
      <c r="AA103" s="308">
        <v>2003355.3188081901</v>
      </c>
      <c r="AC103" s="289">
        <f t="shared" si="145"/>
        <v>8</v>
      </c>
      <c r="AD103" s="88" cm="1">
        <f t="array" ref="AD103">IF(AC103=0,0,INDEX(Summary!$S$4:$S$7,MATCH(AC103,Summary!$R$4:$R$7)+1))</f>
        <v>0.6</v>
      </c>
      <c r="AE103" s="88">
        <f>IFERROR(INDEX(Summary!$Y$4:$Y$6,MATCH('Input Data'!K103,Summary!$U$4:$U$6,0)),0)</f>
        <v>0.4</v>
      </c>
      <c r="AF103" s="88" t="b">
        <f t="shared" si="113"/>
        <v>1</v>
      </c>
      <c r="AG103" s="89">
        <f>IF(AF103,INDEX('IG Equity Share'!$B:$B,MATCH(YEAR(I103),'IG Equity Share'!$A:$A,0)),0)</f>
        <v>7.4999999999999997E-2</v>
      </c>
      <c r="AH103" s="383">
        <f>AJ103*AG103*_xlfn.XLOOKUP(I103,'S3123 Consortium Share'!$A$3:$A$5,'S3123 Consortium Share'!$F$3:$F$5,,-1)</f>
        <v>62604.853712755939</v>
      </c>
      <c r="AI103" s="14">
        <v>1</v>
      </c>
      <c r="AJ103" s="13">
        <f t="shared" si="114"/>
        <v>2003355.3188081901</v>
      </c>
      <c r="AK103" s="13">
        <f t="shared" si="115"/>
        <v>2003355.3188081901</v>
      </c>
      <c r="AL103" s="13" t="str">
        <f t="shared" si="116"/>
        <v>FUL</v>
      </c>
      <c r="AM103" s="52">
        <f t="shared" si="117"/>
        <v>2025</v>
      </c>
      <c r="AN103" s="4">
        <f>INDEX('[2]Input Data'!$AH:$AH,MATCH(A103,'[2]Input Data'!$A:$A,0),1)-AH103</f>
        <v>0</v>
      </c>
      <c r="AO103" s="13">
        <f t="shared" si="151"/>
        <v>0</v>
      </c>
      <c r="AP103" s="13">
        <f t="shared" si="151"/>
        <v>0</v>
      </c>
      <c r="AQ103" s="13">
        <f t="shared" si="151"/>
        <v>0</v>
      </c>
      <c r="AR103" s="13">
        <f t="shared" si="151"/>
        <v>0</v>
      </c>
      <c r="AS103" s="13">
        <f t="shared" si="151"/>
        <v>0</v>
      </c>
      <c r="AT103" s="13">
        <f t="shared" si="151"/>
        <v>0</v>
      </c>
      <c r="AU103" s="13">
        <f t="shared" si="151"/>
        <v>400671.06376163801</v>
      </c>
      <c r="AV103" s="13">
        <f t="shared" si="146"/>
        <v>0</v>
      </c>
      <c r="AW103" s="13"/>
      <c r="AX103" s="13"/>
      <c r="AY103" s="13">
        <f t="shared" si="147"/>
        <v>400671.06376163801</v>
      </c>
      <c r="AZ103" s="13">
        <f t="shared" si="152"/>
        <v>0</v>
      </c>
      <c r="BA103" s="74"/>
      <c r="BB103" s="25">
        <f t="shared" si="153"/>
        <v>1602684.255046552</v>
      </c>
      <c r="BC103" s="13">
        <f t="shared" si="154"/>
        <v>0</v>
      </c>
      <c r="BD103" s="13" t="b">
        <f>AND(AF103,NOT(ISNUMBER(MATCH(G103,Table1[Excluded Spacecraft ID],0))))</f>
        <v>1</v>
      </c>
      <c r="BE103" s="13">
        <f>BD103*AK103*_xlfn.XLOOKUP(I103,Table2[Date From],Table2[Cession],"Error",-1)*_xlfn.XLOOKUP(I103,'S3123 Consortium Share'!$A$3:$A$5,'S3123 Consortium Share'!$F$3:$F$5,,-1)</f>
        <v>166946.27656734918</v>
      </c>
      <c r="BF103" s="13">
        <f t="shared" si="155"/>
        <v>1602684.255046552</v>
      </c>
      <c r="BG103" s="89" cm="1">
        <f t="array" ref="BG103">IF(V103="FIBL",0,INDEX('IGR QS'!$A$1:$D$570,MATCH('Input Data'!V103&amp;'Input Data'!W103&amp;'Input Data'!AM103,'IGR QS'!A:A&amp;'IGR QS'!B:B&amp;'IGR QS'!C:C,0),4))</f>
        <v>0.5</v>
      </c>
      <c r="BH103" s="13">
        <f t="shared" si="156"/>
        <v>801342.12752327602</v>
      </c>
      <c r="BI103" s="13">
        <f t="shared" si="157"/>
        <v>801342.12752327602</v>
      </c>
      <c r="BJ103" s="13">
        <f t="shared" si="118"/>
        <v>0</v>
      </c>
      <c r="BK103" s="13">
        <f t="shared" si="158"/>
        <v>801342.12752327602</v>
      </c>
      <c r="BL103" s="13">
        <f t="shared" si="159"/>
        <v>801342.12752327602</v>
      </c>
      <c r="BM103" s="21"/>
      <c r="BN103" s="13">
        <f t="shared" si="119"/>
        <v>801342.12752327602</v>
      </c>
      <c r="BO103" s="13">
        <f t="shared" si="120"/>
        <v>801342.12752327602</v>
      </c>
      <c r="BP103" s="13">
        <f t="shared" si="121"/>
        <v>0</v>
      </c>
      <c r="BQ103" s="13">
        <f t="shared" si="122"/>
        <v>801342.12752327602</v>
      </c>
      <c r="BR103" s="13">
        <f t="shared" si="123"/>
        <v>400671.06376163801</v>
      </c>
      <c r="BT103" s="13">
        <f t="shared" si="124"/>
        <v>1602684.255046552</v>
      </c>
      <c r="BU103" s="13">
        <f t="shared" si="125"/>
        <v>801342.12752327602</v>
      </c>
      <c r="BV103" s="13">
        <f t="shared" si="126"/>
        <v>801342.12752327602</v>
      </c>
      <c r="BW103" s="13">
        <f t="shared" si="127"/>
        <v>400671.06376163801</v>
      </c>
      <c r="BX103" s="13"/>
      <c r="BY103" s="25">
        <f t="shared" si="128"/>
        <v>0</v>
      </c>
      <c r="BZ103" s="25">
        <f t="shared" si="129"/>
        <v>0</v>
      </c>
      <c r="CA103" s="25">
        <f t="shared" si="130"/>
        <v>0</v>
      </c>
      <c r="CB103" s="25">
        <f t="shared" si="131"/>
        <v>0</v>
      </c>
      <c r="CC103" s="25">
        <f t="shared" si="132"/>
        <v>0</v>
      </c>
      <c r="CD103" s="384">
        <f t="shared" si="133"/>
        <v>0</v>
      </c>
      <c r="CR103" s="25">
        <f t="shared" si="134"/>
        <v>0</v>
      </c>
      <c r="CS103" s="25">
        <f t="shared" si="160"/>
        <v>0</v>
      </c>
      <c r="CT103" s="25">
        <f t="shared" si="160"/>
        <v>0</v>
      </c>
      <c r="CU103" s="25">
        <f t="shared" si="135"/>
        <v>0</v>
      </c>
      <c r="CV103" s="25">
        <f t="shared" si="136"/>
        <v>0</v>
      </c>
      <c r="CW103" s="25">
        <f t="shared" si="137"/>
        <v>0</v>
      </c>
      <c r="CY103" s="25">
        <f t="shared" si="138"/>
        <v>0</v>
      </c>
      <c r="CZ103" s="25">
        <f t="shared" si="139"/>
        <v>0</v>
      </c>
      <c r="DA103" s="25">
        <f t="shared" si="150"/>
        <v>0</v>
      </c>
      <c r="DB103" s="25">
        <f t="shared" si="140"/>
        <v>0</v>
      </c>
      <c r="DC103" s="25">
        <f t="shared" si="141"/>
        <v>0</v>
      </c>
      <c r="DD103" s="25">
        <f t="shared" si="142"/>
        <v>0</v>
      </c>
    </row>
    <row r="104" spans="1:108" x14ac:dyDescent="0.35">
      <c r="A104" s="282" t="str">
        <f t="shared" si="143"/>
        <v>360735_492379</v>
      </c>
      <c r="B104" s="303">
        <v>360735</v>
      </c>
      <c r="C104" s="303">
        <v>492379</v>
      </c>
      <c r="D104" s="319" t="str">
        <f>IFERROR(MATCH(C104,'[4]Custom Earning Pattern Not Popu'!$B$5:$B$428,0),"NA")</f>
        <v>NA</v>
      </c>
      <c r="E104" s="303" t="s">
        <v>228</v>
      </c>
      <c r="F104" s="303">
        <v>12</v>
      </c>
      <c r="G104" s="303">
        <v>11840</v>
      </c>
      <c r="H104" s="306">
        <v>43795</v>
      </c>
      <c r="I104" s="306">
        <v>45987</v>
      </c>
      <c r="J104" s="306">
        <v>46351</v>
      </c>
      <c r="K104" s="303" t="s">
        <v>113</v>
      </c>
      <c r="L104" s="306">
        <v>45987</v>
      </c>
      <c r="M104" s="306">
        <v>46351</v>
      </c>
      <c r="N104" s="303" t="s">
        <v>230</v>
      </c>
      <c r="O104" s="303" t="s">
        <v>234</v>
      </c>
      <c r="P104" s="148">
        <f t="shared" si="144"/>
        <v>0.4</v>
      </c>
      <c r="Q104" s="282">
        <v>1</v>
      </c>
      <c r="R104" s="282">
        <v>0</v>
      </c>
      <c r="S104" s="282" t="str">
        <f t="shared" si="148"/>
        <v>In-Orbit</v>
      </c>
      <c r="T104" s="282" t="s">
        <v>13</v>
      </c>
      <c r="U104" s="303" t="s">
        <v>475</v>
      </c>
      <c r="V104" s="303" t="s">
        <v>29</v>
      </c>
      <c r="W104" s="303" t="s">
        <v>78</v>
      </c>
      <c r="X104" s="303" t="s">
        <v>293</v>
      </c>
      <c r="Y104" s="303" t="s">
        <v>315</v>
      </c>
      <c r="Z104" s="303" t="s">
        <v>337</v>
      </c>
      <c r="AA104" s="308">
        <v>21459222.698865999</v>
      </c>
      <c r="AC104" s="289">
        <f t="shared" si="145"/>
        <v>0</v>
      </c>
      <c r="AD104" s="88" cm="1">
        <f t="array" ref="AD104">IF(AC104=0,0,INDEX(Summary!$S$4:$S$7,MATCH(AC104,Summary!$R$4:$R$7)+1))</f>
        <v>0</v>
      </c>
      <c r="AE104" s="88">
        <f>IFERROR(INDEX(Summary!$Y$4:$Y$6,MATCH('Input Data'!K104,Summary!$U$4:$U$6,0)),0)</f>
        <v>0.05</v>
      </c>
      <c r="AF104" s="88" t="b">
        <f t="shared" si="113"/>
        <v>1</v>
      </c>
      <c r="AG104" s="89">
        <f>IF(AF104,INDEX('IG Equity Share'!$B:$B,MATCH(YEAR(I104),'IG Equity Share'!$A:$A,0)),0)</f>
        <v>7.4999999999999997E-2</v>
      </c>
      <c r="AH104" s="383">
        <f>AJ104*AG104*_xlfn.XLOOKUP(I104,'S3123 Consortium Share'!$A$3:$A$5,'S3123 Consortium Share'!$F$3:$F$5,,-1)</f>
        <v>670600.70933956245</v>
      </c>
      <c r="AI104" s="14">
        <v>1</v>
      </c>
      <c r="AJ104" s="13">
        <f t="shared" si="114"/>
        <v>21459222.698865999</v>
      </c>
      <c r="AK104" s="13">
        <f t="shared" si="115"/>
        <v>21459222.698865999</v>
      </c>
      <c r="AL104" s="13" t="str">
        <f t="shared" si="116"/>
        <v>FUL</v>
      </c>
      <c r="AM104" s="52">
        <f t="shared" si="117"/>
        <v>2025</v>
      </c>
      <c r="AN104" s="4"/>
      <c r="AO104" s="13">
        <f t="shared" si="151"/>
        <v>0</v>
      </c>
      <c r="AP104" s="13">
        <f t="shared" si="151"/>
        <v>0</v>
      </c>
      <c r="AQ104" s="13">
        <f t="shared" si="151"/>
        <v>0</v>
      </c>
      <c r="AR104" s="13">
        <f t="shared" si="151"/>
        <v>0</v>
      </c>
      <c r="AS104" s="13">
        <f t="shared" si="151"/>
        <v>0</v>
      </c>
      <c r="AT104" s="13">
        <f t="shared" si="151"/>
        <v>0</v>
      </c>
      <c r="AU104" s="13">
        <f t="shared" si="151"/>
        <v>4291844.5397731997</v>
      </c>
      <c r="AV104" s="13">
        <f t="shared" si="146"/>
        <v>0</v>
      </c>
      <c r="AW104" s="13"/>
      <c r="AX104" s="13"/>
      <c r="AY104" s="13">
        <f t="shared" si="147"/>
        <v>4291844.5397731997</v>
      </c>
      <c r="AZ104" s="13">
        <f t="shared" si="152"/>
        <v>0</v>
      </c>
      <c r="BA104" s="74"/>
      <c r="BB104" s="25">
        <f t="shared" si="153"/>
        <v>17167378.159092799</v>
      </c>
      <c r="BC104" s="13">
        <f t="shared" si="154"/>
        <v>0</v>
      </c>
      <c r="BD104" s="13" t="b">
        <f>AND(AF104,NOT(ISNUMBER(MATCH(G104,Table1[Excluded Spacecraft ID],0))))</f>
        <v>1</v>
      </c>
      <c r="BE104" s="13">
        <f>BD104*AK104*_xlfn.XLOOKUP(I104,Table2[Date From],Table2[Cession],"Error",-1)*_xlfn.XLOOKUP(I104,'S3123 Consortium Share'!$A$3:$A$5,'S3123 Consortium Share'!$F$3:$F$5,,-1)</f>
        <v>1788268.5582388332</v>
      </c>
      <c r="BF104" s="13">
        <f t="shared" si="155"/>
        <v>17167378.159092799</v>
      </c>
      <c r="BG104" s="89" cm="1">
        <f t="array" ref="BG104">IF(V104="FIBL",0,INDEX('IGR QS'!$A$1:$D$570,MATCH('Input Data'!V104&amp;'Input Data'!W104&amp;'Input Data'!AM104,'IGR QS'!A:A&amp;'IGR QS'!B:B&amp;'IGR QS'!C:C,0),4))</f>
        <v>0.5</v>
      </c>
      <c r="BH104" s="13">
        <f t="shared" si="156"/>
        <v>8583689.0795463994</v>
      </c>
      <c r="BI104" s="13">
        <f t="shared" si="157"/>
        <v>8583689.0795463994</v>
      </c>
      <c r="BJ104" s="13">
        <f t="shared" si="118"/>
        <v>0</v>
      </c>
      <c r="BK104" s="13">
        <f t="shared" si="158"/>
        <v>8583689.0795463994</v>
      </c>
      <c r="BL104" s="13">
        <f t="shared" si="159"/>
        <v>8583689.0795463994</v>
      </c>
      <c r="BM104" s="21"/>
      <c r="BN104" s="13">
        <f t="shared" si="119"/>
        <v>66471396.42403952</v>
      </c>
      <c r="BO104" s="13">
        <f t="shared" si="120"/>
        <v>49043091.716622137</v>
      </c>
      <c r="BP104" s="13">
        <f t="shared" si="121"/>
        <v>17428304.707417384</v>
      </c>
      <c r="BQ104" s="13">
        <f t="shared" si="122"/>
        <v>147803485.05865392</v>
      </c>
      <c r="BR104" s="13">
        <f t="shared" si="123"/>
        <v>53568720.370673373</v>
      </c>
      <c r="BT104" s="13">
        <f t="shared" si="124"/>
        <v>17167378.159092799</v>
      </c>
      <c r="BU104" s="13">
        <f t="shared" si="125"/>
        <v>8583689.0795463994</v>
      </c>
      <c r="BV104" s="13">
        <f t="shared" si="126"/>
        <v>8583689.0795463994</v>
      </c>
      <c r="BW104" s="13">
        <f t="shared" si="127"/>
        <v>4291844.5397731997</v>
      </c>
      <c r="BX104" s="13"/>
      <c r="BY104" s="25">
        <f t="shared" si="128"/>
        <v>1072961.1349432999</v>
      </c>
      <c r="BZ104" s="25">
        <f t="shared" si="129"/>
        <v>1072961.1349432999</v>
      </c>
      <c r="CA104" s="25">
        <f t="shared" si="130"/>
        <v>0</v>
      </c>
      <c r="CB104" s="25">
        <f t="shared" si="131"/>
        <v>0</v>
      </c>
      <c r="CC104" s="25">
        <f t="shared" si="132"/>
        <v>536480.56747164996</v>
      </c>
      <c r="CD104" s="384">
        <f t="shared" si="133"/>
        <v>0</v>
      </c>
      <c r="CR104" s="25">
        <f t="shared" si="134"/>
        <v>4291844.5397731997</v>
      </c>
      <c r="CS104" s="25">
        <f t="shared" si="160"/>
        <v>4291844.5397731997</v>
      </c>
      <c r="CT104" s="25">
        <f t="shared" si="160"/>
        <v>0</v>
      </c>
      <c r="CU104" s="25">
        <f t="shared" si="135"/>
        <v>0</v>
      </c>
      <c r="CV104" s="25">
        <f t="shared" si="136"/>
        <v>2145922.2698865999</v>
      </c>
      <c r="CW104" s="25">
        <f t="shared" si="137"/>
        <v>0</v>
      </c>
      <c r="CY104" s="25">
        <f t="shared" si="138"/>
        <v>1072961.1349432999</v>
      </c>
      <c r="CZ104" s="25">
        <f t="shared" si="139"/>
        <v>1072961.1349432999</v>
      </c>
      <c r="DA104" s="25">
        <f t="shared" si="150"/>
        <v>0</v>
      </c>
      <c r="DB104" s="25">
        <f t="shared" si="140"/>
        <v>0</v>
      </c>
      <c r="DC104" s="25">
        <f t="shared" si="141"/>
        <v>536480.56747164996</v>
      </c>
      <c r="DD104" s="25">
        <f t="shared" si="142"/>
        <v>0</v>
      </c>
    </row>
    <row r="105" spans="1:108" x14ac:dyDescent="0.35">
      <c r="A105" s="282" t="str">
        <f t="shared" si="143"/>
        <v>360737_492382</v>
      </c>
      <c r="B105" s="303">
        <v>360737</v>
      </c>
      <c r="C105" s="303">
        <v>492382</v>
      </c>
      <c r="D105" s="319" t="str">
        <f>IFERROR(MATCH(C105,'[4]Custom Earning Pattern Not Popu'!$B$5:$B$428,0),"NA")</f>
        <v>NA</v>
      </c>
      <c r="E105" s="303" t="s">
        <v>228</v>
      </c>
      <c r="F105" s="303">
        <v>12</v>
      </c>
      <c r="G105" s="303">
        <v>4142</v>
      </c>
      <c r="H105" s="306">
        <v>39985</v>
      </c>
      <c r="I105" s="306">
        <v>46022</v>
      </c>
      <c r="J105" s="306">
        <v>46386</v>
      </c>
      <c r="K105" s="303" t="s">
        <v>113</v>
      </c>
      <c r="L105" s="306">
        <v>46022</v>
      </c>
      <c r="M105" s="306">
        <v>46386</v>
      </c>
      <c r="N105" s="303" t="s">
        <v>238</v>
      </c>
      <c r="O105" s="303" t="s">
        <v>238</v>
      </c>
      <c r="P105" s="148">
        <f t="shared" si="144"/>
        <v>0.4</v>
      </c>
      <c r="Q105" s="282">
        <v>1</v>
      </c>
      <c r="R105" s="282">
        <v>0</v>
      </c>
      <c r="S105" s="282" t="str">
        <f t="shared" si="148"/>
        <v>In-Orbit</v>
      </c>
      <c r="T105" s="282" t="s">
        <v>13</v>
      </c>
      <c r="U105" s="303" t="s">
        <v>476</v>
      </c>
      <c r="V105" s="303" t="s">
        <v>29</v>
      </c>
      <c r="W105" s="303" t="s">
        <v>78</v>
      </c>
      <c r="X105" s="303" t="s">
        <v>294</v>
      </c>
      <c r="Y105" s="303" t="s">
        <v>329</v>
      </c>
      <c r="Z105" s="303" t="s">
        <v>343</v>
      </c>
      <c r="AA105" s="308">
        <v>494845.36</v>
      </c>
      <c r="AC105" s="289">
        <f t="shared" si="145"/>
        <v>0</v>
      </c>
      <c r="AD105" s="88" cm="1">
        <f t="array" ref="AD105">IF(AC105=0,0,INDEX(Summary!$S$4:$S$7,MATCH(AC105,Summary!$R$4:$R$7)+1))</f>
        <v>0</v>
      </c>
      <c r="AE105" s="88">
        <f>IFERROR(INDEX(Summary!$Y$4:$Y$6,MATCH('Input Data'!K105,Summary!$U$4:$U$6,0)),0)</f>
        <v>0.05</v>
      </c>
      <c r="AF105" s="88" t="b">
        <f t="shared" si="113"/>
        <v>1</v>
      </c>
      <c r="AG105" s="89">
        <f>IF(AF105,INDEX('IG Equity Share'!$B:$B,MATCH(YEAR(I105),'IG Equity Share'!$A:$A,0)),0)</f>
        <v>7.4999999999999997E-2</v>
      </c>
      <c r="AH105" s="383">
        <f>AJ105*AG105*_xlfn.XLOOKUP(I105,'S3123 Consortium Share'!$A$3:$A$5,'S3123 Consortium Share'!$F$3:$F$5,,-1)</f>
        <v>15463.917499999998</v>
      </c>
      <c r="AI105" s="14">
        <v>1</v>
      </c>
      <c r="AJ105" s="13">
        <f t="shared" si="114"/>
        <v>494845.36</v>
      </c>
      <c r="AK105" s="13">
        <f t="shared" si="115"/>
        <v>494845.36</v>
      </c>
      <c r="AL105" s="13" t="str">
        <f t="shared" si="116"/>
        <v>FUL</v>
      </c>
      <c r="AM105" s="52">
        <f t="shared" si="117"/>
        <v>2025</v>
      </c>
      <c r="AN105" s="4">
        <f>INDEX('[2]Input Data'!$AH:$AH,MATCH(A105,'[2]Input Data'!$A:$A,0),1)-AH105</f>
        <v>0</v>
      </c>
      <c r="AO105" s="13">
        <f t="shared" si="151"/>
        <v>0</v>
      </c>
      <c r="AP105" s="13">
        <f t="shared" si="151"/>
        <v>0</v>
      </c>
      <c r="AQ105" s="13">
        <f t="shared" si="151"/>
        <v>0</v>
      </c>
      <c r="AR105" s="13">
        <f t="shared" si="151"/>
        <v>0</v>
      </c>
      <c r="AS105" s="13">
        <f t="shared" si="151"/>
        <v>0</v>
      </c>
      <c r="AT105" s="13">
        <f t="shared" si="151"/>
        <v>0</v>
      </c>
      <c r="AU105" s="13">
        <f t="shared" si="151"/>
        <v>98969.072</v>
      </c>
      <c r="AV105" s="13">
        <f t="shared" si="146"/>
        <v>0</v>
      </c>
      <c r="AW105" s="13"/>
      <c r="AX105" s="13"/>
      <c r="AY105" s="13">
        <f t="shared" si="147"/>
        <v>98969.072</v>
      </c>
      <c r="AZ105" s="13">
        <f t="shared" si="152"/>
        <v>0</v>
      </c>
      <c r="BA105" s="74"/>
      <c r="BB105" s="25">
        <f t="shared" si="153"/>
        <v>395876.288</v>
      </c>
      <c r="BC105" s="13">
        <f t="shared" si="154"/>
        <v>0</v>
      </c>
      <c r="BD105" s="13" t="b">
        <f>AND(AF105,NOT(ISNUMBER(MATCH(G105,Table1[Excluded Spacecraft ID],0))))</f>
        <v>1</v>
      </c>
      <c r="BE105" s="13">
        <f>BD105*AK105*_xlfn.XLOOKUP(I105,Table2[Date From],Table2[Cession],"Error",-1)*_xlfn.XLOOKUP(I105,'S3123 Consortium Share'!$A$3:$A$5,'S3123 Consortium Share'!$F$3:$F$5,,-1)</f>
        <v>41237.113333333335</v>
      </c>
      <c r="BF105" s="13">
        <f t="shared" si="155"/>
        <v>395876.288</v>
      </c>
      <c r="BG105" s="89" cm="1">
        <f t="array" ref="BG105">IF(V105="FIBL",0,INDEX('IGR QS'!$A$1:$D$570,MATCH('Input Data'!V105&amp;'Input Data'!W105&amp;'Input Data'!AM105,'IGR QS'!A:A&amp;'IGR QS'!B:B&amp;'IGR QS'!C:C,0),4))</f>
        <v>0.5</v>
      </c>
      <c r="BH105" s="13">
        <f t="shared" si="156"/>
        <v>197938.144</v>
      </c>
      <c r="BI105" s="13">
        <f t="shared" si="157"/>
        <v>197938.144</v>
      </c>
      <c r="BJ105" s="13">
        <f t="shared" si="118"/>
        <v>0</v>
      </c>
      <c r="BK105" s="13">
        <f t="shared" si="158"/>
        <v>197938.144</v>
      </c>
      <c r="BL105" s="13">
        <f t="shared" si="159"/>
        <v>197938.144</v>
      </c>
      <c r="BM105" s="21"/>
      <c r="BN105" s="13">
        <f t="shared" si="119"/>
        <v>3308663.1195200002</v>
      </c>
      <c r="BO105" s="13">
        <f t="shared" si="120"/>
        <v>3026307.91952</v>
      </c>
      <c r="BP105" s="13">
        <f t="shared" si="121"/>
        <v>282355.19999999995</v>
      </c>
      <c r="BQ105" s="13">
        <f t="shared" si="122"/>
        <v>4626320.7195199998</v>
      </c>
      <c r="BR105" s="13">
        <f t="shared" si="123"/>
        <v>1983745.95976</v>
      </c>
      <c r="BT105" s="13">
        <f t="shared" si="124"/>
        <v>395876.288</v>
      </c>
      <c r="BU105" s="13">
        <f t="shared" si="125"/>
        <v>197938.144</v>
      </c>
      <c r="BV105" s="13">
        <f t="shared" si="126"/>
        <v>197938.144</v>
      </c>
      <c r="BW105" s="13">
        <f t="shared" si="127"/>
        <v>98969.072</v>
      </c>
      <c r="BX105" s="13"/>
      <c r="BY105" s="25">
        <f t="shared" si="128"/>
        <v>24742.268</v>
      </c>
      <c r="BZ105" s="25">
        <f t="shared" si="129"/>
        <v>24742.268</v>
      </c>
      <c r="CA105" s="25">
        <f t="shared" si="130"/>
        <v>0</v>
      </c>
      <c r="CB105" s="25">
        <f t="shared" si="131"/>
        <v>0</v>
      </c>
      <c r="CC105" s="25">
        <f t="shared" si="132"/>
        <v>12371.134</v>
      </c>
      <c r="CD105" s="384">
        <f t="shared" si="133"/>
        <v>0</v>
      </c>
      <c r="CR105" s="25">
        <f t="shared" si="134"/>
        <v>98969.072</v>
      </c>
      <c r="CS105" s="25">
        <f t="shared" si="160"/>
        <v>98969.072</v>
      </c>
      <c r="CT105" s="25">
        <f t="shared" si="160"/>
        <v>0</v>
      </c>
      <c r="CU105" s="25">
        <f t="shared" si="135"/>
        <v>0</v>
      </c>
      <c r="CV105" s="25">
        <f t="shared" si="136"/>
        <v>49484.536</v>
      </c>
      <c r="CW105" s="25">
        <f t="shared" si="137"/>
        <v>0</v>
      </c>
      <c r="CY105" s="25">
        <f t="shared" si="138"/>
        <v>24742.268</v>
      </c>
      <c r="CZ105" s="25">
        <f t="shared" si="139"/>
        <v>24742.268</v>
      </c>
      <c r="DA105" s="25">
        <f t="shared" si="150"/>
        <v>0</v>
      </c>
      <c r="DB105" s="25">
        <f t="shared" si="140"/>
        <v>0</v>
      </c>
      <c r="DC105" s="25">
        <f t="shared" si="141"/>
        <v>12371.134</v>
      </c>
      <c r="DD105" s="25">
        <f t="shared" si="142"/>
        <v>0</v>
      </c>
    </row>
    <row r="106" spans="1:108" x14ac:dyDescent="0.35">
      <c r="A106" s="282" t="str">
        <f t="shared" si="143"/>
        <v>360737_492383</v>
      </c>
      <c r="B106" s="303">
        <v>360737</v>
      </c>
      <c r="C106" s="303">
        <v>492383</v>
      </c>
      <c r="D106" s="319" t="str">
        <f>IFERROR(MATCH(C106,'[4]Custom Earning Pattern Not Popu'!$B$5:$B$428,0),"NA")</f>
        <v>NA</v>
      </c>
      <c r="E106" s="303" t="s">
        <v>228</v>
      </c>
      <c r="F106" s="303">
        <v>12</v>
      </c>
      <c r="G106" s="303">
        <v>9181</v>
      </c>
      <c r="H106" s="306">
        <v>41893</v>
      </c>
      <c r="I106" s="306">
        <v>46022</v>
      </c>
      <c r="J106" s="306">
        <v>46386</v>
      </c>
      <c r="K106" s="303" t="s">
        <v>113</v>
      </c>
      <c r="L106" s="306">
        <v>46022</v>
      </c>
      <c r="M106" s="306">
        <v>46386</v>
      </c>
      <c r="N106" s="303" t="s">
        <v>230</v>
      </c>
      <c r="O106" s="303" t="s">
        <v>230</v>
      </c>
      <c r="P106" s="148">
        <f t="shared" si="144"/>
        <v>0.4</v>
      </c>
      <c r="Q106" s="282">
        <v>1</v>
      </c>
      <c r="R106" s="282">
        <v>0</v>
      </c>
      <c r="S106" s="282" t="str">
        <f t="shared" si="148"/>
        <v>In-Orbit</v>
      </c>
      <c r="T106" s="282" t="s">
        <v>13</v>
      </c>
      <c r="U106" s="303" t="s">
        <v>476</v>
      </c>
      <c r="V106" s="303" t="s">
        <v>29</v>
      </c>
      <c r="W106" s="303" t="s">
        <v>78</v>
      </c>
      <c r="X106" s="303" t="s">
        <v>295</v>
      </c>
      <c r="Y106" s="303" t="s">
        <v>315</v>
      </c>
      <c r="Z106" s="303" t="s">
        <v>337</v>
      </c>
      <c r="AA106" s="308">
        <v>2628865.9749999898</v>
      </c>
      <c r="AC106" s="289">
        <f t="shared" si="145"/>
        <v>0</v>
      </c>
      <c r="AD106" s="88" cm="1">
        <f t="array" ref="AD106">IF(AC106=0,0,INDEX(Summary!$S$4:$S$7,MATCH(AC106,Summary!$R$4:$R$7)+1))</f>
        <v>0</v>
      </c>
      <c r="AE106" s="88">
        <f>IFERROR(INDEX(Summary!$Y$4:$Y$6,MATCH('Input Data'!K106,Summary!$U$4:$U$6,0)),0)</f>
        <v>0.05</v>
      </c>
      <c r="AF106" s="88" t="b">
        <f t="shared" si="113"/>
        <v>1</v>
      </c>
      <c r="AG106" s="89">
        <f>IF(AF106,INDEX('IG Equity Share'!$B:$B,MATCH(YEAR(I106),'IG Equity Share'!$A:$A,0)),0)</f>
        <v>7.4999999999999997E-2</v>
      </c>
      <c r="AH106" s="383">
        <f>AJ106*AG106*_xlfn.XLOOKUP(I106,'S3123 Consortium Share'!$A$3:$A$5,'S3123 Consortium Share'!$F$3:$F$5,,-1)</f>
        <v>82152.061718749683</v>
      </c>
      <c r="AI106" s="14">
        <v>1</v>
      </c>
      <c r="AJ106" s="13">
        <f t="shared" si="114"/>
        <v>2628865.9749999898</v>
      </c>
      <c r="AK106" s="13">
        <f t="shared" si="115"/>
        <v>2628865.9749999898</v>
      </c>
      <c r="AL106" s="13" t="str">
        <f t="shared" si="116"/>
        <v>FUL</v>
      </c>
      <c r="AM106" s="52">
        <f t="shared" si="117"/>
        <v>2025</v>
      </c>
      <c r="AN106" s="4">
        <f>INDEX('[2]Input Data'!$AH:$AH,MATCH(A106,'[2]Input Data'!$A:$A,0),1)-AH106</f>
        <v>0</v>
      </c>
      <c r="AO106" s="13">
        <f t="shared" si="151"/>
        <v>0</v>
      </c>
      <c r="AP106" s="13">
        <f t="shared" si="151"/>
        <v>0</v>
      </c>
      <c r="AQ106" s="13">
        <f t="shared" si="151"/>
        <v>0</v>
      </c>
      <c r="AR106" s="13">
        <f t="shared" si="151"/>
        <v>0</v>
      </c>
      <c r="AS106" s="13">
        <f t="shared" si="151"/>
        <v>0</v>
      </c>
      <c r="AT106" s="13">
        <f t="shared" si="151"/>
        <v>0</v>
      </c>
      <c r="AU106" s="13">
        <f t="shared" si="151"/>
        <v>525773.19499999797</v>
      </c>
      <c r="AV106" s="13">
        <f t="shared" si="146"/>
        <v>0</v>
      </c>
      <c r="AW106" s="13"/>
      <c r="AX106" s="13"/>
      <c r="AY106" s="13">
        <f t="shared" si="147"/>
        <v>525773.19499999797</v>
      </c>
      <c r="AZ106" s="13">
        <f t="shared" si="152"/>
        <v>0</v>
      </c>
      <c r="BA106" s="74"/>
      <c r="BB106" s="25">
        <f t="shared" si="153"/>
        <v>2103092.7799999919</v>
      </c>
      <c r="BC106" s="13">
        <f t="shared" si="154"/>
        <v>0</v>
      </c>
      <c r="BD106" s="13" t="b">
        <f>AND(AF106,NOT(ISNUMBER(MATCH(G106,Table1[Excluded Spacecraft ID],0))))</f>
        <v>1</v>
      </c>
      <c r="BE106" s="13">
        <f>BD106*AK106*_xlfn.XLOOKUP(I106,Table2[Date From],Table2[Cession],"Error",-1)*_xlfn.XLOOKUP(I106,'S3123 Consortium Share'!$A$3:$A$5,'S3123 Consortium Share'!$F$3:$F$5,,-1)</f>
        <v>219072.16458333249</v>
      </c>
      <c r="BF106" s="13">
        <f t="shared" si="155"/>
        <v>2103092.7799999919</v>
      </c>
      <c r="BG106" s="89" cm="1">
        <f t="array" ref="BG106">IF(V106="FIBL",0,INDEX('IGR QS'!$A$1:$D$570,MATCH('Input Data'!V106&amp;'Input Data'!W106&amp;'Input Data'!AM106,'IGR QS'!A:A&amp;'IGR QS'!B:B&amp;'IGR QS'!C:C,0),4))</f>
        <v>0.5</v>
      </c>
      <c r="BH106" s="13">
        <f t="shared" si="156"/>
        <v>1051546.3899999959</v>
      </c>
      <c r="BI106" s="13">
        <f t="shared" si="157"/>
        <v>1051546.3899999959</v>
      </c>
      <c r="BJ106" s="13">
        <f t="shared" si="118"/>
        <v>0</v>
      </c>
      <c r="BK106" s="13">
        <f t="shared" si="158"/>
        <v>1051546.3899999959</v>
      </c>
      <c r="BL106" s="13">
        <f t="shared" si="159"/>
        <v>1051546.3899999959</v>
      </c>
      <c r="BM106" s="21"/>
      <c r="BN106" s="13">
        <f t="shared" si="119"/>
        <v>66471396.42403952</v>
      </c>
      <c r="BO106" s="13">
        <f t="shared" si="120"/>
        <v>49043091.716622137</v>
      </c>
      <c r="BP106" s="13">
        <f t="shared" si="121"/>
        <v>17428304.707417384</v>
      </c>
      <c r="BQ106" s="13">
        <f t="shared" si="122"/>
        <v>147803485.05865392</v>
      </c>
      <c r="BR106" s="13">
        <f t="shared" si="123"/>
        <v>53568720.370673373</v>
      </c>
      <c r="BT106" s="13">
        <f t="shared" si="124"/>
        <v>2103092.7799999919</v>
      </c>
      <c r="BU106" s="13">
        <f t="shared" si="125"/>
        <v>1051546.3899999959</v>
      </c>
      <c r="BV106" s="13">
        <f t="shared" si="126"/>
        <v>1051546.3899999959</v>
      </c>
      <c r="BW106" s="13">
        <f t="shared" si="127"/>
        <v>525773.19499999797</v>
      </c>
      <c r="BX106" s="13"/>
      <c r="BY106" s="25">
        <f t="shared" si="128"/>
        <v>131443.29874999949</v>
      </c>
      <c r="BZ106" s="25">
        <f t="shared" si="129"/>
        <v>131443.29874999949</v>
      </c>
      <c r="CA106" s="25">
        <f t="shared" si="130"/>
        <v>0</v>
      </c>
      <c r="CB106" s="25">
        <f t="shared" si="131"/>
        <v>0</v>
      </c>
      <c r="CC106" s="25">
        <f t="shared" si="132"/>
        <v>65721.649374999746</v>
      </c>
      <c r="CD106" s="384">
        <f t="shared" si="133"/>
        <v>0</v>
      </c>
      <c r="CR106" s="25">
        <f t="shared" si="134"/>
        <v>525773.19499999797</v>
      </c>
      <c r="CS106" s="25">
        <f t="shared" si="160"/>
        <v>525773.19499999797</v>
      </c>
      <c r="CT106" s="25">
        <f t="shared" si="160"/>
        <v>0</v>
      </c>
      <c r="CU106" s="25">
        <f t="shared" si="135"/>
        <v>0</v>
      </c>
      <c r="CV106" s="25">
        <f t="shared" si="136"/>
        <v>262886.59749999898</v>
      </c>
      <c r="CW106" s="25">
        <f t="shared" si="137"/>
        <v>0</v>
      </c>
      <c r="CY106" s="25">
        <f t="shared" si="138"/>
        <v>131443.29874999949</v>
      </c>
      <c r="CZ106" s="25">
        <f t="shared" si="139"/>
        <v>131443.29874999949</v>
      </c>
      <c r="DA106" s="25">
        <f t="shared" si="150"/>
        <v>0</v>
      </c>
      <c r="DB106" s="25">
        <f t="shared" si="140"/>
        <v>0</v>
      </c>
      <c r="DC106" s="25">
        <f t="shared" si="141"/>
        <v>65721.649374999746</v>
      </c>
      <c r="DD106" s="25">
        <f t="shared" si="142"/>
        <v>0</v>
      </c>
    </row>
    <row r="107" spans="1:108" x14ac:dyDescent="0.35">
      <c r="A107" s="282" t="str">
        <f t="shared" si="143"/>
        <v>361505_494217</v>
      </c>
      <c r="B107" s="303">
        <v>361505</v>
      </c>
      <c r="C107" s="303">
        <v>494217</v>
      </c>
      <c r="D107" s="319" t="str">
        <f>IFERROR(MATCH(C107,'[4]Custom Earning Pattern Not Popu'!$B$5:$B$428,0),"NA")</f>
        <v>NA</v>
      </c>
      <c r="E107" s="303" t="s">
        <v>228</v>
      </c>
      <c r="F107" s="303">
        <v>12</v>
      </c>
      <c r="G107" s="303">
        <v>13555</v>
      </c>
      <c r="H107" s="306">
        <v>44734</v>
      </c>
      <c r="I107" s="306">
        <v>46022</v>
      </c>
      <c r="J107" s="306">
        <v>46387</v>
      </c>
      <c r="K107" s="303" t="s">
        <v>113</v>
      </c>
      <c r="L107" s="306">
        <v>46022</v>
      </c>
      <c r="M107" s="306">
        <v>46387</v>
      </c>
      <c r="N107" s="303" t="s">
        <v>230</v>
      </c>
      <c r="O107" s="303" t="s">
        <v>230</v>
      </c>
      <c r="P107" s="148">
        <f t="shared" si="144"/>
        <v>0.4</v>
      </c>
      <c r="Q107" s="282">
        <v>1</v>
      </c>
      <c r="R107" s="282">
        <v>0</v>
      </c>
      <c r="S107" s="282" t="str">
        <f t="shared" si="148"/>
        <v>In-Orbit</v>
      </c>
      <c r="T107" s="282" t="s">
        <v>13</v>
      </c>
      <c r="U107" s="303" t="s">
        <v>477</v>
      </c>
      <c r="V107" s="303" t="s">
        <v>29</v>
      </c>
      <c r="W107" s="303" t="s">
        <v>78</v>
      </c>
      <c r="X107" s="303" t="s">
        <v>299</v>
      </c>
      <c r="Y107" s="303" t="s">
        <v>315</v>
      </c>
      <c r="Z107" s="303" t="s">
        <v>337</v>
      </c>
      <c r="AA107" s="308">
        <v>3741030.9215999902</v>
      </c>
      <c r="AC107" s="289">
        <f t="shared" si="145"/>
        <v>0</v>
      </c>
      <c r="AD107" s="88" cm="1">
        <f t="array" ref="AD107">IF(AC107=0,0,INDEX(Summary!$S$4:$S$7,MATCH(AC107,Summary!$R$4:$R$7)+1))</f>
        <v>0</v>
      </c>
      <c r="AE107" s="88">
        <f>IFERROR(INDEX(Summary!$Y$4:$Y$6,MATCH('Input Data'!K107,Summary!$U$4:$U$6,0)),0)</f>
        <v>0.05</v>
      </c>
      <c r="AF107" s="88" t="b">
        <f t="shared" si="113"/>
        <v>1</v>
      </c>
      <c r="AG107" s="89">
        <f>IF(AF107,INDEX('IG Equity Share'!$B:$B,MATCH(YEAR(I107),'IG Equity Share'!$A:$A,0)),0)</f>
        <v>7.4999999999999997E-2</v>
      </c>
      <c r="AH107" s="383">
        <f>AJ107*AG107*_xlfn.XLOOKUP(I107,'S3123 Consortium Share'!$A$3:$A$5,'S3123 Consortium Share'!$F$3:$F$5,,-1)</f>
        <v>116907.21629999969</v>
      </c>
      <c r="AI107" s="14">
        <v>1</v>
      </c>
      <c r="AJ107" s="13">
        <f t="shared" si="114"/>
        <v>3741030.9215999902</v>
      </c>
      <c r="AK107" s="13">
        <f t="shared" si="115"/>
        <v>3741030.9215999902</v>
      </c>
      <c r="AL107" s="13" t="str">
        <f t="shared" si="116"/>
        <v>FUL</v>
      </c>
      <c r="AM107" s="52">
        <f t="shared" si="117"/>
        <v>2025</v>
      </c>
      <c r="AN107" s="4">
        <f>INDEX('[2]Input Data'!$AH:$AH,MATCH(A107,'[2]Input Data'!$A:$A,0),1)-AH107</f>
        <v>0</v>
      </c>
      <c r="AO107" s="13">
        <f t="shared" si="151"/>
        <v>0</v>
      </c>
      <c r="AP107" s="13">
        <f t="shared" si="151"/>
        <v>0</v>
      </c>
      <c r="AQ107" s="13">
        <f t="shared" si="151"/>
        <v>0</v>
      </c>
      <c r="AR107" s="13">
        <f t="shared" si="151"/>
        <v>0</v>
      </c>
      <c r="AS107" s="13">
        <f t="shared" si="151"/>
        <v>0</v>
      </c>
      <c r="AT107" s="13">
        <f t="shared" si="151"/>
        <v>0</v>
      </c>
      <c r="AU107" s="13">
        <f t="shared" si="151"/>
        <v>748206.18431999814</v>
      </c>
      <c r="AV107" s="13">
        <f t="shared" si="146"/>
        <v>0</v>
      </c>
      <c r="AW107" s="13"/>
      <c r="AX107" s="13"/>
      <c r="AY107" s="13">
        <f t="shared" si="147"/>
        <v>748206.18431999814</v>
      </c>
      <c r="AZ107" s="13">
        <f t="shared" si="152"/>
        <v>0</v>
      </c>
      <c r="BA107" s="74"/>
      <c r="BB107" s="25">
        <f t="shared" si="153"/>
        <v>2992824.7372799921</v>
      </c>
      <c r="BC107" s="13">
        <f t="shared" si="154"/>
        <v>0</v>
      </c>
      <c r="BD107" s="13" t="b">
        <f>AND(AF107,NOT(ISNUMBER(MATCH(G107,Table1[Excluded Spacecraft ID],0))))</f>
        <v>1</v>
      </c>
      <c r="BE107" s="13">
        <f>BD107*AK107*_xlfn.XLOOKUP(I107,Table2[Date From],Table2[Cession],"Error",-1)*_xlfn.XLOOKUP(I107,'S3123 Consortium Share'!$A$3:$A$5,'S3123 Consortium Share'!$F$3:$F$5,,-1)</f>
        <v>311752.57679999922</v>
      </c>
      <c r="BF107" s="13">
        <f t="shared" si="155"/>
        <v>2992824.7372799921</v>
      </c>
      <c r="BG107" s="89" cm="1">
        <f t="array" ref="BG107">IF(V107="FIBL",0,INDEX('IGR QS'!$A$1:$D$570,MATCH('Input Data'!V107&amp;'Input Data'!W107&amp;'Input Data'!AM107,'IGR QS'!A:A&amp;'IGR QS'!B:B&amp;'IGR QS'!C:C,0),4))</f>
        <v>0.5</v>
      </c>
      <c r="BH107" s="13">
        <f t="shared" si="156"/>
        <v>1496412.368639996</v>
      </c>
      <c r="BI107" s="13">
        <f t="shared" si="157"/>
        <v>1496412.368639996</v>
      </c>
      <c r="BJ107" s="13">
        <f t="shared" si="118"/>
        <v>0</v>
      </c>
      <c r="BK107" s="13">
        <f t="shared" si="158"/>
        <v>1496412.368639996</v>
      </c>
      <c r="BL107" s="13">
        <f t="shared" si="159"/>
        <v>1496412.368639996</v>
      </c>
      <c r="BM107" s="21"/>
      <c r="BN107" s="13">
        <f t="shared" si="119"/>
        <v>66471396.42403952</v>
      </c>
      <c r="BO107" s="13">
        <f t="shared" si="120"/>
        <v>49043091.716622137</v>
      </c>
      <c r="BP107" s="13">
        <f t="shared" si="121"/>
        <v>17428304.707417384</v>
      </c>
      <c r="BQ107" s="13">
        <f t="shared" si="122"/>
        <v>147803485.05865392</v>
      </c>
      <c r="BR107" s="13">
        <f t="shared" si="123"/>
        <v>53568720.370673373</v>
      </c>
      <c r="BT107" s="13">
        <f t="shared" si="124"/>
        <v>2992824.7372799921</v>
      </c>
      <c r="BU107" s="13">
        <f t="shared" si="125"/>
        <v>1496412.368639996</v>
      </c>
      <c r="BV107" s="13">
        <f t="shared" si="126"/>
        <v>1496412.368639996</v>
      </c>
      <c r="BW107" s="13">
        <f t="shared" si="127"/>
        <v>748206.18431999814</v>
      </c>
      <c r="BX107" s="13"/>
      <c r="BY107" s="25">
        <f t="shared" si="128"/>
        <v>187051.54607999953</v>
      </c>
      <c r="BZ107" s="25">
        <f t="shared" si="129"/>
        <v>187051.54607999953</v>
      </c>
      <c r="CA107" s="25">
        <f t="shared" si="130"/>
        <v>0</v>
      </c>
      <c r="CB107" s="25">
        <f t="shared" si="131"/>
        <v>0</v>
      </c>
      <c r="CC107" s="25">
        <f t="shared" si="132"/>
        <v>93525.773039999767</v>
      </c>
      <c r="CD107" s="384">
        <f t="shared" si="133"/>
        <v>0</v>
      </c>
      <c r="CR107" s="25">
        <f t="shared" si="134"/>
        <v>748206.18431999814</v>
      </c>
      <c r="CS107" s="25">
        <f t="shared" si="160"/>
        <v>748206.18431999814</v>
      </c>
      <c r="CT107" s="25">
        <f t="shared" si="160"/>
        <v>0</v>
      </c>
      <c r="CU107" s="25">
        <f t="shared" si="135"/>
        <v>0</v>
      </c>
      <c r="CV107" s="25">
        <f t="shared" si="136"/>
        <v>374103.09215999907</v>
      </c>
      <c r="CW107" s="25">
        <f t="shared" si="137"/>
        <v>0</v>
      </c>
      <c r="CY107" s="25">
        <f t="shared" si="138"/>
        <v>187051.54607999953</v>
      </c>
      <c r="CZ107" s="25">
        <f t="shared" si="139"/>
        <v>187051.54607999953</v>
      </c>
      <c r="DA107" s="25">
        <f t="shared" si="150"/>
        <v>0</v>
      </c>
      <c r="DB107" s="25">
        <f t="shared" si="140"/>
        <v>0</v>
      </c>
      <c r="DC107" s="25">
        <f t="shared" si="141"/>
        <v>93525.773039999767</v>
      </c>
      <c r="DD107" s="25">
        <f t="shared" si="142"/>
        <v>0</v>
      </c>
    </row>
    <row r="108" spans="1:108" x14ac:dyDescent="0.35">
      <c r="A108" s="282" t="str">
        <f t="shared" si="143"/>
        <v>361505_494218</v>
      </c>
      <c r="B108" s="303">
        <v>361505</v>
      </c>
      <c r="C108" s="303">
        <v>494218</v>
      </c>
      <c r="D108" s="319" t="str">
        <f>IFERROR(MATCH(C108,'[4]Custom Earning Pattern Not Popu'!$B$5:$B$428,0),"NA")</f>
        <v>NA</v>
      </c>
      <c r="E108" s="303" t="s">
        <v>228</v>
      </c>
      <c r="F108" s="303">
        <v>12</v>
      </c>
      <c r="G108" s="303">
        <v>13555</v>
      </c>
      <c r="H108" s="306">
        <v>44734</v>
      </c>
      <c r="I108" s="306">
        <v>46022</v>
      </c>
      <c r="J108" s="306">
        <v>46387</v>
      </c>
      <c r="K108" s="303" t="s">
        <v>113</v>
      </c>
      <c r="L108" s="306">
        <v>46022</v>
      </c>
      <c r="M108" s="306">
        <v>46387</v>
      </c>
      <c r="N108" s="303" t="s">
        <v>230</v>
      </c>
      <c r="O108" s="303" t="s">
        <v>230</v>
      </c>
      <c r="P108" s="148">
        <f t="shared" si="144"/>
        <v>0.4</v>
      </c>
      <c r="Q108" s="282">
        <v>1</v>
      </c>
      <c r="R108" s="282">
        <v>0</v>
      </c>
      <c r="S108" s="282" t="str">
        <f t="shared" si="148"/>
        <v>In-Orbit</v>
      </c>
      <c r="T108" s="282" t="s">
        <v>13</v>
      </c>
      <c r="U108" s="303" t="s">
        <v>477</v>
      </c>
      <c r="V108" s="303" t="s">
        <v>29</v>
      </c>
      <c r="W108" s="303" t="s">
        <v>78</v>
      </c>
      <c r="X108" s="303" t="s">
        <v>299</v>
      </c>
      <c r="Y108" s="303" t="s">
        <v>315</v>
      </c>
      <c r="Z108" s="303" t="s">
        <v>337</v>
      </c>
      <c r="AA108" s="308">
        <v>9248659.7784000002</v>
      </c>
      <c r="AC108" s="289">
        <f t="shared" si="145"/>
        <v>0</v>
      </c>
      <c r="AD108" s="88" cm="1">
        <f t="array" ref="AD108">IF(AC108=0,0,INDEX(Summary!$S$4:$S$7,MATCH(AC108,Summary!$R$4:$R$7)+1))</f>
        <v>0</v>
      </c>
      <c r="AE108" s="88">
        <f>IFERROR(INDEX(Summary!$Y$4:$Y$6,MATCH('Input Data'!K108,Summary!$U$4:$U$6,0)),0)</f>
        <v>0.05</v>
      </c>
      <c r="AF108" s="88" t="b">
        <f t="shared" si="113"/>
        <v>1</v>
      </c>
      <c r="AG108" s="89">
        <f>IF(AF108,INDEX('IG Equity Share'!$B:$B,MATCH(YEAR(I108),'IG Equity Share'!$A:$A,0)),0)</f>
        <v>7.4999999999999997E-2</v>
      </c>
      <c r="AH108" s="383">
        <f>AJ108*AG108*_xlfn.XLOOKUP(I108,'S3123 Consortium Share'!$A$3:$A$5,'S3123 Consortium Share'!$F$3:$F$5,,-1)</f>
        <v>289020.61807500001</v>
      </c>
      <c r="AI108" s="14">
        <v>1</v>
      </c>
      <c r="AJ108" s="13">
        <f t="shared" si="114"/>
        <v>9248659.7784000002</v>
      </c>
      <c r="AK108" s="13">
        <f t="shared" si="115"/>
        <v>9248659.7784000002</v>
      </c>
      <c r="AL108" s="13" t="str">
        <f t="shared" si="116"/>
        <v>FUL</v>
      </c>
      <c r="AM108" s="52">
        <f t="shared" si="117"/>
        <v>2025</v>
      </c>
      <c r="AN108" s="4">
        <f>INDEX('[2]Input Data'!$AH:$AH,MATCH(A108,'[2]Input Data'!$A:$A,0),1)-AH108</f>
        <v>0</v>
      </c>
      <c r="AO108" s="13">
        <f t="shared" si="151"/>
        <v>0</v>
      </c>
      <c r="AP108" s="13">
        <f t="shared" si="151"/>
        <v>0</v>
      </c>
      <c r="AQ108" s="13">
        <f t="shared" si="151"/>
        <v>0</v>
      </c>
      <c r="AR108" s="13">
        <f t="shared" si="151"/>
        <v>0</v>
      </c>
      <c r="AS108" s="13">
        <f t="shared" si="151"/>
        <v>0</v>
      </c>
      <c r="AT108" s="13">
        <f t="shared" si="151"/>
        <v>0</v>
      </c>
      <c r="AU108" s="13">
        <f t="shared" si="151"/>
        <v>1849731.9556800001</v>
      </c>
      <c r="AV108" s="13">
        <f t="shared" si="146"/>
        <v>0</v>
      </c>
      <c r="AW108" s="13"/>
      <c r="AX108" s="13"/>
      <c r="AY108" s="13">
        <f t="shared" si="147"/>
        <v>1849731.9556800001</v>
      </c>
      <c r="AZ108" s="13">
        <f t="shared" si="152"/>
        <v>0</v>
      </c>
      <c r="BA108" s="74"/>
      <c r="BB108" s="25">
        <f t="shared" si="153"/>
        <v>7398927.8227200005</v>
      </c>
      <c r="BC108" s="13">
        <f t="shared" si="154"/>
        <v>0</v>
      </c>
      <c r="BD108" s="13" t="b">
        <f>AND(AF108,NOT(ISNUMBER(MATCH(G108,Table1[Excluded Spacecraft ID],0))))</f>
        <v>1</v>
      </c>
      <c r="BE108" s="13">
        <f>BD108*AK108*_xlfn.XLOOKUP(I108,Table2[Date From],Table2[Cession],"Error",-1)*_xlfn.XLOOKUP(I108,'S3123 Consortium Share'!$A$3:$A$5,'S3123 Consortium Share'!$F$3:$F$5,,-1)</f>
        <v>770721.64820000005</v>
      </c>
      <c r="BF108" s="13">
        <f t="shared" si="155"/>
        <v>7398927.8227200005</v>
      </c>
      <c r="BG108" s="89" cm="1">
        <f t="array" ref="BG108">IF(V108="FIBL",0,INDEX('IGR QS'!$A$1:$D$570,MATCH('Input Data'!V108&amp;'Input Data'!W108&amp;'Input Data'!AM108,'IGR QS'!A:A&amp;'IGR QS'!B:B&amp;'IGR QS'!C:C,0),4))</f>
        <v>0.5</v>
      </c>
      <c r="BH108" s="13">
        <f t="shared" si="156"/>
        <v>3699463.9113600003</v>
      </c>
      <c r="BI108" s="13">
        <f t="shared" si="157"/>
        <v>3699463.9113600003</v>
      </c>
      <c r="BJ108" s="13">
        <f t="shared" si="118"/>
        <v>0</v>
      </c>
      <c r="BK108" s="13">
        <f t="shared" si="158"/>
        <v>3699463.9113600003</v>
      </c>
      <c r="BL108" s="13">
        <f t="shared" si="159"/>
        <v>3699463.9113600003</v>
      </c>
      <c r="BM108" s="21"/>
      <c r="BN108" s="13">
        <f t="shared" si="119"/>
        <v>66471396.42403952</v>
      </c>
      <c r="BO108" s="13">
        <f t="shared" si="120"/>
        <v>49043091.716622137</v>
      </c>
      <c r="BP108" s="13">
        <f t="shared" si="121"/>
        <v>17428304.707417384</v>
      </c>
      <c r="BQ108" s="13">
        <f t="shared" si="122"/>
        <v>147803485.05865392</v>
      </c>
      <c r="BR108" s="13">
        <f t="shared" si="123"/>
        <v>53568720.370673373</v>
      </c>
      <c r="BT108" s="13">
        <f t="shared" si="124"/>
        <v>7398927.8227200005</v>
      </c>
      <c r="BU108" s="13">
        <f t="shared" si="125"/>
        <v>3699463.9113600003</v>
      </c>
      <c r="BV108" s="13">
        <f t="shared" si="126"/>
        <v>3699463.9113600003</v>
      </c>
      <c r="BW108" s="13">
        <f t="shared" si="127"/>
        <v>1849731.9556800001</v>
      </c>
      <c r="BX108" s="13"/>
      <c r="BY108" s="25">
        <f t="shared" si="128"/>
        <v>462432.98892000003</v>
      </c>
      <c r="BZ108" s="25">
        <f t="shared" si="129"/>
        <v>462432.98892000003</v>
      </c>
      <c r="CA108" s="25">
        <f t="shared" si="130"/>
        <v>0</v>
      </c>
      <c r="CB108" s="25">
        <f t="shared" si="131"/>
        <v>0</v>
      </c>
      <c r="CC108" s="25">
        <f t="shared" si="132"/>
        <v>231216.49446000002</v>
      </c>
      <c r="CD108" s="384">
        <f t="shared" si="133"/>
        <v>0</v>
      </c>
      <c r="CR108" s="25">
        <f t="shared" si="134"/>
        <v>1849731.9556800001</v>
      </c>
      <c r="CS108" s="25">
        <f t="shared" si="160"/>
        <v>1849731.9556800001</v>
      </c>
      <c r="CT108" s="25">
        <f t="shared" si="160"/>
        <v>0</v>
      </c>
      <c r="CU108" s="25">
        <f t="shared" si="135"/>
        <v>0</v>
      </c>
      <c r="CV108" s="25">
        <f t="shared" si="136"/>
        <v>924865.97784000007</v>
      </c>
      <c r="CW108" s="25">
        <f t="shared" si="137"/>
        <v>0</v>
      </c>
      <c r="CY108" s="25">
        <f t="shared" si="138"/>
        <v>462432.98892000003</v>
      </c>
      <c r="CZ108" s="25">
        <f t="shared" si="139"/>
        <v>462432.98892000003</v>
      </c>
      <c r="DA108" s="25">
        <f t="shared" si="150"/>
        <v>0</v>
      </c>
      <c r="DB108" s="25">
        <f t="shared" si="140"/>
        <v>0</v>
      </c>
      <c r="DC108" s="25">
        <f t="shared" si="141"/>
        <v>231216.49446000002</v>
      </c>
      <c r="DD108" s="25">
        <f t="shared" si="142"/>
        <v>0</v>
      </c>
    </row>
    <row r="109" spans="1:108" x14ac:dyDescent="0.35">
      <c r="A109" s="282" t="str">
        <f t="shared" si="143"/>
        <v>361530_494323</v>
      </c>
      <c r="B109" s="303">
        <v>361530</v>
      </c>
      <c r="C109" s="303">
        <v>494323</v>
      </c>
      <c r="D109" s="319" t="str">
        <f>IFERROR(MATCH(C109,'[4]Custom Earning Pattern Not Popu'!$B$5:$B$428,0),"NA")</f>
        <v>NA</v>
      </c>
      <c r="E109" s="303" t="s">
        <v>228</v>
      </c>
      <c r="F109" s="303">
        <v>12</v>
      </c>
      <c r="G109" s="303">
        <v>13554</v>
      </c>
      <c r="H109" s="306">
        <v>45095</v>
      </c>
      <c r="I109" s="306">
        <v>46009</v>
      </c>
      <c r="J109" s="306">
        <v>46373</v>
      </c>
      <c r="K109" s="303" t="s">
        <v>113</v>
      </c>
      <c r="L109" s="306">
        <v>46009</v>
      </c>
      <c r="M109" s="306">
        <v>46373</v>
      </c>
      <c r="N109" s="303" t="s">
        <v>234</v>
      </c>
      <c r="O109" s="303" t="s">
        <v>234</v>
      </c>
      <c r="P109" s="148">
        <f t="shared" si="144"/>
        <v>0.4</v>
      </c>
      <c r="Q109" s="282">
        <v>1</v>
      </c>
      <c r="R109" s="282">
        <v>0</v>
      </c>
      <c r="S109" s="282" t="str">
        <f t="shared" si="148"/>
        <v>In-Orbit</v>
      </c>
      <c r="T109" s="282" t="s">
        <v>13</v>
      </c>
      <c r="U109" s="303" t="s">
        <v>478</v>
      </c>
      <c r="V109" s="303" t="s">
        <v>29</v>
      </c>
      <c r="W109" s="303" t="s">
        <v>78</v>
      </c>
      <c r="X109" s="303" t="s">
        <v>300</v>
      </c>
      <c r="Y109" s="303" t="s">
        <v>331</v>
      </c>
      <c r="Z109" s="303" t="s">
        <v>338</v>
      </c>
      <c r="AA109" s="308">
        <v>18739856.257426601</v>
      </c>
      <c r="AC109" s="289">
        <f t="shared" si="145"/>
        <v>0</v>
      </c>
      <c r="AD109" s="88" cm="1">
        <f t="array" ref="AD109">IF(AC109=0,0,INDEX(Summary!$S$4:$S$7,MATCH(AC109,Summary!$R$4:$R$7)+1))</f>
        <v>0</v>
      </c>
      <c r="AE109" s="88">
        <f>IFERROR(INDEX(Summary!$Y$4:$Y$6,MATCH('Input Data'!K109,Summary!$U$4:$U$6,0)),0)</f>
        <v>0.05</v>
      </c>
      <c r="AF109" s="88" t="b">
        <f t="shared" si="113"/>
        <v>1</v>
      </c>
      <c r="AG109" s="89">
        <f>IF(AF109,INDEX('IG Equity Share'!$B:$B,MATCH(YEAR(I109),'IG Equity Share'!$A:$A,0)),0)</f>
        <v>7.4999999999999997E-2</v>
      </c>
      <c r="AH109" s="383">
        <f>AJ109*AG109*_xlfn.XLOOKUP(I109,'S3123 Consortium Share'!$A$3:$A$5,'S3123 Consortium Share'!$F$3:$F$5,,-1)</f>
        <v>585620.50804458128</v>
      </c>
      <c r="AI109" s="14">
        <v>1</v>
      </c>
      <c r="AJ109" s="13">
        <f t="shared" si="114"/>
        <v>18739856.257426601</v>
      </c>
      <c r="AK109" s="13">
        <f t="shared" si="115"/>
        <v>18739856.257426601</v>
      </c>
      <c r="AL109" s="13" t="str">
        <f t="shared" si="116"/>
        <v>FUL</v>
      </c>
      <c r="AM109" s="52">
        <f t="shared" si="117"/>
        <v>2025</v>
      </c>
      <c r="AN109" s="4">
        <f>INDEX('[2]Input Data'!$AH:$AH,MATCH(A109,'[2]Input Data'!$A:$A,0),1)-AH109</f>
        <v>-1.9329896895214915E-2</v>
      </c>
      <c r="AO109" s="13">
        <f t="shared" si="151"/>
        <v>0</v>
      </c>
      <c r="AP109" s="13">
        <f t="shared" si="151"/>
        <v>0</v>
      </c>
      <c r="AQ109" s="13">
        <f t="shared" si="151"/>
        <v>0</v>
      </c>
      <c r="AR109" s="13">
        <f t="shared" si="151"/>
        <v>0</v>
      </c>
      <c r="AS109" s="13">
        <f t="shared" si="151"/>
        <v>0</v>
      </c>
      <c r="AT109" s="13">
        <f t="shared" si="151"/>
        <v>0</v>
      </c>
      <c r="AU109" s="13">
        <f t="shared" si="151"/>
        <v>3747971.2514853203</v>
      </c>
      <c r="AV109" s="13">
        <f t="shared" si="146"/>
        <v>0</v>
      </c>
      <c r="AW109" s="13"/>
      <c r="AX109" s="13"/>
      <c r="AY109" s="13">
        <f t="shared" si="147"/>
        <v>3747971.2514853203</v>
      </c>
      <c r="AZ109" s="13">
        <f t="shared" si="152"/>
        <v>0</v>
      </c>
      <c r="BA109" s="74"/>
      <c r="BB109" s="25">
        <f t="shared" si="153"/>
        <v>14991885.005941281</v>
      </c>
      <c r="BC109" s="13">
        <f t="shared" si="154"/>
        <v>0</v>
      </c>
      <c r="BD109" s="13" t="b">
        <f>AND(AF109,NOT(ISNUMBER(MATCH(G109,Table1[Excluded Spacecraft ID],0))))</f>
        <v>1</v>
      </c>
      <c r="BE109" s="13">
        <f>BD109*AK109*_xlfn.XLOOKUP(I109,Table2[Date From],Table2[Cession],"Error",-1)*_xlfn.XLOOKUP(I109,'S3123 Consortium Share'!$A$3:$A$5,'S3123 Consortium Share'!$F$3:$F$5,,-1)</f>
        <v>1561654.6881188834</v>
      </c>
      <c r="BF109" s="13">
        <f t="shared" si="155"/>
        <v>14991885.005941281</v>
      </c>
      <c r="BG109" s="89" cm="1">
        <f t="array" ref="BG109">IF(V109="FIBL",0,INDEX('IGR QS'!$A$1:$D$570,MATCH('Input Data'!V109&amp;'Input Data'!W109&amp;'Input Data'!AM109,'IGR QS'!A:A&amp;'IGR QS'!B:B&amp;'IGR QS'!C:C,0),4))</f>
        <v>0.5</v>
      </c>
      <c r="BH109" s="13">
        <f t="shared" si="156"/>
        <v>7495942.5029706405</v>
      </c>
      <c r="BI109" s="13">
        <f t="shared" si="157"/>
        <v>7495942.5029706405</v>
      </c>
      <c r="BJ109" s="13">
        <f t="shared" si="118"/>
        <v>0</v>
      </c>
      <c r="BK109" s="13">
        <f t="shared" si="158"/>
        <v>7495942.5029706405</v>
      </c>
      <c r="BL109" s="13">
        <f t="shared" si="159"/>
        <v>7495942.5029706405</v>
      </c>
      <c r="BM109" s="21"/>
      <c r="BN109" s="13">
        <f t="shared" si="119"/>
        <v>33962303.368542388</v>
      </c>
      <c r="BO109" s="13">
        <f t="shared" si="120"/>
        <v>20011429.248113245</v>
      </c>
      <c r="BP109" s="13">
        <f t="shared" si="121"/>
        <v>13950874.12042914</v>
      </c>
      <c r="BQ109" s="13">
        <f t="shared" si="122"/>
        <v>99066382.597211704</v>
      </c>
      <c r="BR109" s="13">
        <f t="shared" si="123"/>
        <v>33257171.491438523</v>
      </c>
      <c r="BT109" s="13">
        <f t="shared" si="124"/>
        <v>14991885.005941281</v>
      </c>
      <c r="BU109" s="13">
        <f t="shared" si="125"/>
        <v>7495942.5029706405</v>
      </c>
      <c r="BV109" s="13">
        <f t="shared" si="126"/>
        <v>7495942.5029706405</v>
      </c>
      <c r="BW109" s="13">
        <f t="shared" si="127"/>
        <v>3747971.2514853203</v>
      </c>
      <c r="BX109" s="13"/>
      <c r="BY109" s="25">
        <f t="shared" si="128"/>
        <v>936992.81287133007</v>
      </c>
      <c r="BZ109" s="25">
        <f t="shared" si="129"/>
        <v>936992.81287133007</v>
      </c>
      <c r="CA109" s="25">
        <f t="shared" si="130"/>
        <v>0</v>
      </c>
      <c r="CB109" s="25">
        <f t="shared" si="131"/>
        <v>0</v>
      </c>
      <c r="CC109" s="25">
        <f t="shared" si="132"/>
        <v>468496.40643566503</v>
      </c>
      <c r="CD109" s="384">
        <f t="shared" si="133"/>
        <v>0</v>
      </c>
      <c r="CR109" s="25">
        <f t="shared" si="134"/>
        <v>3747971.2514853203</v>
      </c>
      <c r="CS109" s="25">
        <f t="shared" si="160"/>
        <v>3747971.2514853203</v>
      </c>
      <c r="CT109" s="25">
        <f t="shared" si="160"/>
        <v>0</v>
      </c>
      <c r="CU109" s="25">
        <f t="shared" si="135"/>
        <v>0</v>
      </c>
      <c r="CV109" s="25">
        <f t="shared" si="136"/>
        <v>1873985.6257426601</v>
      </c>
      <c r="CW109" s="25">
        <f t="shared" si="137"/>
        <v>0</v>
      </c>
      <c r="CY109" s="25">
        <f t="shared" si="138"/>
        <v>936992.81287133007</v>
      </c>
      <c r="CZ109" s="25">
        <f t="shared" si="139"/>
        <v>936992.81287133007</v>
      </c>
      <c r="DA109" s="25">
        <f t="shared" si="150"/>
        <v>0</v>
      </c>
      <c r="DB109" s="25">
        <f t="shared" si="140"/>
        <v>0</v>
      </c>
      <c r="DC109" s="25">
        <f t="shared" si="141"/>
        <v>468496.40643566503</v>
      </c>
      <c r="DD109" s="25">
        <f t="shared" si="142"/>
        <v>0</v>
      </c>
    </row>
    <row r="110" spans="1:108" x14ac:dyDescent="0.35">
      <c r="A110" s="282" t="str">
        <f t="shared" si="143"/>
        <v>361682_494911</v>
      </c>
      <c r="B110" s="303">
        <v>361682</v>
      </c>
      <c r="C110" s="303">
        <v>494911</v>
      </c>
      <c r="D110" s="319" t="str">
        <f>IFERROR(MATCH(C110,'[4]Custom Earning Pattern Not Popu'!$B$5:$B$428,0),"NA")</f>
        <v>NA</v>
      </c>
      <c r="E110" s="303" t="s">
        <v>228</v>
      </c>
      <c r="F110" s="303">
        <v>12</v>
      </c>
      <c r="G110" s="303">
        <v>8880</v>
      </c>
      <c r="H110" s="306">
        <v>41684</v>
      </c>
      <c r="I110" s="306">
        <v>45981</v>
      </c>
      <c r="J110" s="306">
        <v>46345</v>
      </c>
      <c r="K110" s="303" t="s">
        <v>113</v>
      </c>
      <c r="L110" s="306">
        <v>45981</v>
      </c>
      <c r="M110" s="306">
        <v>46345</v>
      </c>
      <c r="N110" s="303" t="s">
        <v>236</v>
      </c>
      <c r="O110" s="303" t="s">
        <v>236</v>
      </c>
      <c r="P110" s="148">
        <f t="shared" si="144"/>
        <v>0.4</v>
      </c>
      <c r="Q110" s="282">
        <v>1</v>
      </c>
      <c r="R110" s="282">
        <v>0</v>
      </c>
      <c r="S110" s="282" t="str">
        <f t="shared" si="148"/>
        <v>In-Orbit</v>
      </c>
      <c r="T110" s="282" t="s">
        <v>13</v>
      </c>
      <c r="U110" s="303" t="s">
        <v>479</v>
      </c>
      <c r="V110" s="303" t="s">
        <v>29</v>
      </c>
      <c r="W110" s="303" t="s">
        <v>78</v>
      </c>
      <c r="X110" s="303" t="s">
        <v>286</v>
      </c>
      <c r="Y110" s="303" t="s">
        <v>324</v>
      </c>
      <c r="Z110" s="303" t="s">
        <v>339</v>
      </c>
      <c r="AA110" s="308">
        <v>3517988.0353738</v>
      </c>
      <c r="AC110" s="289">
        <f t="shared" si="145"/>
        <v>0</v>
      </c>
      <c r="AD110" s="88" cm="1">
        <f t="array" ref="AD110">IF(AC110=0,0,INDEX(Summary!$S$4:$S$7,MATCH(AC110,Summary!$R$4:$R$7)+1))</f>
        <v>0</v>
      </c>
      <c r="AE110" s="88">
        <f>IFERROR(INDEX(Summary!$Y$4:$Y$6,MATCH('Input Data'!K110,Summary!$U$4:$U$6,0)),0)</f>
        <v>0.05</v>
      </c>
      <c r="AF110" s="88" t="b">
        <f t="shared" si="113"/>
        <v>1</v>
      </c>
      <c r="AG110" s="89">
        <f>IF(AF110,INDEX('IG Equity Share'!$B:$B,MATCH(YEAR(I110),'IG Equity Share'!$A:$A,0)),0)</f>
        <v>7.4999999999999997E-2</v>
      </c>
      <c r="AH110" s="383">
        <f>AJ110*AG110*_xlfn.XLOOKUP(I110,'S3123 Consortium Share'!$A$3:$A$5,'S3123 Consortium Share'!$F$3:$F$5,,-1)</f>
        <v>109937.12610543123</v>
      </c>
      <c r="AI110" s="14">
        <v>1</v>
      </c>
      <c r="AJ110" s="13">
        <f t="shared" si="114"/>
        <v>3517988.0353738</v>
      </c>
      <c r="AK110" s="13">
        <f t="shared" si="115"/>
        <v>3517988.0353738</v>
      </c>
      <c r="AL110" s="13" t="str">
        <f t="shared" si="116"/>
        <v>FUL</v>
      </c>
      <c r="AM110" s="52">
        <f t="shared" si="117"/>
        <v>2025</v>
      </c>
      <c r="AN110" s="4">
        <f>INDEX('[2]Input Data'!$AH:$AH,MATCH(A110,'[2]Input Data'!$A:$A,0),1)-AH110</f>
        <v>0</v>
      </c>
      <c r="AO110" s="13">
        <f t="shared" ref="AO110:AU119" si="161">+IF(AND($I110&lt;=AO$8,$I110&gt;=AO$7),$AK110*AO$11,0)</f>
        <v>0</v>
      </c>
      <c r="AP110" s="13">
        <f t="shared" si="161"/>
        <v>0</v>
      </c>
      <c r="AQ110" s="13">
        <f t="shared" si="161"/>
        <v>0</v>
      </c>
      <c r="AR110" s="13">
        <f t="shared" si="161"/>
        <v>0</v>
      </c>
      <c r="AS110" s="13">
        <f t="shared" si="161"/>
        <v>0</v>
      </c>
      <c r="AT110" s="13">
        <f t="shared" si="161"/>
        <v>0</v>
      </c>
      <c r="AU110" s="13">
        <f t="shared" si="161"/>
        <v>703597.60707476002</v>
      </c>
      <c r="AV110" s="13">
        <f t="shared" si="146"/>
        <v>0</v>
      </c>
      <c r="AW110" s="13"/>
      <c r="AX110" s="13"/>
      <c r="AY110" s="13">
        <f t="shared" si="147"/>
        <v>703597.60707476002</v>
      </c>
      <c r="AZ110" s="13">
        <f t="shared" si="152"/>
        <v>0</v>
      </c>
      <c r="BA110" s="74"/>
      <c r="BB110" s="25">
        <f t="shared" si="153"/>
        <v>2814390.4282990401</v>
      </c>
      <c r="BC110" s="13">
        <f t="shared" si="154"/>
        <v>0</v>
      </c>
      <c r="BD110" s="13" t="b">
        <f>AND(AF110,NOT(ISNUMBER(MATCH(G110,Table1[Excluded Spacecraft ID],0))))</f>
        <v>1</v>
      </c>
      <c r="BE110" s="13">
        <f>BD110*AK110*_xlfn.XLOOKUP(I110,Table2[Date From],Table2[Cession],"Error",-1)*_xlfn.XLOOKUP(I110,'S3123 Consortium Share'!$A$3:$A$5,'S3123 Consortium Share'!$F$3:$F$5,,-1)</f>
        <v>293165.66961448337</v>
      </c>
      <c r="BF110" s="13">
        <f t="shared" si="155"/>
        <v>2814390.4282990401</v>
      </c>
      <c r="BG110" s="89" cm="1">
        <f t="array" ref="BG110">IF(V110="FIBL",0,INDEX('IGR QS'!$A$1:$D$570,MATCH('Input Data'!V110&amp;'Input Data'!W110&amp;'Input Data'!AM110,'IGR QS'!A:A&amp;'IGR QS'!B:B&amp;'IGR QS'!C:C,0),4))</f>
        <v>0.5</v>
      </c>
      <c r="BH110" s="13">
        <f t="shared" si="156"/>
        <v>1407195.21414952</v>
      </c>
      <c r="BI110" s="13">
        <f t="shared" si="157"/>
        <v>1407195.21414952</v>
      </c>
      <c r="BJ110" s="13">
        <f t="shared" si="118"/>
        <v>0</v>
      </c>
      <c r="BK110" s="13">
        <f t="shared" si="158"/>
        <v>1407195.21414952</v>
      </c>
      <c r="BL110" s="13">
        <f t="shared" si="159"/>
        <v>1407195.21414952</v>
      </c>
      <c r="BM110" s="21"/>
      <c r="BN110" s="13">
        <f t="shared" si="119"/>
        <v>8286852.3573225886</v>
      </c>
      <c r="BO110" s="13">
        <f t="shared" si="120"/>
        <v>8286852.3573225886</v>
      </c>
      <c r="BP110" s="13">
        <f t="shared" si="121"/>
        <v>0</v>
      </c>
      <c r="BQ110" s="13">
        <f t="shared" si="122"/>
        <v>8286852.3573225886</v>
      </c>
      <c r="BR110" s="13">
        <f t="shared" si="123"/>
        <v>4143426.1786612943</v>
      </c>
      <c r="BT110" s="13">
        <f t="shared" si="124"/>
        <v>2814390.4282990401</v>
      </c>
      <c r="BU110" s="13">
        <f t="shared" si="125"/>
        <v>1407195.21414952</v>
      </c>
      <c r="BV110" s="13">
        <f t="shared" si="126"/>
        <v>1407195.21414952</v>
      </c>
      <c r="BW110" s="13">
        <f t="shared" si="127"/>
        <v>703597.60707476002</v>
      </c>
      <c r="BX110" s="13"/>
      <c r="BY110" s="25">
        <f t="shared" si="128"/>
        <v>175899.40176869</v>
      </c>
      <c r="BZ110" s="25">
        <f t="shared" si="129"/>
        <v>175899.40176869</v>
      </c>
      <c r="CA110" s="25">
        <f t="shared" si="130"/>
        <v>0</v>
      </c>
      <c r="CB110" s="25">
        <f t="shared" si="131"/>
        <v>0</v>
      </c>
      <c r="CC110" s="25">
        <f t="shared" si="132"/>
        <v>87949.700884345002</v>
      </c>
      <c r="CD110" s="384">
        <f t="shared" si="133"/>
        <v>0</v>
      </c>
      <c r="CR110" s="25">
        <f t="shared" si="134"/>
        <v>703597.60707476002</v>
      </c>
      <c r="CS110" s="25">
        <f t="shared" si="160"/>
        <v>703597.60707476002</v>
      </c>
      <c r="CT110" s="25">
        <f t="shared" si="160"/>
        <v>0</v>
      </c>
      <c r="CU110" s="25">
        <f t="shared" si="135"/>
        <v>0</v>
      </c>
      <c r="CV110" s="25">
        <f t="shared" si="136"/>
        <v>351798.80353738001</v>
      </c>
      <c r="CW110" s="25">
        <f t="shared" si="137"/>
        <v>0</v>
      </c>
      <c r="CY110" s="25">
        <f t="shared" si="138"/>
        <v>175899.40176869</v>
      </c>
      <c r="CZ110" s="25">
        <f t="shared" si="139"/>
        <v>175899.40176869</v>
      </c>
      <c r="DA110" s="25">
        <f t="shared" si="150"/>
        <v>0</v>
      </c>
      <c r="DB110" s="25">
        <f t="shared" si="140"/>
        <v>0</v>
      </c>
      <c r="DC110" s="25">
        <f t="shared" si="141"/>
        <v>87949.700884345002</v>
      </c>
      <c r="DD110" s="25">
        <f t="shared" si="142"/>
        <v>0</v>
      </c>
    </row>
    <row r="111" spans="1:108" x14ac:dyDescent="0.35">
      <c r="A111" s="282" t="str">
        <f t="shared" si="143"/>
        <v>361682_494912</v>
      </c>
      <c r="B111" s="303">
        <v>361682</v>
      </c>
      <c r="C111" s="303">
        <v>494912</v>
      </c>
      <c r="D111" s="319" t="str">
        <f>IFERROR(MATCH(C111,'[4]Custom Earning Pattern Not Popu'!$B$5:$B$428,0),"NA")</f>
        <v>NA</v>
      </c>
      <c r="E111" s="303" t="s">
        <v>228</v>
      </c>
      <c r="F111" s="303">
        <v>12</v>
      </c>
      <c r="G111" s="303">
        <v>12133</v>
      </c>
      <c r="H111" s="306">
        <v>44549</v>
      </c>
      <c r="I111" s="306">
        <v>45981</v>
      </c>
      <c r="J111" s="306">
        <v>46345</v>
      </c>
      <c r="K111" s="303" t="s">
        <v>113</v>
      </c>
      <c r="L111" s="306">
        <v>45981</v>
      </c>
      <c r="M111" s="306">
        <v>46345</v>
      </c>
      <c r="N111" s="303" t="s">
        <v>230</v>
      </c>
      <c r="O111" s="303" t="s">
        <v>241</v>
      </c>
      <c r="P111" s="148">
        <f t="shared" si="144"/>
        <v>0.4</v>
      </c>
      <c r="Q111" s="282">
        <v>1</v>
      </c>
      <c r="R111" s="282">
        <v>0</v>
      </c>
      <c r="S111" s="282" t="str">
        <f t="shared" si="148"/>
        <v>In-Orbit</v>
      </c>
      <c r="T111" s="282" t="s">
        <v>13</v>
      </c>
      <c r="U111" s="303" t="s">
        <v>479</v>
      </c>
      <c r="V111" s="303" t="s">
        <v>29</v>
      </c>
      <c r="W111" s="303" t="s">
        <v>78</v>
      </c>
      <c r="X111" s="303" t="s">
        <v>287</v>
      </c>
      <c r="Y111" s="303" t="s">
        <v>315</v>
      </c>
      <c r="Z111" s="303" t="s">
        <v>338</v>
      </c>
      <c r="AA111" s="308">
        <v>9526861.2212352995</v>
      </c>
      <c r="AC111" s="289">
        <f t="shared" si="145"/>
        <v>0</v>
      </c>
      <c r="AD111" s="88" cm="1">
        <f t="array" ref="AD111">IF(AC111=0,0,INDEX(Summary!$S$4:$S$7,MATCH(AC111,Summary!$R$4:$R$7)+1))</f>
        <v>0</v>
      </c>
      <c r="AE111" s="88">
        <f>IFERROR(INDEX(Summary!$Y$4:$Y$6,MATCH('Input Data'!K111,Summary!$U$4:$U$6,0)),0)</f>
        <v>0.05</v>
      </c>
      <c r="AF111" s="88" t="b">
        <f t="shared" si="113"/>
        <v>1</v>
      </c>
      <c r="AG111" s="89">
        <f>IF(AF111,INDEX('IG Equity Share'!$B:$B,MATCH(YEAR(I111),'IG Equity Share'!$A:$A,0)),0)</f>
        <v>7.4999999999999997E-2</v>
      </c>
      <c r="AH111" s="383">
        <f>AJ111*AG111*_xlfn.XLOOKUP(I111,'S3123 Consortium Share'!$A$3:$A$5,'S3123 Consortium Share'!$F$3:$F$5,,-1)</f>
        <v>297714.41316360311</v>
      </c>
      <c r="AI111" s="14">
        <v>1</v>
      </c>
      <c r="AJ111" s="13">
        <f t="shared" si="114"/>
        <v>9526861.2212352995</v>
      </c>
      <c r="AK111" s="13">
        <f t="shared" si="115"/>
        <v>9526861.2212352995</v>
      </c>
      <c r="AL111" s="13" t="str">
        <f t="shared" si="116"/>
        <v>FUL</v>
      </c>
      <c r="AM111" s="52">
        <f t="shared" si="117"/>
        <v>2025</v>
      </c>
      <c r="AN111" s="4">
        <f>INDEX('[2]Input Data'!$AH:$AH,MATCH(A111,'[2]Input Data'!$A:$A,0),1)-AH111</f>
        <v>0</v>
      </c>
      <c r="AO111" s="13">
        <f t="shared" si="161"/>
        <v>0</v>
      </c>
      <c r="AP111" s="13">
        <f t="shared" si="161"/>
        <v>0</v>
      </c>
      <c r="AQ111" s="13">
        <f t="shared" si="161"/>
        <v>0</v>
      </c>
      <c r="AR111" s="13">
        <f t="shared" si="161"/>
        <v>0</v>
      </c>
      <c r="AS111" s="13">
        <f t="shared" si="161"/>
        <v>0</v>
      </c>
      <c r="AT111" s="13">
        <f t="shared" si="161"/>
        <v>0</v>
      </c>
      <c r="AU111" s="13">
        <f t="shared" si="161"/>
        <v>1905372.24424706</v>
      </c>
      <c r="AV111" s="13">
        <f t="shared" si="146"/>
        <v>0</v>
      </c>
      <c r="AW111" s="13"/>
      <c r="AX111" s="13"/>
      <c r="AY111" s="13">
        <f t="shared" si="147"/>
        <v>1905372.24424706</v>
      </c>
      <c r="AZ111" s="13">
        <f t="shared" si="152"/>
        <v>0</v>
      </c>
      <c r="BA111" s="74"/>
      <c r="BB111" s="25">
        <f t="shared" si="153"/>
        <v>7621488.9769882392</v>
      </c>
      <c r="BC111" s="13">
        <f t="shared" si="154"/>
        <v>0</v>
      </c>
      <c r="BD111" s="13" t="b">
        <f>AND(AF111,NOT(ISNUMBER(MATCH(G111,Table1[Excluded Spacecraft ID],0))))</f>
        <v>1</v>
      </c>
      <c r="BE111" s="13">
        <f>BD111*AK111*_xlfn.XLOOKUP(I111,Table2[Date From],Table2[Cession],"Error",-1)*_xlfn.XLOOKUP(I111,'S3123 Consortium Share'!$A$3:$A$5,'S3123 Consortium Share'!$F$3:$F$5,,-1)</f>
        <v>793905.10176960833</v>
      </c>
      <c r="BF111" s="13">
        <f t="shared" si="155"/>
        <v>7621488.9769882392</v>
      </c>
      <c r="BG111" s="89" cm="1">
        <f t="array" ref="BG111">IF(V111="FIBL",0,INDEX('IGR QS'!$A$1:$D$570,MATCH('Input Data'!V111&amp;'Input Data'!W111&amp;'Input Data'!AM111,'IGR QS'!A:A&amp;'IGR QS'!B:B&amp;'IGR QS'!C:C,0),4))</f>
        <v>0.5</v>
      </c>
      <c r="BH111" s="13">
        <f t="shared" si="156"/>
        <v>3810744.4884941196</v>
      </c>
      <c r="BI111" s="13">
        <f t="shared" si="157"/>
        <v>3810744.4884941196</v>
      </c>
      <c r="BJ111" s="13">
        <f t="shared" si="118"/>
        <v>0</v>
      </c>
      <c r="BK111" s="13">
        <f t="shared" si="158"/>
        <v>3810744.4884941196</v>
      </c>
      <c r="BL111" s="13">
        <f t="shared" si="159"/>
        <v>3810744.4884941196</v>
      </c>
      <c r="BM111" s="21"/>
      <c r="BN111" s="13">
        <f t="shared" si="119"/>
        <v>66471396.42403952</v>
      </c>
      <c r="BO111" s="13">
        <f t="shared" si="120"/>
        <v>49043091.716622137</v>
      </c>
      <c r="BP111" s="13">
        <f t="shared" si="121"/>
        <v>17428304.707417384</v>
      </c>
      <c r="BQ111" s="13">
        <f t="shared" si="122"/>
        <v>147803485.05865392</v>
      </c>
      <c r="BR111" s="13">
        <f t="shared" si="123"/>
        <v>53568720.370673373</v>
      </c>
      <c r="BT111" s="13">
        <f t="shared" si="124"/>
        <v>7621488.9769882392</v>
      </c>
      <c r="BU111" s="13">
        <f t="shared" si="125"/>
        <v>3810744.4884941196</v>
      </c>
      <c r="BV111" s="13">
        <f t="shared" si="126"/>
        <v>3810744.4884941196</v>
      </c>
      <c r="BW111" s="13">
        <f t="shared" si="127"/>
        <v>1905372.24424706</v>
      </c>
      <c r="BX111" s="13"/>
      <c r="BY111" s="25">
        <f t="shared" si="128"/>
        <v>476343.06106176501</v>
      </c>
      <c r="BZ111" s="25">
        <f t="shared" si="129"/>
        <v>476343.06106176501</v>
      </c>
      <c r="CA111" s="25">
        <f t="shared" si="130"/>
        <v>0</v>
      </c>
      <c r="CB111" s="25">
        <f t="shared" si="131"/>
        <v>0</v>
      </c>
      <c r="CC111" s="25">
        <f t="shared" si="132"/>
        <v>238171.5305308825</v>
      </c>
      <c r="CD111" s="384">
        <f t="shared" si="133"/>
        <v>0</v>
      </c>
      <c r="CR111" s="25">
        <f t="shared" si="134"/>
        <v>1905372.24424706</v>
      </c>
      <c r="CS111" s="25">
        <f t="shared" si="160"/>
        <v>1905372.24424706</v>
      </c>
      <c r="CT111" s="25">
        <f t="shared" si="160"/>
        <v>0</v>
      </c>
      <c r="CU111" s="25">
        <f t="shared" si="135"/>
        <v>0</v>
      </c>
      <c r="CV111" s="25">
        <f t="shared" si="136"/>
        <v>952686.12212353002</v>
      </c>
      <c r="CW111" s="25">
        <f t="shared" si="137"/>
        <v>0</v>
      </c>
      <c r="CY111" s="25">
        <f t="shared" si="138"/>
        <v>476343.06106176501</v>
      </c>
      <c r="CZ111" s="25">
        <f t="shared" si="139"/>
        <v>476343.06106176501</v>
      </c>
      <c r="DA111" s="25">
        <f t="shared" si="150"/>
        <v>0</v>
      </c>
      <c r="DB111" s="25">
        <f t="shared" si="140"/>
        <v>0</v>
      </c>
      <c r="DC111" s="25">
        <f t="shared" si="141"/>
        <v>238171.5305308825</v>
      </c>
      <c r="DD111" s="25">
        <f t="shared" si="142"/>
        <v>0</v>
      </c>
    </row>
    <row r="112" spans="1:108" x14ac:dyDescent="0.35">
      <c r="A112" s="282" t="str">
        <f t="shared" si="143"/>
        <v>361682_494913</v>
      </c>
      <c r="B112" s="303">
        <v>361682</v>
      </c>
      <c r="C112" s="303">
        <v>494913</v>
      </c>
      <c r="D112" s="319" t="str">
        <f>IFERROR(MATCH(C112,'[4]Custom Earning Pattern Not Popu'!$B$5:$B$428,0),"NA")</f>
        <v>NA</v>
      </c>
      <c r="E112" s="303" t="s">
        <v>228</v>
      </c>
      <c r="F112" s="303">
        <v>12</v>
      </c>
      <c r="G112" s="303">
        <v>9285</v>
      </c>
      <c r="H112" s="306">
        <v>44204</v>
      </c>
      <c r="I112" s="306">
        <v>45981</v>
      </c>
      <c r="J112" s="306">
        <v>46345</v>
      </c>
      <c r="K112" s="303" t="s">
        <v>113</v>
      </c>
      <c r="L112" s="306">
        <v>45981</v>
      </c>
      <c r="M112" s="306">
        <v>46345</v>
      </c>
      <c r="N112" s="303" t="s">
        <v>230</v>
      </c>
      <c r="O112" s="303" t="s">
        <v>230</v>
      </c>
      <c r="P112" s="148">
        <f t="shared" si="144"/>
        <v>0.4</v>
      </c>
      <c r="Q112" s="282">
        <v>1</v>
      </c>
      <c r="R112" s="282">
        <v>0</v>
      </c>
      <c r="S112" s="282" t="str">
        <f t="shared" si="148"/>
        <v>In-Orbit</v>
      </c>
      <c r="T112" s="282" t="s">
        <v>13</v>
      </c>
      <c r="U112" s="303" t="s">
        <v>479</v>
      </c>
      <c r="V112" s="303" t="s">
        <v>29</v>
      </c>
      <c r="W112" s="303" t="s">
        <v>78</v>
      </c>
      <c r="X112" s="303" t="s">
        <v>288</v>
      </c>
      <c r="Y112" s="303" t="s">
        <v>315</v>
      </c>
      <c r="Z112" s="303" t="s">
        <v>338</v>
      </c>
      <c r="AA112" s="308">
        <v>9082562.4590891991</v>
      </c>
      <c r="AC112" s="289">
        <f t="shared" si="145"/>
        <v>0</v>
      </c>
      <c r="AD112" s="88" cm="1">
        <f t="array" ref="AD112">IF(AC112=0,0,INDEX(Summary!$S$4:$S$7,MATCH(AC112,Summary!$R$4:$R$7)+1))</f>
        <v>0</v>
      </c>
      <c r="AE112" s="88">
        <f>IFERROR(INDEX(Summary!$Y$4:$Y$6,MATCH('Input Data'!K112,Summary!$U$4:$U$6,0)),0)</f>
        <v>0.05</v>
      </c>
      <c r="AF112" s="88" t="b">
        <f t="shared" si="113"/>
        <v>1</v>
      </c>
      <c r="AG112" s="89">
        <f>IF(AF112,INDEX('IG Equity Share'!$B:$B,MATCH(YEAR(I112),'IG Equity Share'!$A:$A,0)),0)</f>
        <v>7.4999999999999997E-2</v>
      </c>
      <c r="AH112" s="383">
        <f>AJ112*AG112*_xlfn.XLOOKUP(I112,'S3123 Consortium Share'!$A$3:$A$5,'S3123 Consortium Share'!$F$3:$F$5,,-1)</f>
        <v>283830.07684653747</v>
      </c>
      <c r="AI112" s="14">
        <v>1</v>
      </c>
      <c r="AJ112" s="13">
        <f t="shared" si="114"/>
        <v>9082562.4590891991</v>
      </c>
      <c r="AK112" s="13">
        <f t="shared" si="115"/>
        <v>9082562.4590891991</v>
      </c>
      <c r="AL112" s="13" t="str">
        <f t="shared" si="116"/>
        <v>FUL</v>
      </c>
      <c r="AM112" s="52">
        <f t="shared" si="117"/>
        <v>2025</v>
      </c>
      <c r="AN112" s="4">
        <f>INDEX('[2]Input Data'!$AH:$AH,MATCH(A112,'[2]Input Data'!$A:$A,0),1)-AH112</f>
        <v>0</v>
      </c>
      <c r="AO112" s="13">
        <f t="shared" si="161"/>
        <v>0</v>
      </c>
      <c r="AP112" s="13">
        <f t="shared" si="161"/>
        <v>0</v>
      </c>
      <c r="AQ112" s="13">
        <f t="shared" si="161"/>
        <v>0</v>
      </c>
      <c r="AR112" s="13">
        <f t="shared" si="161"/>
        <v>0</v>
      </c>
      <c r="AS112" s="13">
        <f t="shared" si="161"/>
        <v>0</v>
      </c>
      <c r="AT112" s="13">
        <f t="shared" si="161"/>
        <v>0</v>
      </c>
      <c r="AU112" s="13">
        <f t="shared" si="161"/>
        <v>1816512.4918178399</v>
      </c>
      <c r="AV112" s="13">
        <f t="shared" si="146"/>
        <v>0</v>
      </c>
      <c r="AW112" s="13"/>
      <c r="AX112" s="13"/>
      <c r="AY112" s="13">
        <f t="shared" si="147"/>
        <v>1816512.4918178399</v>
      </c>
      <c r="AZ112" s="13">
        <f t="shared" si="152"/>
        <v>0</v>
      </c>
      <c r="BA112" s="74"/>
      <c r="BB112" s="25">
        <f t="shared" si="153"/>
        <v>7266049.9672713596</v>
      </c>
      <c r="BC112" s="13">
        <f t="shared" si="154"/>
        <v>0</v>
      </c>
      <c r="BD112" s="13" t="b">
        <f>AND(AF112,NOT(ISNUMBER(MATCH(G112,Table1[Excluded Spacecraft ID],0))))</f>
        <v>1</v>
      </c>
      <c r="BE112" s="13">
        <f>BD112*AK112*_xlfn.XLOOKUP(I112,Table2[Date From],Table2[Cession],"Error",-1)*_xlfn.XLOOKUP(I112,'S3123 Consortium Share'!$A$3:$A$5,'S3123 Consortium Share'!$F$3:$F$5,,-1)</f>
        <v>756880.20492409996</v>
      </c>
      <c r="BF112" s="13">
        <f t="shared" si="155"/>
        <v>7266049.9672713596</v>
      </c>
      <c r="BG112" s="89" cm="1">
        <f t="array" ref="BG112">IF(V112="FIBL",0,INDEX('IGR QS'!$A$1:$D$570,MATCH('Input Data'!V112&amp;'Input Data'!W112&amp;'Input Data'!AM112,'IGR QS'!A:A&amp;'IGR QS'!B:B&amp;'IGR QS'!C:C,0),4))</f>
        <v>0.5</v>
      </c>
      <c r="BH112" s="13">
        <f t="shared" si="156"/>
        <v>3633024.9836356798</v>
      </c>
      <c r="BI112" s="13">
        <f t="shared" si="157"/>
        <v>3633024.9836356798</v>
      </c>
      <c r="BJ112" s="13">
        <f t="shared" si="118"/>
        <v>0</v>
      </c>
      <c r="BK112" s="13">
        <f t="shared" si="158"/>
        <v>3633024.9836356798</v>
      </c>
      <c r="BL112" s="13">
        <f t="shared" si="159"/>
        <v>3633024.9836356798</v>
      </c>
      <c r="BM112" s="21"/>
      <c r="BN112" s="13">
        <f t="shared" si="119"/>
        <v>66471396.42403952</v>
      </c>
      <c r="BO112" s="13">
        <f t="shared" si="120"/>
        <v>49043091.716622137</v>
      </c>
      <c r="BP112" s="13">
        <f t="shared" si="121"/>
        <v>17428304.707417384</v>
      </c>
      <c r="BQ112" s="13">
        <f t="shared" si="122"/>
        <v>147803485.05865392</v>
      </c>
      <c r="BR112" s="13">
        <f t="shared" si="123"/>
        <v>53568720.370673373</v>
      </c>
      <c r="BT112" s="13">
        <f t="shared" si="124"/>
        <v>7266049.9672713596</v>
      </c>
      <c r="BU112" s="13">
        <f t="shared" si="125"/>
        <v>3633024.9836356798</v>
      </c>
      <c r="BV112" s="13">
        <f t="shared" si="126"/>
        <v>3633024.9836356798</v>
      </c>
      <c r="BW112" s="13">
        <f t="shared" si="127"/>
        <v>1816512.4918178399</v>
      </c>
      <c r="BX112" s="13"/>
      <c r="BY112" s="25">
        <f t="shared" si="128"/>
        <v>454128.12295445998</v>
      </c>
      <c r="BZ112" s="25">
        <f t="shared" si="129"/>
        <v>454128.12295445998</v>
      </c>
      <c r="CA112" s="25">
        <f t="shared" si="130"/>
        <v>0</v>
      </c>
      <c r="CB112" s="25">
        <f t="shared" si="131"/>
        <v>0</v>
      </c>
      <c r="CC112" s="25">
        <f t="shared" si="132"/>
        <v>227064.06147722999</v>
      </c>
      <c r="CD112" s="384">
        <f t="shared" si="133"/>
        <v>0</v>
      </c>
      <c r="CR112" s="25">
        <f t="shared" si="134"/>
        <v>1816512.4918178399</v>
      </c>
      <c r="CS112" s="25">
        <f t="shared" si="160"/>
        <v>1816512.4918178399</v>
      </c>
      <c r="CT112" s="25">
        <f t="shared" si="160"/>
        <v>0</v>
      </c>
      <c r="CU112" s="25">
        <f t="shared" si="135"/>
        <v>0</v>
      </c>
      <c r="CV112" s="25">
        <f t="shared" si="136"/>
        <v>908256.24590891995</v>
      </c>
      <c r="CW112" s="25">
        <f t="shared" si="137"/>
        <v>0</v>
      </c>
      <c r="CY112" s="25">
        <f t="shared" si="138"/>
        <v>454128.12295445998</v>
      </c>
      <c r="CZ112" s="25">
        <f t="shared" si="139"/>
        <v>454128.12295445998</v>
      </c>
      <c r="DA112" s="25">
        <f t="shared" si="150"/>
        <v>0</v>
      </c>
      <c r="DB112" s="25">
        <f t="shared" si="140"/>
        <v>0</v>
      </c>
      <c r="DC112" s="25">
        <f t="shared" si="141"/>
        <v>227064.06147722999</v>
      </c>
      <c r="DD112" s="25">
        <f t="shared" si="142"/>
        <v>0</v>
      </c>
    </row>
    <row r="113" spans="1:108" x14ac:dyDescent="0.35">
      <c r="A113" s="282" t="str">
        <f t="shared" si="143"/>
        <v>361682_494914</v>
      </c>
      <c r="B113" s="303">
        <v>361682</v>
      </c>
      <c r="C113" s="303">
        <v>494914</v>
      </c>
      <c r="D113" s="319" t="str">
        <f>IFERROR(MATCH(C113,'[4]Custom Earning Pattern Not Popu'!$B$5:$B$428,0),"NA")</f>
        <v>NA</v>
      </c>
      <c r="E113" s="303" t="s">
        <v>228</v>
      </c>
      <c r="F113" s="303">
        <v>12</v>
      </c>
      <c r="G113" s="303">
        <v>9133</v>
      </c>
      <c r="H113" s="306">
        <v>42293</v>
      </c>
      <c r="I113" s="306">
        <v>45981</v>
      </c>
      <c r="J113" s="306">
        <v>46345</v>
      </c>
      <c r="K113" s="303" t="s">
        <v>113</v>
      </c>
      <c r="L113" s="306">
        <v>45981</v>
      </c>
      <c r="M113" s="306">
        <v>46345</v>
      </c>
      <c r="N113" s="303" t="s">
        <v>236</v>
      </c>
      <c r="O113" s="303" t="s">
        <v>236</v>
      </c>
      <c r="P113" s="148">
        <f t="shared" si="144"/>
        <v>0.4</v>
      </c>
      <c r="Q113" s="282">
        <v>1</v>
      </c>
      <c r="R113" s="282">
        <v>0</v>
      </c>
      <c r="S113" s="282" t="str">
        <f t="shared" si="148"/>
        <v>In-Orbit</v>
      </c>
      <c r="T113" s="282" t="s">
        <v>13</v>
      </c>
      <c r="U113" s="303" t="s">
        <v>479</v>
      </c>
      <c r="V113" s="303" t="s">
        <v>29</v>
      </c>
      <c r="W113" s="303" t="s">
        <v>78</v>
      </c>
      <c r="X113" s="303" t="s">
        <v>289</v>
      </c>
      <c r="Y113" s="303" t="s">
        <v>324</v>
      </c>
      <c r="Z113" s="303" t="s">
        <v>339</v>
      </c>
      <c r="AA113" s="308">
        <v>4597175.8686266998</v>
      </c>
      <c r="AC113" s="289">
        <f t="shared" si="145"/>
        <v>0</v>
      </c>
      <c r="AD113" s="88" cm="1">
        <f t="array" ref="AD113">IF(AC113=0,0,INDEX(Summary!$S$4:$S$7,MATCH(AC113,Summary!$R$4:$R$7)+1))</f>
        <v>0</v>
      </c>
      <c r="AE113" s="88">
        <f>IFERROR(INDEX(Summary!$Y$4:$Y$6,MATCH('Input Data'!K113,Summary!$U$4:$U$6,0)),0)</f>
        <v>0.05</v>
      </c>
      <c r="AF113" s="88" t="b">
        <f t="shared" si="113"/>
        <v>1</v>
      </c>
      <c r="AG113" s="89">
        <f>IF(AF113,INDEX('IG Equity Share'!$B:$B,MATCH(YEAR(I113),'IG Equity Share'!$A:$A,0)),0)</f>
        <v>7.4999999999999997E-2</v>
      </c>
      <c r="AH113" s="383">
        <f>AJ113*AG113*_xlfn.XLOOKUP(I113,'S3123 Consortium Share'!$A$3:$A$5,'S3123 Consortium Share'!$F$3:$F$5,,-1)</f>
        <v>143661.74589458437</v>
      </c>
      <c r="AI113" s="14">
        <v>1</v>
      </c>
      <c r="AJ113" s="13">
        <f t="shared" si="114"/>
        <v>4597175.8686266998</v>
      </c>
      <c r="AK113" s="13">
        <f t="shared" si="115"/>
        <v>4597175.8686266998</v>
      </c>
      <c r="AL113" s="13" t="str">
        <f t="shared" si="116"/>
        <v>FUL</v>
      </c>
      <c r="AM113" s="52">
        <f t="shared" si="117"/>
        <v>2025</v>
      </c>
      <c r="AN113" s="4">
        <f>INDEX('[2]Input Data'!$AH:$AH,MATCH(A113,'[2]Input Data'!$A:$A,0),1)-AH113</f>
        <v>0</v>
      </c>
      <c r="AO113" s="13">
        <f t="shared" si="161"/>
        <v>0</v>
      </c>
      <c r="AP113" s="13">
        <f t="shared" si="161"/>
        <v>0</v>
      </c>
      <c r="AQ113" s="13">
        <f t="shared" si="161"/>
        <v>0</v>
      </c>
      <c r="AR113" s="13">
        <f t="shared" si="161"/>
        <v>0</v>
      </c>
      <c r="AS113" s="13">
        <f t="shared" si="161"/>
        <v>0</v>
      </c>
      <c r="AT113" s="13">
        <f t="shared" si="161"/>
        <v>0</v>
      </c>
      <c r="AU113" s="13">
        <f t="shared" si="161"/>
        <v>919435.17372534005</v>
      </c>
      <c r="AV113" s="13">
        <f t="shared" si="146"/>
        <v>0</v>
      </c>
      <c r="AW113" s="13"/>
      <c r="AX113" s="13"/>
      <c r="AY113" s="13">
        <f t="shared" si="147"/>
        <v>919435.17372534005</v>
      </c>
      <c r="AZ113" s="13">
        <f t="shared" si="152"/>
        <v>0</v>
      </c>
      <c r="BA113" s="74"/>
      <c r="BB113" s="25">
        <f t="shared" si="153"/>
        <v>3677740.6949013597</v>
      </c>
      <c r="BC113" s="13">
        <f t="shared" si="154"/>
        <v>0</v>
      </c>
      <c r="BD113" s="13" t="b">
        <f>AND(AF113,NOT(ISNUMBER(MATCH(G113,Table1[Excluded Spacecraft ID],0))))</f>
        <v>1</v>
      </c>
      <c r="BE113" s="13">
        <f>BD113*AK113*_xlfn.XLOOKUP(I113,Table2[Date From],Table2[Cession],"Error",-1)*_xlfn.XLOOKUP(I113,'S3123 Consortium Share'!$A$3:$A$5,'S3123 Consortium Share'!$F$3:$F$5,,-1)</f>
        <v>383097.98905222502</v>
      </c>
      <c r="BF113" s="13">
        <f t="shared" si="155"/>
        <v>3677740.6949013597</v>
      </c>
      <c r="BG113" s="89" cm="1">
        <f t="array" ref="BG113">IF(V113="FIBL",0,INDEX('IGR QS'!$A$1:$D$570,MATCH('Input Data'!V113&amp;'Input Data'!W113&amp;'Input Data'!AM113,'IGR QS'!A:A&amp;'IGR QS'!B:B&amp;'IGR QS'!C:C,0),4))</f>
        <v>0.5</v>
      </c>
      <c r="BH113" s="13">
        <f t="shared" si="156"/>
        <v>1838870.3474506799</v>
      </c>
      <c r="BI113" s="13">
        <f t="shared" si="157"/>
        <v>1838870.3474506799</v>
      </c>
      <c r="BJ113" s="13">
        <f t="shared" si="118"/>
        <v>0</v>
      </c>
      <c r="BK113" s="13">
        <f t="shared" si="158"/>
        <v>1838870.3474506799</v>
      </c>
      <c r="BL113" s="13">
        <f t="shared" si="159"/>
        <v>1838870.3474506799</v>
      </c>
      <c r="BM113" s="21"/>
      <c r="BN113" s="13">
        <f t="shared" si="119"/>
        <v>8286852.3573225886</v>
      </c>
      <c r="BO113" s="13">
        <f t="shared" si="120"/>
        <v>8286852.3573225886</v>
      </c>
      <c r="BP113" s="13">
        <f t="shared" si="121"/>
        <v>0</v>
      </c>
      <c r="BQ113" s="13">
        <f t="shared" si="122"/>
        <v>8286852.3573225886</v>
      </c>
      <c r="BR113" s="13">
        <f t="shared" si="123"/>
        <v>4143426.1786612943</v>
      </c>
      <c r="BT113" s="13">
        <f t="shared" si="124"/>
        <v>3677740.6949013597</v>
      </c>
      <c r="BU113" s="13">
        <f t="shared" si="125"/>
        <v>1838870.3474506799</v>
      </c>
      <c r="BV113" s="13">
        <f t="shared" si="126"/>
        <v>1838870.3474506799</v>
      </c>
      <c r="BW113" s="13">
        <f t="shared" si="127"/>
        <v>919435.17372534005</v>
      </c>
      <c r="BX113" s="13"/>
      <c r="BY113" s="25">
        <f t="shared" si="128"/>
        <v>229858.79343133501</v>
      </c>
      <c r="BZ113" s="25">
        <f t="shared" si="129"/>
        <v>229858.79343133501</v>
      </c>
      <c r="CA113" s="25">
        <f t="shared" si="130"/>
        <v>0</v>
      </c>
      <c r="CB113" s="25">
        <f t="shared" si="131"/>
        <v>0</v>
      </c>
      <c r="CC113" s="25">
        <f t="shared" si="132"/>
        <v>114929.39671566751</v>
      </c>
      <c r="CD113" s="384">
        <f t="shared" si="133"/>
        <v>0</v>
      </c>
      <c r="CR113" s="25">
        <f t="shared" si="134"/>
        <v>919435.17372534005</v>
      </c>
      <c r="CS113" s="25">
        <f t="shared" si="160"/>
        <v>919435.17372534005</v>
      </c>
      <c r="CT113" s="25">
        <f t="shared" si="160"/>
        <v>0</v>
      </c>
      <c r="CU113" s="25">
        <f t="shared" si="135"/>
        <v>0</v>
      </c>
      <c r="CV113" s="25">
        <f t="shared" si="136"/>
        <v>459717.58686267002</v>
      </c>
      <c r="CW113" s="25">
        <f t="shared" si="137"/>
        <v>0</v>
      </c>
      <c r="CY113" s="25">
        <f t="shared" si="138"/>
        <v>229858.79343133501</v>
      </c>
      <c r="CZ113" s="25">
        <f t="shared" si="139"/>
        <v>229858.79343133501</v>
      </c>
      <c r="DA113" s="25">
        <f t="shared" si="150"/>
        <v>0</v>
      </c>
      <c r="DB113" s="25">
        <f t="shared" si="140"/>
        <v>0</v>
      </c>
      <c r="DC113" s="25">
        <f t="shared" si="141"/>
        <v>114929.39671566751</v>
      </c>
      <c r="DD113" s="25">
        <f t="shared" si="142"/>
        <v>0</v>
      </c>
    </row>
    <row r="114" spans="1:108" x14ac:dyDescent="0.35">
      <c r="A114" s="282" t="str">
        <f t="shared" si="143"/>
        <v>361696_494972</v>
      </c>
      <c r="B114" s="303">
        <v>361696</v>
      </c>
      <c r="C114" s="303">
        <v>494972</v>
      </c>
      <c r="D114" s="319" t="str">
        <f>IFERROR(MATCH(C114,'[4]Custom Earning Pattern Not Popu'!$B$5:$B$428,0),"NA")</f>
        <v>NA</v>
      </c>
      <c r="E114" s="303" t="s">
        <v>228</v>
      </c>
      <c r="F114" s="303">
        <v>12</v>
      </c>
      <c r="G114" s="303">
        <v>8880</v>
      </c>
      <c r="H114" s="306">
        <v>41684</v>
      </c>
      <c r="I114" s="306">
        <v>45981</v>
      </c>
      <c r="J114" s="306">
        <v>46345</v>
      </c>
      <c r="K114" s="303" t="s">
        <v>113</v>
      </c>
      <c r="L114" s="306">
        <v>45981</v>
      </c>
      <c r="M114" s="306">
        <v>46345</v>
      </c>
      <c r="N114" s="303" t="s">
        <v>236</v>
      </c>
      <c r="O114" s="303" t="s">
        <v>236</v>
      </c>
      <c r="P114" s="148">
        <f t="shared" si="144"/>
        <v>0.4</v>
      </c>
      <c r="Q114" s="282">
        <v>1</v>
      </c>
      <c r="R114" s="282">
        <v>0</v>
      </c>
      <c r="S114" s="282" t="str">
        <f t="shared" si="148"/>
        <v>In-Orbit</v>
      </c>
      <c r="T114" s="282" t="s">
        <v>13</v>
      </c>
      <c r="U114" s="303" t="s">
        <v>480</v>
      </c>
      <c r="V114" s="303" t="s">
        <v>29</v>
      </c>
      <c r="W114" s="303" t="s">
        <v>78</v>
      </c>
      <c r="X114" s="303" t="s">
        <v>286</v>
      </c>
      <c r="Y114" s="303" t="s">
        <v>324</v>
      </c>
      <c r="Z114" s="303" t="s">
        <v>339</v>
      </c>
      <c r="AA114" s="308">
        <v>1172662.8846435</v>
      </c>
      <c r="AC114" s="289">
        <f t="shared" si="145"/>
        <v>0</v>
      </c>
      <c r="AD114" s="88" cm="1">
        <f t="array" ref="AD114">IF(AC114=0,0,INDEX(Summary!$S$4:$S$7,MATCH(AC114,Summary!$R$4:$R$7)+1))</f>
        <v>0</v>
      </c>
      <c r="AE114" s="88">
        <f>IFERROR(INDEX(Summary!$Y$4:$Y$6,MATCH('Input Data'!K114,Summary!$U$4:$U$6,0)),0)</f>
        <v>0.05</v>
      </c>
      <c r="AF114" s="88" t="b">
        <f t="shared" si="113"/>
        <v>1</v>
      </c>
      <c r="AG114" s="89">
        <f>IF(AF114,INDEX('IG Equity Share'!$B:$B,MATCH(YEAR(I114),'IG Equity Share'!$A:$A,0)),0)</f>
        <v>7.4999999999999997E-2</v>
      </c>
      <c r="AH114" s="383">
        <f>AJ114*AG114*_xlfn.XLOOKUP(I114,'S3123 Consortium Share'!$A$3:$A$5,'S3123 Consortium Share'!$F$3:$F$5,,-1)</f>
        <v>36645.715145109374</v>
      </c>
      <c r="AI114" s="14">
        <v>1</v>
      </c>
      <c r="AJ114" s="13">
        <f t="shared" si="114"/>
        <v>1172662.8846435</v>
      </c>
      <c r="AK114" s="13">
        <f t="shared" si="115"/>
        <v>1172662.8846435</v>
      </c>
      <c r="AL114" s="13" t="str">
        <f t="shared" si="116"/>
        <v>FUL</v>
      </c>
      <c r="AM114" s="52">
        <f t="shared" si="117"/>
        <v>2025</v>
      </c>
      <c r="AN114" s="4">
        <f>INDEX('[2]Input Data'!$AH:$AH,MATCH(A114,'[2]Input Data'!$A:$A,0),1)-AH114</f>
        <v>0</v>
      </c>
      <c r="AO114" s="13">
        <f t="shared" si="161"/>
        <v>0</v>
      </c>
      <c r="AP114" s="13">
        <f t="shared" si="161"/>
        <v>0</v>
      </c>
      <c r="AQ114" s="13">
        <f t="shared" si="161"/>
        <v>0</v>
      </c>
      <c r="AR114" s="13">
        <f t="shared" si="161"/>
        <v>0</v>
      </c>
      <c r="AS114" s="13">
        <f t="shared" si="161"/>
        <v>0</v>
      </c>
      <c r="AT114" s="13">
        <f t="shared" si="161"/>
        <v>0</v>
      </c>
      <c r="AU114" s="13">
        <f t="shared" si="161"/>
        <v>234532.5769287</v>
      </c>
      <c r="AV114" s="13">
        <f t="shared" si="146"/>
        <v>0</v>
      </c>
      <c r="AW114" s="13"/>
      <c r="AX114" s="13"/>
      <c r="AY114" s="13">
        <f t="shared" si="147"/>
        <v>234532.5769287</v>
      </c>
      <c r="AZ114" s="13">
        <f t="shared" si="152"/>
        <v>0</v>
      </c>
      <c r="BA114" s="74"/>
      <c r="BB114" s="25">
        <f t="shared" si="153"/>
        <v>938130.3077148</v>
      </c>
      <c r="BC114" s="13">
        <f t="shared" si="154"/>
        <v>0</v>
      </c>
      <c r="BD114" s="13" t="b">
        <f>AND(AF114,NOT(ISNUMBER(MATCH(G114,Table1[Excluded Spacecraft ID],0))))</f>
        <v>1</v>
      </c>
      <c r="BE114" s="13">
        <f>BD114*AK114*_xlfn.XLOOKUP(I114,Table2[Date From],Table2[Cession],"Error",-1)*_xlfn.XLOOKUP(I114,'S3123 Consortium Share'!$A$3:$A$5,'S3123 Consortium Share'!$F$3:$F$5,,-1)</f>
        <v>97721.907053625007</v>
      </c>
      <c r="BF114" s="13">
        <f t="shared" si="155"/>
        <v>938130.3077148</v>
      </c>
      <c r="BG114" s="89" cm="1">
        <f t="array" ref="BG114">IF(V114="FIBL",0,INDEX('IGR QS'!$A$1:$D$570,MATCH('Input Data'!V114&amp;'Input Data'!W114&amp;'Input Data'!AM114,'IGR QS'!A:A&amp;'IGR QS'!B:B&amp;'IGR QS'!C:C,0),4))</f>
        <v>0.5</v>
      </c>
      <c r="BH114" s="13">
        <f t="shared" si="156"/>
        <v>469065.1538574</v>
      </c>
      <c r="BI114" s="13">
        <f t="shared" si="157"/>
        <v>469065.1538574</v>
      </c>
      <c r="BJ114" s="13">
        <f t="shared" si="118"/>
        <v>0</v>
      </c>
      <c r="BK114" s="13">
        <f t="shared" si="158"/>
        <v>469065.1538574</v>
      </c>
      <c r="BL114" s="13">
        <f t="shared" si="159"/>
        <v>469065.1538574</v>
      </c>
      <c r="BM114" s="21"/>
      <c r="BN114" s="13">
        <f t="shared" si="119"/>
        <v>8286852.3573225886</v>
      </c>
      <c r="BO114" s="13">
        <f t="shared" si="120"/>
        <v>8286852.3573225886</v>
      </c>
      <c r="BP114" s="13">
        <f t="shared" si="121"/>
        <v>0</v>
      </c>
      <c r="BQ114" s="13">
        <f t="shared" si="122"/>
        <v>8286852.3573225886</v>
      </c>
      <c r="BR114" s="13">
        <f t="shared" si="123"/>
        <v>4143426.1786612943</v>
      </c>
      <c r="BT114" s="13">
        <f t="shared" si="124"/>
        <v>938130.3077148</v>
      </c>
      <c r="BU114" s="13">
        <f t="shared" si="125"/>
        <v>469065.1538574</v>
      </c>
      <c r="BV114" s="13">
        <f t="shared" si="126"/>
        <v>469065.1538574</v>
      </c>
      <c r="BW114" s="13">
        <f t="shared" si="127"/>
        <v>234532.5769287</v>
      </c>
      <c r="BX114" s="13"/>
      <c r="BY114" s="25">
        <f t="shared" si="128"/>
        <v>58633.144232175</v>
      </c>
      <c r="BZ114" s="25">
        <f t="shared" si="129"/>
        <v>58633.144232175</v>
      </c>
      <c r="CA114" s="25">
        <f t="shared" si="130"/>
        <v>0</v>
      </c>
      <c r="CB114" s="25">
        <f t="shared" si="131"/>
        <v>0</v>
      </c>
      <c r="CC114" s="25">
        <f t="shared" si="132"/>
        <v>29316.5721160875</v>
      </c>
      <c r="CD114" s="384">
        <f t="shared" si="133"/>
        <v>0</v>
      </c>
      <c r="CR114" s="25">
        <f t="shared" si="134"/>
        <v>234532.5769287</v>
      </c>
      <c r="CS114" s="25">
        <f t="shared" si="160"/>
        <v>234532.5769287</v>
      </c>
      <c r="CT114" s="25">
        <f t="shared" si="160"/>
        <v>0</v>
      </c>
      <c r="CU114" s="25">
        <f t="shared" si="135"/>
        <v>0</v>
      </c>
      <c r="CV114" s="25">
        <f t="shared" si="136"/>
        <v>117266.28846435</v>
      </c>
      <c r="CW114" s="25">
        <f t="shared" si="137"/>
        <v>0</v>
      </c>
      <c r="CY114" s="25">
        <f t="shared" si="138"/>
        <v>58633.144232175</v>
      </c>
      <c r="CZ114" s="25">
        <f t="shared" si="139"/>
        <v>58633.144232175</v>
      </c>
      <c r="DA114" s="25">
        <f t="shared" si="150"/>
        <v>0</v>
      </c>
      <c r="DB114" s="25">
        <f t="shared" si="140"/>
        <v>0</v>
      </c>
      <c r="DC114" s="25">
        <f t="shared" si="141"/>
        <v>29316.5721160875</v>
      </c>
      <c r="DD114" s="25">
        <f t="shared" si="142"/>
        <v>0</v>
      </c>
    </row>
    <row r="115" spans="1:108" x14ac:dyDescent="0.35">
      <c r="A115" s="282" t="str">
        <f t="shared" si="143"/>
        <v>361696_494973</v>
      </c>
      <c r="B115" s="303">
        <v>361696</v>
      </c>
      <c r="C115" s="303">
        <v>494973</v>
      </c>
      <c r="D115" s="319" t="str">
        <f>IFERROR(MATCH(C115,'[4]Custom Earning Pattern Not Popu'!$B$5:$B$428,0),"NA")</f>
        <v>NA</v>
      </c>
      <c r="E115" s="303" t="s">
        <v>228</v>
      </c>
      <c r="F115" s="303">
        <v>12</v>
      </c>
      <c r="G115" s="303">
        <v>12133</v>
      </c>
      <c r="H115" s="306">
        <v>44549</v>
      </c>
      <c r="I115" s="306">
        <v>45981</v>
      </c>
      <c r="J115" s="306">
        <v>46345</v>
      </c>
      <c r="K115" s="303" t="s">
        <v>113</v>
      </c>
      <c r="L115" s="306">
        <v>45981</v>
      </c>
      <c r="M115" s="306">
        <v>46345</v>
      </c>
      <c r="N115" s="303" t="s">
        <v>230</v>
      </c>
      <c r="O115" s="303" t="s">
        <v>241</v>
      </c>
      <c r="P115" s="148">
        <f t="shared" si="144"/>
        <v>0.4</v>
      </c>
      <c r="Q115" s="282">
        <v>1</v>
      </c>
      <c r="R115" s="282">
        <v>0</v>
      </c>
      <c r="S115" s="282" t="str">
        <f t="shared" si="148"/>
        <v>In-Orbit</v>
      </c>
      <c r="T115" s="282" t="s">
        <v>13</v>
      </c>
      <c r="U115" s="303" t="s">
        <v>480</v>
      </c>
      <c r="V115" s="303" t="s">
        <v>29</v>
      </c>
      <c r="W115" s="303" t="s">
        <v>78</v>
      </c>
      <c r="X115" s="303" t="s">
        <v>287</v>
      </c>
      <c r="Y115" s="303" t="s">
        <v>315</v>
      </c>
      <c r="Z115" s="303" t="s">
        <v>338</v>
      </c>
      <c r="AA115" s="308">
        <v>3175620.6132639898</v>
      </c>
      <c r="AC115" s="289">
        <f t="shared" si="145"/>
        <v>0</v>
      </c>
      <c r="AD115" s="88" cm="1">
        <f t="array" ref="AD115">IF(AC115=0,0,INDEX(Summary!$S$4:$S$7,MATCH(AC115,Summary!$R$4:$R$7)+1))</f>
        <v>0</v>
      </c>
      <c r="AE115" s="88">
        <f>IFERROR(INDEX(Summary!$Y$4:$Y$6,MATCH('Input Data'!K115,Summary!$U$4:$U$6,0)),0)</f>
        <v>0.05</v>
      </c>
      <c r="AF115" s="88" t="b">
        <f t="shared" ref="AF115:AF146" si="162">IF(I115&gt;=DATE(2024,7,1),TRUE,FALSE)</f>
        <v>1</v>
      </c>
      <c r="AG115" s="89">
        <f>IF(AF115,INDEX('IG Equity Share'!$B:$B,MATCH(YEAR(I115),'IG Equity Share'!$A:$A,0)),0)</f>
        <v>7.4999999999999997E-2</v>
      </c>
      <c r="AH115" s="383">
        <f>AJ115*AG115*_xlfn.XLOOKUP(I115,'S3123 Consortium Share'!$A$3:$A$5,'S3123 Consortium Share'!$F$3:$F$5,,-1)</f>
        <v>99238.144164499681</v>
      </c>
      <c r="AI115" s="14">
        <v>1</v>
      </c>
      <c r="AJ115" s="13">
        <f t="shared" si="114"/>
        <v>3175620.6132639898</v>
      </c>
      <c r="AK115" s="13">
        <f t="shared" si="115"/>
        <v>3175620.6132639898</v>
      </c>
      <c r="AL115" s="13" t="str">
        <f t="shared" si="116"/>
        <v>FUL</v>
      </c>
      <c r="AM115" s="52">
        <f t="shared" si="117"/>
        <v>2025</v>
      </c>
      <c r="AN115" s="4">
        <f>INDEX('[2]Input Data'!$AH:$AH,MATCH(A115,'[2]Input Data'!$A:$A,0),1)-AH115</f>
        <v>0</v>
      </c>
      <c r="AO115" s="13">
        <f t="shared" si="161"/>
        <v>0</v>
      </c>
      <c r="AP115" s="13">
        <f t="shared" si="161"/>
        <v>0</v>
      </c>
      <c r="AQ115" s="13">
        <f t="shared" si="161"/>
        <v>0</v>
      </c>
      <c r="AR115" s="13">
        <f t="shared" si="161"/>
        <v>0</v>
      </c>
      <c r="AS115" s="13">
        <f t="shared" si="161"/>
        <v>0</v>
      </c>
      <c r="AT115" s="13">
        <f t="shared" si="161"/>
        <v>0</v>
      </c>
      <c r="AU115" s="13">
        <f t="shared" si="161"/>
        <v>635124.12265279796</v>
      </c>
      <c r="AV115" s="13">
        <f t="shared" si="146"/>
        <v>0</v>
      </c>
      <c r="AW115" s="13"/>
      <c r="AX115" s="13"/>
      <c r="AY115" s="13">
        <f t="shared" si="147"/>
        <v>635124.12265279796</v>
      </c>
      <c r="AZ115" s="13">
        <f t="shared" si="152"/>
        <v>0</v>
      </c>
      <c r="BA115" s="74"/>
      <c r="BB115" s="25">
        <f t="shared" si="153"/>
        <v>2540496.4906111918</v>
      </c>
      <c r="BC115" s="13">
        <f t="shared" si="154"/>
        <v>0</v>
      </c>
      <c r="BD115" s="13" t="b">
        <f>AND(AF115,NOT(ISNUMBER(MATCH(G115,Table1[Excluded Spacecraft ID],0))))</f>
        <v>1</v>
      </c>
      <c r="BE115" s="13">
        <f>BD115*AK115*_xlfn.XLOOKUP(I115,Table2[Date From],Table2[Cession],"Error",-1)*_xlfn.XLOOKUP(I115,'S3123 Consortium Share'!$A$3:$A$5,'S3123 Consortium Share'!$F$3:$F$5,,-1)</f>
        <v>264635.0511053325</v>
      </c>
      <c r="BF115" s="13">
        <f t="shared" si="155"/>
        <v>2540496.4906111918</v>
      </c>
      <c r="BG115" s="89" cm="1">
        <f t="array" ref="BG115">IF(V115="FIBL",0,INDEX('IGR QS'!$A$1:$D$570,MATCH('Input Data'!V115&amp;'Input Data'!W115&amp;'Input Data'!AM115,'IGR QS'!A:A&amp;'IGR QS'!B:B&amp;'IGR QS'!C:C,0),4))</f>
        <v>0.5</v>
      </c>
      <c r="BH115" s="13">
        <f t="shared" si="156"/>
        <v>1270248.2453055959</v>
      </c>
      <c r="BI115" s="13">
        <f t="shared" si="157"/>
        <v>1270248.2453055959</v>
      </c>
      <c r="BJ115" s="13">
        <f t="shared" si="118"/>
        <v>0</v>
      </c>
      <c r="BK115" s="13">
        <f t="shared" si="158"/>
        <v>1270248.2453055959</v>
      </c>
      <c r="BL115" s="13">
        <f t="shared" si="159"/>
        <v>1270248.2453055959</v>
      </c>
      <c r="BM115" s="21"/>
      <c r="BN115" s="13">
        <f t="shared" si="119"/>
        <v>66471396.42403952</v>
      </c>
      <c r="BO115" s="13">
        <f t="shared" si="120"/>
        <v>49043091.716622137</v>
      </c>
      <c r="BP115" s="13">
        <f t="shared" si="121"/>
        <v>17428304.707417384</v>
      </c>
      <c r="BQ115" s="13">
        <f t="shared" si="122"/>
        <v>147803485.05865392</v>
      </c>
      <c r="BR115" s="13">
        <f t="shared" si="123"/>
        <v>53568720.370673373</v>
      </c>
      <c r="BT115" s="13">
        <f t="shared" si="124"/>
        <v>2540496.4906111918</v>
      </c>
      <c r="BU115" s="13">
        <f t="shared" si="125"/>
        <v>1270248.2453055959</v>
      </c>
      <c r="BV115" s="13">
        <f t="shared" si="126"/>
        <v>1270248.2453055959</v>
      </c>
      <c r="BW115" s="13">
        <f t="shared" si="127"/>
        <v>635124.12265279796</v>
      </c>
      <c r="BX115" s="13"/>
      <c r="BY115" s="25">
        <f t="shared" si="128"/>
        <v>158781.03066319949</v>
      </c>
      <c r="BZ115" s="25">
        <f t="shared" si="129"/>
        <v>158781.03066319949</v>
      </c>
      <c r="CA115" s="25">
        <f t="shared" si="130"/>
        <v>0</v>
      </c>
      <c r="CB115" s="25">
        <f t="shared" si="131"/>
        <v>0</v>
      </c>
      <c r="CC115" s="25">
        <f t="shared" si="132"/>
        <v>79390.515331599745</v>
      </c>
      <c r="CD115" s="384">
        <f t="shared" si="133"/>
        <v>0</v>
      </c>
      <c r="CR115" s="25">
        <f t="shared" si="134"/>
        <v>635124.12265279796</v>
      </c>
      <c r="CS115" s="25">
        <f t="shared" si="160"/>
        <v>635124.12265279796</v>
      </c>
      <c r="CT115" s="25">
        <f t="shared" si="160"/>
        <v>0</v>
      </c>
      <c r="CU115" s="25">
        <f t="shared" si="135"/>
        <v>0</v>
      </c>
      <c r="CV115" s="25">
        <f t="shared" si="136"/>
        <v>317562.06132639898</v>
      </c>
      <c r="CW115" s="25">
        <f t="shared" si="137"/>
        <v>0</v>
      </c>
      <c r="CY115" s="25">
        <f t="shared" si="138"/>
        <v>158781.03066319949</v>
      </c>
      <c r="CZ115" s="25">
        <f t="shared" si="139"/>
        <v>158781.03066319949</v>
      </c>
      <c r="DA115" s="25">
        <f t="shared" si="150"/>
        <v>0</v>
      </c>
      <c r="DB115" s="25">
        <f t="shared" si="140"/>
        <v>0</v>
      </c>
      <c r="DC115" s="25">
        <f t="shared" si="141"/>
        <v>79390.515331599745</v>
      </c>
      <c r="DD115" s="25">
        <f t="shared" si="142"/>
        <v>0</v>
      </c>
    </row>
    <row r="116" spans="1:108" x14ac:dyDescent="0.35">
      <c r="A116" s="282" t="str">
        <f t="shared" si="143"/>
        <v>361696_494974</v>
      </c>
      <c r="B116" s="303">
        <v>361696</v>
      </c>
      <c r="C116" s="303">
        <v>494974</v>
      </c>
      <c r="D116" s="319" t="str">
        <f>IFERROR(MATCH(C116,'[4]Custom Earning Pattern Not Popu'!$B$5:$B$428,0),"NA")</f>
        <v>NA</v>
      </c>
      <c r="E116" s="303" t="s">
        <v>228</v>
      </c>
      <c r="F116" s="303">
        <v>12</v>
      </c>
      <c r="G116" s="303">
        <v>9285</v>
      </c>
      <c r="H116" s="306">
        <v>44204</v>
      </c>
      <c r="I116" s="306">
        <v>45981</v>
      </c>
      <c r="J116" s="306">
        <v>46345</v>
      </c>
      <c r="K116" s="303" t="s">
        <v>113</v>
      </c>
      <c r="L116" s="306">
        <v>45981</v>
      </c>
      <c r="M116" s="306">
        <v>46345</v>
      </c>
      <c r="N116" s="303" t="s">
        <v>230</v>
      </c>
      <c r="O116" s="303" t="s">
        <v>230</v>
      </c>
      <c r="P116" s="148">
        <f t="shared" si="144"/>
        <v>0.4</v>
      </c>
      <c r="Q116" s="282">
        <v>1</v>
      </c>
      <c r="R116" s="282">
        <v>0</v>
      </c>
      <c r="S116" s="282" t="str">
        <f t="shared" si="148"/>
        <v>In-Orbit</v>
      </c>
      <c r="T116" s="282" t="s">
        <v>13</v>
      </c>
      <c r="U116" s="303" t="s">
        <v>480</v>
      </c>
      <c r="V116" s="303" t="s">
        <v>29</v>
      </c>
      <c r="W116" s="303" t="s">
        <v>78</v>
      </c>
      <c r="X116" s="303" t="s">
        <v>288</v>
      </c>
      <c r="Y116" s="303" t="s">
        <v>315</v>
      </c>
      <c r="Z116" s="303" t="s">
        <v>338</v>
      </c>
      <c r="AA116" s="308">
        <v>3027520.8196963998</v>
      </c>
      <c r="AC116" s="289">
        <f t="shared" si="145"/>
        <v>0</v>
      </c>
      <c r="AD116" s="88" cm="1">
        <f t="array" ref="AD116">IF(AC116=0,0,INDEX(Summary!$S$4:$S$7,MATCH(AC116,Summary!$R$4:$R$7)+1))</f>
        <v>0</v>
      </c>
      <c r="AE116" s="88">
        <f>IFERROR(INDEX(Summary!$Y$4:$Y$6,MATCH('Input Data'!K116,Summary!$U$4:$U$6,0)),0)</f>
        <v>0.05</v>
      </c>
      <c r="AF116" s="88" t="b">
        <f t="shared" si="162"/>
        <v>1</v>
      </c>
      <c r="AG116" s="89">
        <f>IF(AF116,INDEX('IG Equity Share'!$B:$B,MATCH(YEAR(I116),'IG Equity Share'!$A:$A,0)),0)</f>
        <v>7.4999999999999997E-2</v>
      </c>
      <c r="AH116" s="383">
        <f>AJ116*AG116*_xlfn.XLOOKUP(I116,'S3123 Consortium Share'!$A$3:$A$5,'S3123 Consortium Share'!$F$3:$F$5,,-1)</f>
        <v>94610.025615512495</v>
      </c>
      <c r="AI116" s="14">
        <v>1</v>
      </c>
      <c r="AJ116" s="13">
        <f t="shared" ref="AJ116:AJ147" si="163">AA116</f>
        <v>3027520.8196963998</v>
      </c>
      <c r="AK116" s="13">
        <f t="shared" ref="AK116:AK147" si="164">AJ116/AI116*Q116</f>
        <v>3027520.8196963998</v>
      </c>
      <c r="AL116" s="13" t="str">
        <f t="shared" ref="AL116:AL147" si="165">V116</f>
        <v>FUL</v>
      </c>
      <c r="AM116" s="52">
        <f t="shared" ref="AM116:AM147" si="166">YEAR(I116)</f>
        <v>2025</v>
      </c>
      <c r="AN116" s="4">
        <f>INDEX('[2]Input Data'!$AH:$AH,MATCH(A116,'[2]Input Data'!$A:$A,0),1)-AH116</f>
        <v>0</v>
      </c>
      <c r="AO116" s="13">
        <f t="shared" si="161"/>
        <v>0</v>
      </c>
      <c r="AP116" s="13">
        <f t="shared" si="161"/>
        <v>0</v>
      </c>
      <c r="AQ116" s="13">
        <f t="shared" si="161"/>
        <v>0</v>
      </c>
      <c r="AR116" s="13">
        <f t="shared" si="161"/>
        <v>0</v>
      </c>
      <c r="AS116" s="13">
        <f t="shared" si="161"/>
        <v>0</v>
      </c>
      <c r="AT116" s="13">
        <f t="shared" si="161"/>
        <v>0</v>
      </c>
      <c r="AU116" s="13">
        <f t="shared" si="161"/>
        <v>605504.16393927997</v>
      </c>
      <c r="AV116" s="13">
        <f t="shared" si="146"/>
        <v>0</v>
      </c>
      <c r="AW116" s="13"/>
      <c r="AX116" s="13"/>
      <c r="AY116" s="13">
        <f t="shared" si="147"/>
        <v>605504.16393927997</v>
      </c>
      <c r="AZ116" s="13">
        <f t="shared" si="152"/>
        <v>0</v>
      </c>
      <c r="BA116" s="74"/>
      <c r="BB116" s="25">
        <f t="shared" si="153"/>
        <v>2422016.6557571199</v>
      </c>
      <c r="BC116" s="13">
        <f t="shared" si="154"/>
        <v>0</v>
      </c>
      <c r="BD116" s="13" t="b">
        <f>AND(AF116,NOT(ISNUMBER(MATCH(G116,Table1[Excluded Spacecraft ID],0))))</f>
        <v>1</v>
      </c>
      <c r="BE116" s="13">
        <f>BD116*AK116*_xlfn.XLOOKUP(I116,Table2[Date From],Table2[Cession],"Error",-1)*_xlfn.XLOOKUP(I116,'S3123 Consortium Share'!$A$3:$A$5,'S3123 Consortium Share'!$F$3:$F$5,,-1)</f>
        <v>252293.40164136665</v>
      </c>
      <c r="BF116" s="13">
        <f t="shared" si="155"/>
        <v>2422016.6557571199</v>
      </c>
      <c r="BG116" s="89" cm="1">
        <f t="array" ref="BG116">IF(V116="FIBL",0,INDEX('IGR QS'!$A$1:$D$570,MATCH('Input Data'!V116&amp;'Input Data'!W116&amp;'Input Data'!AM116,'IGR QS'!A:A&amp;'IGR QS'!B:B&amp;'IGR QS'!C:C,0),4))</f>
        <v>0.5</v>
      </c>
      <c r="BH116" s="13">
        <f t="shared" si="156"/>
        <v>1211008.3278785599</v>
      </c>
      <c r="BI116" s="13">
        <f t="shared" si="157"/>
        <v>1211008.3278785599</v>
      </c>
      <c r="BJ116" s="13">
        <f t="shared" ref="BJ116:BJ147" si="167">IF(AND(V116=FIID,(BI116&gt;FIID_Deductible)),MIN(BI116-FIID_Deductible,FIID_Limit),IF(AND(V116=FUL,(BI116&gt;FUL_Deductible)),MIN(BI116-FUL_Deductible,FUL_Limit),0))</f>
        <v>0</v>
      </c>
      <c r="BK116" s="13">
        <f t="shared" si="158"/>
        <v>1211008.3278785599</v>
      </c>
      <c r="BL116" s="13">
        <f t="shared" si="159"/>
        <v>1211008.3278785599</v>
      </c>
      <c r="BM116" s="21"/>
      <c r="BN116" s="13">
        <f t="shared" ref="BN116:BN147" si="168">SUMIFS($BL:$BL,$N:$N,$N116,$Q:$Q,1)</f>
        <v>66471396.42403952</v>
      </c>
      <c r="BO116" s="13">
        <f t="shared" ref="BO116:BO147" si="169">SUMIFS($BL:$BL,$N:$N,$N116,$Q:$Q,1,$AL:$AL,$BO$18)</f>
        <v>49043091.716622137</v>
      </c>
      <c r="BP116" s="13">
        <f t="shared" ref="BP116:BP147" si="170">SUMIFS($BL:$BL,$N:$N,$N116,$V:$V,BP$18)</f>
        <v>17428304.707417384</v>
      </c>
      <c r="BQ116" s="13">
        <f t="shared" ref="BQ116:BQ147" si="171">SUMIFS($BK:$BK,$N:$N,$N116)</f>
        <v>147803485.05865392</v>
      </c>
      <c r="BR116" s="13">
        <f t="shared" ref="BR116:BR147" si="172">SUMIFS($AY:$AY,$N:$N,$N116)</f>
        <v>53568720.370673373</v>
      </c>
      <c r="BT116" s="13">
        <f t="shared" ref="BT116:BT147" si="173">SUMIFS($BF:$BF,$C:$C,$C116)</f>
        <v>2422016.6557571199</v>
      </c>
      <c r="BU116" s="13">
        <f t="shared" ref="BU116:BU147" si="174">SUMIFS($BL:$BL,$C:$C,$C116)</f>
        <v>1211008.3278785599</v>
      </c>
      <c r="BV116" s="13">
        <f t="shared" ref="BV116:BV147" si="175">SUMIFS($BK:$BK,$C:$C,$C116)</f>
        <v>1211008.3278785599</v>
      </c>
      <c r="BW116" s="13">
        <f t="shared" ref="BW116:BW147" si="176">SUMIFS($AY:$AY,$C:$C,$C116)</f>
        <v>605504.16393927997</v>
      </c>
      <c r="BX116" s="13"/>
      <c r="BY116" s="25">
        <f t="shared" ref="BY116:BY147" si="177">IF($K116="GEO-GSO",$AK116*Proton_Flare_InsLoss,0)*Q116</f>
        <v>151376.04098481999</v>
      </c>
      <c r="BZ116" s="25">
        <f t="shared" ref="BZ116:BZ147" si="178">IF(AND($K116="GEO-GSO",AL116="FUL"),$AK116*Proton_Flare_InsLoss,0)*$Q116</f>
        <v>151376.04098481999</v>
      </c>
      <c r="CA116" s="25">
        <f t="shared" ref="CA116:CA147" si="179">IF(AND($K116="GEO-GSO",AL116="FIID"),$AK116*Proton_Flare_InsLoss,0)*$Q116</f>
        <v>0</v>
      </c>
      <c r="CB116" s="25">
        <f t="shared" ref="CB116:CB147" si="180">IF(AND($K116="GEO-GSO",AL116="FIBL"),$AK116*Proton_Flare_InsLoss,0)*$Q116</f>
        <v>0</v>
      </c>
      <c r="CC116" s="25">
        <f t="shared" ref="CC116:CC147" si="181">IF($K116="GEO-GSO",(AK116*BG116-BJ116)*Proton_Flare_InsLoss,0)*Q116</f>
        <v>75688.020492409996</v>
      </c>
      <c r="CD116" s="384">
        <f t="shared" ref="CD116:CD147" si="182">IF($K116="GEO-GSO",$AK116*Proton_Flare_InsLoss,0)*$Q116*$R116*0.2</f>
        <v>0</v>
      </c>
      <c r="CR116" s="25">
        <f t="shared" ref="CR116:CR147" si="183">IF(OR($K116="GEO-GSO",$K116="MEO"),$AK116*Generic_Defect_Loss,0)*$Q116*$P116</f>
        <v>605504.16393927997</v>
      </c>
      <c r="CS116" s="25">
        <f t="shared" si="160"/>
        <v>605504.16393927997</v>
      </c>
      <c r="CT116" s="25">
        <f t="shared" si="160"/>
        <v>0</v>
      </c>
      <c r="CU116" s="25">
        <f t="shared" ref="CU116:CU147" si="184">IF(AND(OR($K116="GEO-GSO",$K116="MEO"),$AL116="FIBL"),$AK116*Generic_Defect_Loss,0)*$Q116*$P116</f>
        <v>0</v>
      </c>
      <c r="CV116" s="25">
        <f t="shared" ref="CV116:CV147" si="185">IF(OR($K116="GEO-GSO",$K116="MEO"),($AK116*BG116-BJ116)*Generic_Defect_Loss,0)*$Q116*$P116</f>
        <v>302752.08196963998</v>
      </c>
      <c r="CW116" s="25">
        <f t="shared" ref="CW116:CW147" si="186">IF(OR($K116="GEO-GSO",$K116="MEO"),$AK116*Generic_Defect_Loss,0)*$Q116*$P116*$R116*0.2</f>
        <v>0</v>
      </c>
      <c r="CY116" s="25">
        <f t="shared" ref="CY116:CY147" si="187">IF(OR($K116="GEO-GSO",$K116="MEO"),$AK116*Space_Debris_Loss,0)*$Q116*$AE116</f>
        <v>151376.04098481999</v>
      </c>
      <c r="CZ116" s="25">
        <f t="shared" ref="CZ116:CZ147" si="188">IF(AND(OR($K116="GEO-GSO",$K116="MEO"),$AL116=CZ$19),$AK116*Space_Debris_Loss,0)*$Q116*$AE116</f>
        <v>151376.04098481999</v>
      </c>
      <c r="DA116" s="25">
        <f t="shared" si="150"/>
        <v>0</v>
      </c>
      <c r="DB116" s="25">
        <f t="shared" ref="DB116:DB147" si="189">IF(AND(OR($K116="GEO-GSO",$K116="MEO"),$AL116="FIBL"),$AK116*Space_Debris_Loss,0)*$Q116*$AE116</f>
        <v>0</v>
      </c>
      <c r="DC116" s="25">
        <f t="shared" ref="DC116:DC147" si="190">IF(OR($K116="GEO-GSO",$K116="MEO"),($AK116*BG116-BJ116)*Space_Debris_Loss,0)*$Q116*$AE116</f>
        <v>75688.020492409996</v>
      </c>
      <c r="DD116" s="25">
        <f t="shared" ref="DD116:DD147" si="191">IF(OR($K116="GEO-GSO",$K116="MEO"),$AK116*1,0)*$Q116*$AE116*$R116*0.2</f>
        <v>0</v>
      </c>
    </row>
    <row r="117" spans="1:108" x14ac:dyDescent="0.35">
      <c r="A117" s="282" t="str">
        <f t="shared" si="143"/>
        <v>361696_494975</v>
      </c>
      <c r="B117" s="303">
        <v>361696</v>
      </c>
      <c r="C117" s="303">
        <v>494975</v>
      </c>
      <c r="D117" s="319" t="str">
        <f>IFERROR(MATCH(C117,'[4]Custom Earning Pattern Not Popu'!$B$5:$B$428,0),"NA")</f>
        <v>NA</v>
      </c>
      <c r="E117" s="303" t="s">
        <v>228</v>
      </c>
      <c r="F117" s="303">
        <v>12</v>
      </c>
      <c r="G117" s="303">
        <v>9133</v>
      </c>
      <c r="H117" s="306">
        <v>42293</v>
      </c>
      <c r="I117" s="306">
        <v>45981</v>
      </c>
      <c r="J117" s="306">
        <v>46345</v>
      </c>
      <c r="K117" s="303" t="s">
        <v>113</v>
      </c>
      <c r="L117" s="306">
        <v>45981</v>
      </c>
      <c r="M117" s="306">
        <v>46345</v>
      </c>
      <c r="N117" s="303" t="s">
        <v>236</v>
      </c>
      <c r="O117" s="303" t="s">
        <v>236</v>
      </c>
      <c r="P117" s="148">
        <f t="shared" si="144"/>
        <v>0.4</v>
      </c>
      <c r="Q117" s="282">
        <v>1</v>
      </c>
      <c r="R117" s="282">
        <v>0</v>
      </c>
      <c r="S117" s="282" t="str">
        <f t="shared" si="148"/>
        <v>In-Orbit</v>
      </c>
      <c r="T117" s="282" t="s">
        <v>13</v>
      </c>
      <c r="U117" s="303" t="s">
        <v>480</v>
      </c>
      <c r="V117" s="303" t="s">
        <v>29</v>
      </c>
      <c r="W117" s="303" t="s">
        <v>78</v>
      </c>
      <c r="X117" s="303" t="s">
        <v>289</v>
      </c>
      <c r="Y117" s="303" t="s">
        <v>324</v>
      </c>
      <c r="Z117" s="303" t="s">
        <v>339</v>
      </c>
      <c r="AA117" s="308">
        <v>1532391.9562088901</v>
      </c>
      <c r="AC117" s="289">
        <f t="shared" si="145"/>
        <v>0</v>
      </c>
      <c r="AD117" s="88" cm="1">
        <f t="array" ref="AD117">IF(AC117=0,0,INDEX(Summary!$S$4:$S$7,MATCH(AC117,Summary!$R$4:$R$7)+1))</f>
        <v>0</v>
      </c>
      <c r="AE117" s="88">
        <f>IFERROR(INDEX(Summary!$Y$4:$Y$6,MATCH('Input Data'!K117,Summary!$U$4:$U$6,0)),0)</f>
        <v>0.05</v>
      </c>
      <c r="AF117" s="88" t="b">
        <f t="shared" si="162"/>
        <v>1</v>
      </c>
      <c r="AG117" s="89">
        <f>IF(AF117,INDEX('IG Equity Share'!$B:$B,MATCH(YEAR(I117),'IG Equity Share'!$A:$A,0)),0)</f>
        <v>7.4999999999999997E-2</v>
      </c>
      <c r="AH117" s="383">
        <f>AJ117*AG117*_xlfn.XLOOKUP(I117,'S3123 Consortium Share'!$A$3:$A$5,'S3123 Consortium Share'!$F$3:$F$5,,-1)</f>
        <v>47887.248631527815</v>
      </c>
      <c r="AI117" s="14">
        <v>1</v>
      </c>
      <c r="AJ117" s="13">
        <f t="shared" si="163"/>
        <v>1532391.9562088901</v>
      </c>
      <c r="AK117" s="13">
        <f t="shared" si="164"/>
        <v>1532391.9562088901</v>
      </c>
      <c r="AL117" s="13" t="str">
        <f t="shared" si="165"/>
        <v>FUL</v>
      </c>
      <c r="AM117" s="52">
        <f t="shared" si="166"/>
        <v>2025</v>
      </c>
      <c r="AN117" s="4">
        <f>INDEX('[2]Input Data'!$AH:$AH,MATCH(A117,'[2]Input Data'!$A:$A,0),1)-AH117</f>
        <v>0</v>
      </c>
      <c r="AO117" s="13">
        <f t="shared" si="161"/>
        <v>0</v>
      </c>
      <c r="AP117" s="13">
        <f t="shared" si="161"/>
        <v>0</v>
      </c>
      <c r="AQ117" s="13">
        <f t="shared" si="161"/>
        <v>0</v>
      </c>
      <c r="AR117" s="13">
        <f t="shared" si="161"/>
        <v>0</v>
      </c>
      <c r="AS117" s="13">
        <f t="shared" si="161"/>
        <v>0</v>
      </c>
      <c r="AT117" s="13">
        <f t="shared" si="161"/>
        <v>0</v>
      </c>
      <c r="AU117" s="13">
        <f t="shared" si="161"/>
        <v>306478.39124177804</v>
      </c>
      <c r="AV117" s="13">
        <f t="shared" ref="AV117:AV148" si="192">+IF(AND($I117&lt;=AV$8,$I117&gt;=AV$7),$AK117*AV$11,0)</f>
        <v>0</v>
      </c>
      <c r="AW117" s="13"/>
      <c r="AX117" s="13"/>
      <c r="AY117" s="13">
        <f t="shared" si="147"/>
        <v>306478.39124177804</v>
      </c>
      <c r="AZ117" s="13">
        <f t="shared" si="152"/>
        <v>0</v>
      </c>
      <c r="BA117" s="74"/>
      <c r="BB117" s="25">
        <f t="shared" si="153"/>
        <v>1225913.5649671122</v>
      </c>
      <c r="BC117" s="13">
        <f t="shared" si="154"/>
        <v>0</v>
      </c>
      <c r="BD117" s="13" t="b">
        <f>AND(AF117,NOT(ISNUMBER(MATCH(G117,Table1[Excluded Spacecraft ID],0))))</f>
        <v>1</v>
      </c>
      <c r="BE117" s="13">
        <f>BD117*AK117*_xlfn.XLOOKUP(I117,Table2[Date From],Table2[Cession],"Error",-1)*_xlfn.XLOOKUP(I117,'S3123 Consortium Share'!$A$3:$A$5,'S3123 Consortium Share'!$F$3:$F$5,,-1)</f>
        <v>127699.32968407418</v>
      </c>
      <c r="BF117" s="13">
        <f t="shared" si="155"/>
        <v>1225913.5649671122</v>
      </c>
      <c r="BG117" s="89" cm="1">
        <f t="array" ref="BG117">IF(V117="FIBL",0,INDEX('IGR QS'!$A$1:$D$570,MATCH('Input Data'!V117&amp;'Input Data'!W117&amp;'Input Data'!AM117,'IGR QS'!A:A&amp;'IGR QS'!B:B&amp;'IGR QS'!C:C,0),4))</f>
        <v>0.5</v>
      </c>
      <c r="BH117" s="13">
        <f t="shared" si="156"/>
        <v>612956.78248355608</v>
      </c>
      <c r="BI117" s="13">
        <f t="shared" si="157"/>
        <v>612956.78248355608</v>
      </c>
      <c r="BJ117" s="13">
        <f t="shared" si="167"/>
        <v>0</v>
      </c>
      <c r="BK117" s="13">
        <f t="shared" si="158"/>
        <v>612956.78248355608</v>
      </c>
      <c r="BL117" s="13">
        <f t="shared" si="159"/>
        <v>612956.78248355608</v>
      </c>
      <c r="BM117" s="21"/>
      <c r="BN117" s="13">
        <f t="shared" si="168"/>
        <v>8286852.3573225886</v>
      </c>
      <c r="BO117" s="13">
        <f t="shared" si="169"/>
        <v>8286852.3573225886</v>
      </c>
      <c r="BP117" s="13">
        <f t="shared" si="170"/>
        <v>0</v>
      </c>
      <c r="BQ117" s="13">
        <f t="shared" si="171"/>
        <v>8286852.3573225886</v>
      </c>
      <c r="BR117" s="13">
        <f t="shared" si="172"/>
        <v>4143426.1786612943</v>
      </c>
      <c r="BT117" s="13">
        <f t="shared" si="173"/>
        <v>1225913.5649671122</v>
      </c>
      <c r="BU117" s="13">
        <f t="shared" si="174"/>
        <v>612956.78248355608</v>
      </c>
      <c r="BV117" s="13">
        <f t="shared" si="175"/>
        <v>612956.78248355608</v>
      </c>
      <c r="BW117" s="13">
        <f t="shared" si="176"/>
        <v>306478.39124177804</v>
      </c>
      <c r="BX117" s="13"/>
      <c r="BY117" s="25">
        <f t="shared" si="177"/>
        <v>76619.597810444509</v>
      </c>
      <c r="BZ117" s="25">
        <f t="shared" si="178"/>
        <v>76619.597810444509</v>
      </c>
      <c r="CA117" s="25">
        <f t="shared" si="179"/>
        <v>0</v>
      </c>
      <c r="CB117" s="25">
        <f t="shared" si="180"/>
        <v>0</v>
      </c>
      <c r="CC117" s="25">
        <f t="shared" si="181"/>
        <v>38309.798905222255</v>
      </c>
      <c r="CD117" s="384">
        <f t="shared" si="182"/>
        <v>0</v>
      </c>
      <c r="CR117" s="25">
        <f t="shared" si="183"/>
        <v>306478.39124177804</v>
      </c>
      <c r="CS117" s="25">
        <f t="shared" si="160"/>
        <v>306478.39124177804</v>
      </c>
      <c r="CT117" s="25">
        <f t="shared" si="160"/>
        <v>0</v>
      </c>
      <c r="CU117" s="25">
        <f t="shared" si="184"/>
        <v>0</v>
      </c>
      <c r="CV117" s="25">
        <f t="shared" si="185"/>
        <v>153239.19562088902</v>
      </c>
      <c r="CW117" s="25">
        <f t="shared" si="186"/>
        <v>0</v>
      </c>
      <c r="CY117" s="25">
        <f t="shared" si="187"/>
        <v>76619.597810444509</v>
      </c>
      <c r="CZ117" s="25">
        <f t="shared" si="188"/>
        <v>76619.597810444509</v>
      </c>
      <c r="DA117" s="25">
        <f t="shared" si="150"/>
        <v>0</v>
      </c>
      <c r="DB117" s="25">
        <f t="shared" si="189"/>
        <v>0</v>
      </c>
      <c r="DC117" s="25">
        <f t="shared" si="190"/>
        <v>38309.798905222255</v>
      </c>
      <c r="DD117" s="25">
        <f t="shared" si="191"/>
        <v>0</v>
      </c>
    </row>
    <row r="118" spans="1:108" x14ac:dyDescent="0.35">
      <c r="A118" s="282" t="str">
        <f t="shared" si="143"/>
        <v>361813_495424</v>
      </c>
      <c r="B118" s="303">
        <v>361813</v>
      </c>
      <c r="C118" s="303">
        <v>495424</v>
      </c>
      <c r="D118" s="319" t="str">
        <f>IFERROR(MATCH(C118,'[4]Custom Earning Pattern Not Popu'!$B$5:$B$428,0),"NA")</f>
        <v>NA</v>
      </c>
      <c r="E118" s="303" t="s">
        <v>228</v>
      </c>
      <c r="F118" s="303">
        <v>12</v>
      </c>
      <c r="G118" s="303">
        <v>9694</v>
      </c>
      <c r="H118" s="306">
        <v>44167</v>
      </c>
      <c r="I118" s="306">
        <v>45998</v>
      </c>
      <c r="J118" s="306">
        <v>46362</v>
      </c>
      <c r="K118" s="303" t="s">
        <v>16</v>
      </c>
      <c r="L118" s="306">
        <v>45998</v>
      </c>
      <c r="M118" s="306">
        <v>46362</v>
      </c>
      <c r="N118" s="303" t="s">
        <v>239</v>
      </c>
      <c r="O118" s="303" t="s">
        <v>239</v>
      </c>
      <c r="P118" s="148">
        <f t="shared" si="144"/>
        <v>0.4</v>
      </c>
      <c r="Q118" s="282">
        <v>1</v>
      </c>
      <c r="R118" s="282">
        <v>0</v>
      </c>
      <c r="S118" s="282" t="str">
        <f t="shared" si="148"/>
        <v>In-Orbit</v>
      </c>
      <c r="T118" s="282" t="s">
        <v>13</v>
      </c>
      <c r="U118" s="303" t="s">
        <v>481</v>
      </c>
      <c r="V118" s="303" t="s">
        <v>29</v>
      </c>
      <c r="W118" s="303" t="s">
        <v>78</v>
      </c>
      <c r="X118" s="303" t="s">
        <v>301</v>
      </c>
      <c r="Y118" s="303" t="s">
        <v>332</v>
      </c>
      <c r="Z118" s="303" t="s">
        <v>342</v>
      </c>
      <c r="AA118" s="308">
        <v>7891909.7200426897</v>
      </c>
      <c r="AC118" s="289">
        <f t="shared" si="145"/>
        <v>9</v>
      </c>
      <c r="AD118" s="88" cm="1">
        <f t="array" ref="AD118">IF(AC118=0,0,INDEX(Summary!$S$4:$S$7,MATCH(AC118,Summary!$R$4:$R$7)+1))</f>
        <v>0.6</v>
      </c>
      <c r="AE118" s="88">
        <f>IFERROR(INDEX(Summary!$Y$4:$Y$6,MATCH('Input Data'!K118,Summary!$U$4:$U$6,0)),0)</f>
        <v>0.4</v>
      </c>
      <c r="AF118" s="88" t="b">
        <f t="shared" si="162"/>
        <v>1</v>
      </c>
      <c r="AG118" s="89">
        <f>IF(AF118,INDEX('IG Equity Share'!$B:$B,MATCH(YEAR(I118),'IG Equity Share'!$A:$A,0)),0)</f>
        <v>7.4999999999999997E-2</v>
      </c>
      <c r="AH118" s="383">
        <f>AJ118*AG118*_xlfn.XLOOKUP(I118,'S3123 Consortium Share'!$A$3:$A$5,'S3123 Consortium Share'!$F$3:$F$5,,-1)</f>
        <v>246622.17875133405</v>
      </c>
      <c r="AI118" s="14">
        <v>1</v>
      </c>
      <c r="AJ118" s="13">
        <f t="shared" si="163"/>
        <v>7891909.7200426897</v>
      </c>
      <c r="AK118" s="13">
        <f t="shared" si="164"/>
        <v>7891909.7200426897</v>
      </c>
      <c r="AL118" s="13" t="str">
        <f t="shared" si="165"/>
        <v>FUL</v>
      </c>
      <c r="AM118" s="52">
        <f t="shared" si="166"/>
        <v>2025</v>
      </c>
      <c r="AN118" s="4">
        <f>INDEX('[2]Input Data'!$AH:$AH,MATCH(A118,'[2]Input Data'!$A:$A,0),1)-AH118</f>
        <v>0</v>
      </c>
      <c r="AO118" s="13">
        <f t="shared" si="161"/>
        <v>0</v>
      </c>
      <c r="AP118" s="13">
        <f t="shared" si="161"/>
        <v>0</v>
      </c>
      <c r="AQ118" s="13">
        <f t="shared" si="161"/>
        <v>0</v>
      </c>
      <c r="AR118" s="13">
        <f t="shared" si="161"/>
        <v>0</v>
      </c>
      <c r="AS118" s="13">
        <f t="shared" si="161"/>
        <v>0</v>
      </c>
      <c r="AT118" s="13">
        <f t="shared" si="161"/>
        <v>0</v>
      </c>
      <c r="AU118" s="13">
        <f t="shared" si="161"/>
        <v>1578381.944008538</v>
      </c>
      <c r="AV118" s="13">
        <f t="shared" si="192"/>
        <v>0</v>
      </c>
      <c r="AW118" s="13"/>
      <c r="AX118" s="13"/>
      <c r="AY118" s="13">
        <f t="shared" si="147"/>
        <v>1578381.944008538</v>
      </c>
      <c r="AZ118" s="13">
        <f t="shared" si="152"/>
        <v>0</v>
      </c>
      <c r="BA118" s="74"/>
      <c r="BB118" s="25">
        <f t="shared" si="153"/>
        <v>6313527.7760341521</v>
      </c>
      <c r="BC118" s="13">
        <f t="shared" si="154"/>
        <v>0</v>
      </c>
      <c r="BD118" s="13" t="b">
        <f>AND(AF118,NOT(ISNUMBER(MATCH(G118,Table1[Excluded Spacecraft ID],0))))</f>
        <v>1</v>
      </c>
      <c r="BE118" s="13">
        <f>BD118*AK118*_xlfn.XLOOKUP(I118,Table2[Date From],Table2[Cession],"Error",-1)*_xlfn.XLOOKUP(I118,'S3123 Consortium Share'!$A$3:$A$5,'S3123 Consortium Share'!$F$3:$F$5,,-1)</f>
        <v>657659.14333689085</v>
      </c>
      <c r="BF118" s="13">
        <f t="shared" si="155"/>
        <v>6313527.7760341521</v>
      </c>
      <c r="BG118" s="89" cm="1">
        <f t="array" ref="BG118">IF(V118="FIBL",0,INDEX('IGR QS'!$A$1:$D$570,MATCH('Input Data'!V118&amp;'Input Data'!W118&amp;'Input Data'!AM118,'IGR QS'!A:A&amp;'IGR QS'!B:B&amp;'IGR QS'!C:C,0),4))</f>
        <v>0.5</v>
      </c>
      <c r="BH118" s="13">
        <f t="shared" si="156"/>
        <v>3156763.8880170761</v>
      </c>
      <c r="BI118" s="13">
        <f t="shared" si="157"/>
        <v>3156763.8880170761</v>
      </c>
      <c r="BJ118" s="13">
        <f t="shared" si="167"/>
        <v>0</v>
      </c>
      <c r="BK118" s="13">
        <f t="shared" si="158"/>
        <v>3156763.8880170761</v>
      </c>
      <c r="BL118" s="13">
        <f t="shared" si="159"/>
        <v>3156763.8880170761</v>
      </c>
      <c r="BM118" s="21"/>
      <c r="BN118" s="13">
        <f t="shared" si="168"/>
        <v>3156763.8880170761</v>
      </c>
      <c r="BO118" s="13">
        <f t="shared" si="169"/>
        <v>3156763.8880170761</v>
      </c>
      <c r="BP118" s="13">
        <f t="shared" si="170"/>
        <v>0</v>
      </c>
      <c r="BQ118" s="13">
        <f t="shared" si="171"/>
        <v>3156763.8880170761</v>
      </c>
      <c r="BR118" s="13">
        <f t="shared" si="172"/>
        <v>1578381.944008538</v>
      </c>
      <c r="BT118" s="13">
        <f t="shared" si="173"/>
        <v>6313527.7760341521</v>
      </c>
      <c r="BU118" s="13">
        <f t="shared" si="174"/>
        <v>3156763.8880170761</v>
      </c>
      <c r="BV118" s="13">
        <f t="shared" si="175"/>
        <v>3156763.8880170761</v>
      </c>
      <c r="BW118" s="13">
        <f t="shared" si="176"/>
        <v>1578381.944008538</v>
      </c>
      <c r="BX118" s="13"/>
      <c r="BY118" s="25">
        <f t="shared" si="177"/>
        <v>0</v>
      </c>
      <c r="BZ118" s="25">
        <f t="shared" si="178"/>
        <v>0</v>
      </c>
      <c r="CA118" s="25">
        <f t="shared" si="179"/>
        <v>0</v>
      </c>
      <c r="CB118" s="25">
        <f t="shared" si="180"/>
        <v>0</v>
      </c>
      <c r="CC118" s="25">
        <f t="shared" si="181"/>
        <v>0</v>
      </c>
      <c r="CD118" s="384">
        <f t="shared" si="182"/>
        <v>0</v>
      </c>
      <c r="CR118" s="25">
        <f t="shared" si="183"/>
        <v>0</v>
      </c>
      <c r="CS118" s="25">
        <f t="shared" si="160"/>
        <v>0</v>
      </c>
      <c r="CT118" s="25">
        <f t="shared" si="160"/>
        <v>0</v>
      </c>
      <c r="CU118" s="25">
        <f t="shared" si="184"/>
        <v>0</v>
      </c>
      <c r="CV118" s="25">
        <f t="shared" si="185"/>
        <v>0</v>
      </c>
      <c r="CW118" s="25">
        <f t="shared" si="186"/>
        <v>0</v>
      </c>
      <c r="CY118" s="25">
        <f t="shared" si="187"/>
        <v>0</v>
      </c>
      <c r="CZ118" s="25">
        <f t="shared" si="188"/>
        <v>0</v>
      </c>
      <c r="DA118" s="25">
        <f t="shared" si="150"/>
        <v>0</v>
      </c>
      <c r="DB118" s="25">
        <f t="shared" si="189"/>
        <v>0</v>
      </c>
      <c r="DC118" s="25">
        <f t="shared" si="190"/>
        <v>0</v>
      </c>
      <c r="DD118" s="25">
        <f t="shared" si="191"/>
        <v>0</v>
      </c>
    </row>
    <row r="119" spans="1:108" x14ac:dyDescent="0.35">
      <c r="A119" s="282" t="str">
        <f t="shared" si="143"/>
        <v>361838_495524</v>
      </c>
      <c r="B119" s="303">
        <v>361838</v>
      </c>
      <c r="C119" s="303">
        <v>495524</v>
      </c>
      <c r="D119" s="319" t="str">
        <f>IFERROR(MATCH(C119,'[4]Custom Earning Pattern Not Popu'!$B$5:$B$428,0),"NA")</f>
        <v>NA</v>
      </c>
      <c r="E119" s="303" t="s">
        <v>228</v>
      </c>
      <c r="F119" s="303">
        <v>12</v>
      </c>
      <c r="G119" s="303">
        <v>9609</v>
      </c>
      <c r="H119" s="306">
        <v>42725</v>
      </c>
      <c r="I119" s="306">
        <v>45970</v>
      </c>
      <c r="J119" s="306">
        <v>46334</v>
      </c>
      <c r="K119" s="303" t="s">
        <v>113</v>
      </c>
      <c r="L119" s="306">
        <v>45970</v>
      </c>
      <c r="M119" s="306">
        <v>46334</v>
      </c>
      <c r="N119" s="303" t="s">
        <v>466</v>
      </c>
      <c r="O119" s="303" t="s">
        <v>466</v>
      </c>
      <c r="P119" s="148">
        <f t="shared" si="144"/>
        <v>0.4</v>
      </c>
      <c r="Q119" s="282">
        <v>1</v>
      </c>
      <c r="R119" s="282">
        <v>0</v>
      </c>
      <c r="S119" s="282" t="str">
        <f t="shared" si="148"/>
        <v>In-Orbit</v>
      </c>
      <c r="T119" s="282" t="s">
        <v>13</v>
      </c>
      <c r="U119" s="303" t="s">
        <v>373</v>
      </c>
      <c r="V119" s="303" t="s">
        <v>29</v>
      </c>
      <c r="W119" s="303" t="s">
        <v>78</v>
      </c>
      <c r="X119" s="303" t="s">
        <v>298</v>
      </c>
      <c r="Y119" s="303" t="s">
        <v>325</v>
      </c>
      <c r="Z119" s="303" t="s">
        <v>337</v>
      </c>
      <c r="AA119" s="308">
        <v>2428814.2227560999</v>
      </c>
      <c r="AC119" s="289">
        <f t="shared" si="145"/>
        <v>0</v>
      </c>
      <c r="AD119" s="88" cm="1">
        <f t="array" ref="AD119">IF(AC119=0,0,INDEX(Summary!$S$4:$S$7,MATCH(AC119,Summary!$R$4:$R$7)+1))</f>
        <v>0</v>
      </c>
      <c r="AE119" s="88">
        <f>IFERROR(INDEX(Summary!$Y$4:$Y$6,MATCH('Input Data'!K119,Summary!$U$4:$U$6,0)),0)</f>
        <v>0.05</v>
      </c>
      <c r="AF119" s="88" t="b">
        <f t="shared" si="162"/>
        <v>1</v>
      </c>
      <c r="AG119" s="89">
        <f>IF(AF119,INDEX('IG Equity Share'!$B:$B,MATCH(YEAR(I119),'IG Equity Share'!$A:$A,0)),0)</f>
        <v>7.4999999999999997E-2</v>
      </c>
      <c r="AH119" s="383">
        <f>AJ119*AG119*_xlfn.XLOOKUP(I119,'S3123 Consortium Share'!$A$3:$A$5,'S3123 Consortium Share'!$F$3:$F$5,,-1)</f>
        <v>75900.444461128121</v>
      </c>
      <c r="AI119" s="14">
        <v>1</v>
      </c>
      <c r="AJ119" s="13">
        <f t="shared" si="163"/>
        <v>2428814.2227560999</v>
      </c>
      <c r="AK119" s="13">
        <f t="shared" si="164"/>
        <v>2428814.2227560999</v>
      </c>
      <c r="AL119" s="13" t="str">
        <f t="shared" si="165"/>
        <v>FUL</v>
      </c>
      <c r="AM119" s="52">
        <f t="shared" si="166"/>
        <v>2025</v>
      </c>
      <c r="AN119" s="4"/>
      <c r="AO119" s="13">
        <f t="shared" si="161"/>
        <v>0</v>
      </c>
      <c r="AP119" s="13">
        <f t="shared" si="161"/>
        <v>0</v>
      </c>
      <c r="AQ119" s="13">
        <f t="shared" si="161"/>
        <v>0</v>
      </c>
      <c r="AR119" s="13">
        <f t="shared" si="161"/>
        <v>0</v>
      </c>
      <c r="AS119" s="13">
        <f t="shared" si="161"/>
        <v>0</v>
      </c>
      <c r="AT119" s="13">
        <f t="shared" si="161"/>
        <v>0</v>
      </c>
      <c r="AU119" s="13">
        <f t="shared" si="161"/>
        <v>485762.84455122001</v>
      </c>
      <c r="AV119" s="13">
        <f t="shared" si="192"/>
        <v>0</v>
      </c>
      <c r="AW119" s="13"/>
      <c r="AX119" s="13"/>
      <c r="AY119" s="13">
        <f t="shared" si="147"/>
        <v>485762.84455122001</v>
      </c>
      <c r="AZ119" s="13">
        <f t="shared" si="152"/>
        <v>0</v>
      </c>
      <c r="BA119" s="74"/>
      <c r="BB119" s="25">
        <f t="shared" si="153"/>
        <v>1943051.3782048798</v>
      </c>
      <c r="BC119" s="13">
        <f t="shared" si="154"/>
        <v>0</v>
      </c>
      <c r="BD119" s="13" t="b">
        <f>AND(AF119,NOT(ISNUMBER(MATCH(G119,Table1[Excluded Spacecraft ID],0))))</f>
        <v>1</v>
      </c>
      <c r="BE119" s="13">
        <f>BD119*AK119*_xlfn.XLOOKUP(I119,Table2[Date From],Table2[Cession],"Error",-1)*_xlfn.XLOOKUP(I119,'S3123 Consortium Share'!$A$3:$A$5,'S3123 Consortium Share'!$F$3:$F$5,,-1)</f>
        <v>202401.185229675</v>
      </c>
      <c r="BF119" s="13">
        <f t="shared" si="155"/>
        <v>1943051.3782048798</v>
      </c>
      <c r="BG119" s="89" cm="1">
        <f t="array" ref="BG119">IF(V119="FIBL",0,INDEX('IGR QS'!$A$1:$D$570,MATCH('Input Data'!V119&amp;'Input Data'!W119&amp;'Input Data'!AM119,'IGR QS'!A:A&amp;'IGR QS'!B:B&amp;'IGR QS'!C:C,0),4))</f>
        <v>0.5</v>
      </c>
      <c r="BH119" s="13">
        <f t="shared" si="156"/>
        <v>971525.68910243991</v>
      </c>
      <c r="BI119" s="13">
        <f t="shared" si="157"/>
        <v>971525.68910243991</v>
      </c>
      <c r="BJ119" s="13">
        <f t="shared" si="167"/>
        <v>0</v>
      </c>
      <c r="BK119" s="13">
        <f t="shared" si="158"/>
        <v>971525.68910243991</v>
      </c>
      <c r="BL119" s="13">
        <f t="shared" si="159"/>
        <v>971525.68910243991</v>
      </c>
      <c r="BM119" s="21"/>
      <c r="BN119" s="13">
        <f t="shared" si="168"/>
        <v>42320200.903406374</v>
      </c>
      <c r="BO119" s="13">
        <f t="shared" si="169"/>
        <v>39234742.262773834</v>
      </c>
      <c r="BP119" s="13">
        <f t="shared" si="170"/>
        <v>3085458.6406325367</v>
      </c>
      <c r="BQ119" s="13">
        <f t="shared" si="171"/>
        <v>50319014.293024875</v>
      </c>
      <c r="BR119" s="13">
        <f t="shared" si="172"/>
        <v>23159803.799107812</v>
      </c>
      <c r="BT119" s="13">
        <f t="shared" si="173"/>
        <v>1943051.3782048798</v>
      </c>
      <c r="BU119" s="13">
        <f t="shared" si="174"/>
        <v>971525.68910243991</v>
      </c>
      <c r="BV119" s="13">
        <f t="shared" si="175"/>
        <v>971525.68910243991</v>
      </c>
      <c r="BW119" s="13">
        <f t="shared" si="176"/>
        <v>485762.84455122001</v>
      </c>
      <c r="BX119" s="13"/>
      <c r="BY119" s="25">
        <f t="shared" si="177"/>
        <v>121440.711137805</v>
      </c>
      <c r="BZ119" s="25">
        <f t="shared" si="178"/>
        <v>121440.711137805</v>
      </c>
      <c r="CA119" s="25">
        <f t="shared" si="179"/>
        <v>0</v>
      </c>
      <c r="CB119" s="25">
        <f t="shared" si="180"/>
        <v>0</v>
      </c>
      <c r="CC119" s="25">
        <f t="shared" si="181"/>
        <v>60720.355568902502</v>
      </c>
      <c r="CD119" s="384">
        <f t="shared" si="182"/>
        <v>0</v>
      </c>
      <c r="CR119" s="25">
        <f t="shared" si="183"/>
        <v>485762.84455122001</v>
      </c>
      <c r="CS119" s="25">
        <f t="shared" si="160"/>
        <v>485762.84455122001</v>
      </c>
      <c r="CT119" s="25">
        <f t="shared" si="160"/>
        <v>0</v>
      </c>
      <c r="CU119" s="25">
        <f t="shared" si="184"/>
        <v>0</v>
      </c>
      <c r="CV119" s="25">
        <f t="shared" si="185"/>
        <v>242881.42227561001</v>
      </c>
      <c r="CW119" s="25">
        <f t="shared" si="186"/>
        <v>0</v>
      </c>
      <c r="CY119" s="25">
        <f t="shared" si="187"/>
        <v>121440.711137805</v>
      </c>
      <c r="CZ119" s="25">
        <f t="shared" si="188"/>
        <v>121440.711137805</v>
      </c>
      <c r="DA119" s="25">
        <f t="shared" si="150"/>
        <v>0</v>
      </c>
      <c r="DB119" s="25">
        <f t="shared" si="189"/>
        <v>0</v>
      </c>
      <c r="DC119" s="25">
        <f t="shared" si="190"/>
        <v>60720.355568902502</v>
      </c>
      <c r="DD119" s="25">
        <f t="shared" si="191"/>
        <v>0</v>
      </c>
    </row>
    <row r="120" spans="1:108" x14ac:dyDescent="0.35">
      <c r="A120" s="282" t="str">
        <f t="shared" si="143"/>
        <v>361838_495525</v>
      </c>
      <c r="B120" s="303">
        <v>361838</v>
      </c>
      <c r="C120" s="303">
        <v>495525</v>
      </c>
      <c r="D120" s="319" t="str">
        <f>IFERROR(MATCH(C120,'[4]Custom Earning Pattern Not Popu'!$B$5:$B$428,0),"NA")</f>
        <v>NA</v>
      </c>
      <c r="E120" s="303" t="s">
        <v>228</v>
      </c>
      <c r="F120" s="303">
        <v>12</v>
      </c>
      <c r="G120" s="303">
        <v>12148</v>
      </c>
      <c r="H120" s="306">
        <v>44407</v>
      </c>
      <c r="I120" s="306">
        <v>45970</v>
      </c>
      <c r="J120" s="306">
        <v>46334</v>
      </c>
      <c r="K120" s="303" t="s">
        <v>113</v>
      </c>
      <c r="L120" s="306">
        <v>45970</v>
      </c>
      <c r="M120" s="306">
        <v>46334</v>
      </c>
      <c r="N120" s="303" t="s">
        <v>466</v>
      </c>
      <c r="O120" s="303" t="s">
        <v>466</v>
      </c>
      <c r="P120" s="148">
        <f t="shared" si="144"/>
        <v>0.4</v>
      </c>
      <c r="Q120" s="282">
        <v>1</v>
      </c>
      <c r="R120" s="282">
        <v>0</v>
      </c>
      <c r="S120" s="282" t="str">
        <f t="shared" si="148"/>
        <v>In-Orbit</v>
      </c>
      <c r="T120" s="282" t="s">
        <v>13</v>
      </c>
      <c r="U120" s="303" t="s">
        <v>373</v>
      </c>
      <c r="V120" s="303" t="s">
        <v>29</v>
      </c>
      <c r="W120" s="303" t="s">
        <v>78</v>
      </c>
      <c r="X120" s="303" t="s">
        <v>297</v>
      </c>
      <c r="Y120" s="303" t="s">
        <v>325</v>
      </c>
      <c r="Z120" s="303" t="s">
        <v>337</v>
      </c>
      <c r="AA120" s="308">
        <v>16277709.869777599</v>
      </c>
      <c r="AC120" s="289">
        <f t="shared" si="145"/>
        <v>0</v>
      </c>
      <c r="AD120" s="88" cm="1">
        <f t="array" ref="AD120">IF(AC120=0,0,INDEX(Summary!$S$4:$S$7,MATCH(AC120,Summary!$R$4:$R$7)+1))</f>
        <v>0</v>
      </c>
      <c r="AE120" s="88">
        <f>IFERROR(INDEX(Summary!$Y$4:$Y$6,MATCH('Input Data'!K120,Summary!$U$4:$U$6,0)),0)</f>
        <v>0.05</v>
      </c>
      <c r="AF120" s="88" t="b">
        <f t="shared" si="162"/>
        <v>1</v>
      </c>
      <c r="AG120" s="89">
        <f>IF(AF120,INDEX('IG Equity Share'!$B:$B,MATCH(YEAR(I120),'IG Equity Share'!$A:$A,0)),0)</f>
        <v>7.4999999999999997E-2</v>
      </c>
      <c r="AH120" s="383">
        <f>AJ120*AG120*_xlfn.XLOOKUP(I120,'S3123 Consortium Share'!$A$3:$A$5,'S3123 Consortium Share'!$F$3:$F$5,,-1)</f>
        <v>508678.43343054992</v>
      </c>
      <c r="AI120" s="14">
        <v>1</v>
      </c>
      <c r="AJ120" s="13">
        <f t="shared" si="163"/>
        <v>16277709.869777599</v>
      </c>
      <c r="AK120" s="13">
        <f t="shared" si="164"/>
        <v>16277709.869777599</v>
      </c>
      <c r="AL120" s="13" t="str">
        <f t="shared" si="165"/>
        <v>FUL</v>
      </c>
      <c r="AM120" s="52">
        <f t="shared" si="166"/>
        <v>2025</v>
      </c>
      <c r="AN120" s="4">
        <f>INDEX('[2]Input Data'!$AH:$AH,MATCH(A120,'[2]Input Data'!$A:$A,0),1)-AH120</f>
        <v>0</v>
      </c>
      <c r="AO120" s="13">
        <f t="shared" ref="AO120:AU129" si="193">+IF(AND($I120&lt;=AO$8,$I120&gt;=AO$7),$AK120*AO$11,0)</f>
        <v>0</v>
      </c>
      <c r="AP120" s="13">
        <f t="shared" si="193"/>
        <v>0</v>
      </c>
      <c r="AQ120" s="13">
        <f t="shared" si="193"/>
        <v>0</v>
      </c>
      <c r="AR120" s="13">
        <f t="shared" si="193"/>
        <v>0</v>
      </c>
      <c r="AS120" s="13">
        <f t="shared" si="193"/>
        <v>0</v>
      </c>
      <c r="AT120" s="13">
        <f t="shared" si="193"/>
        <v>0</v>
      </c>
      <c r="AU120" s="13">
        <f t="shared" si="193"/>
        <v>3255541.97395552</v>
      </c>
      <c r="AV120" s="13">
        <f t="shared" si="192"/>
        <v>0</v>
      </c>
      <c r="AW120" s="13"/>
      <c r="AX120" s="13"/>
      <c r="AY120" s="13">
        <f t="shared" si="147"/>
        <v>3255541.97395552</v>
      </c>
      <c r="AZ120" s="13">
        <f t="shared" si="152"/>
        <v>0</v>
      </c>
      <c r="BA120" s="74"/>
      <c r="BB120" s="25">
        <f t="shared" si="153"/>
        <v>13022167.89582208</v>
      </c>
      <c r="BC120" s="13">
        <f t="shared" si="154"/>
        <v>0</v>
      </c>
      <c r="BD120" s="13" t="b">
        <f>AND(AF120,NOT(ISNUMBER(MATCH(G120,Table1[Excluded Spacecraft ID],0))))</f>
        <v>1</v>
      </c>
      <c r="BE120" s="13">
        <f>BD120*AK120*_xlfn.XLOOKUP(I120,Table2[Date From],Table2[Cession],"Error",-1)*_xlfn.XLOOKUP(I120,'S3123 Consortium Share'!$A$3:$A$5,'S3123 Consortium Share'!$F$3:$F$5,,-1)</f>
        <v>1356475.8224814667</v>
      </c>
      <c r="BF120" s="13">
        <f t="shared" si="155"/>
        <v>13022167.89582208</v>
      </c>
      <c r="BG120" s="89" cm="1">
        <f t="array" ref="BG120">IF(V120="FIBL",0,INDEX('IGR QS'!$A$1:$D$570,MATCH('Input Data'!V120&amp;'Input Data'!W120&amp;'Input Data'!AM120,'IGR QS'!A:A&amp;'IGR QS'!B:B&amp;'IGR QS'!C:C,0),4))</f>
        <v>0.5</v>
      </c>
      <c r="BH120" s="13">
        <f t="shared" si="156"/>
        <v>6511083.9479110399</v>
      </c>
      <c r="BI120" s="13">
        <f t="shared" si="157"/>
        <v>6511083.9479110399</v>
      </c>
      <c r="BJ120" s="13">
        <f t="shared" si="167"/>
        <v>0</v>
      </c>
      <c r="BK120" s="13">
        <f t="shared" si="158"/>
        <v>6511083.9479110399</v>
      </c>
      <c r="BL120" s="13">
        <f t="shared" si="159"/>
        <v>6511083.9479110399</v>
      </c>
      <c r="BM120" s="21"/>
      <c r="BN120" s="13">
        <f t="shared" si="168"/>
        <v>42320200.903406374</v>
      </c>
      <c r="BO120" s="13">
        <f t="shared" si="169"/>
        <v>39234742.262773834</v>
      </c>
      <c r="BP120" s="13">
        <f t="shared" si="170"/>
        <v>3085458.6406325367</v>
      </c>
      <c r="BQ120" s="13">
        <f t="shared" si="171"/>
        <v>50319014.293024875</v>
      </c>
      <c r="BR120" s="13">
        <f t="shared" si="172"/>
        <v>23159803.799107812</v>
      </c>
      <c r="BT120" s="13">
        <f t="shared" si="173"/>
        <v>13022167.89582208</v>
      </c>
      <c r="BU120" s="13">
        <f t="shared" si="174"/>
        <v>6511083.9479110399</v>
      </c>
      <c r="BV120" s="13">
        <f t="shared" si="175"/>
        <v>6511083.9479110399</v>
      </c>
      <c r="BW120" s="13">
        <f t="shared" si="176"/>
        <v>3255541.97395552</v>
      </c>
      <c r="BX120" s="13"/>
      <c r="BY120" s="25">
        <f t="shared" si="177"/>
        <v>813885.49348887999</v>
      </c>
      <c r="BZ120" s="25">
        <f t="shared" si="178"/>
        <v>813885.49348887999</v>
      </c>
      <c r="CA120" s="25">
        <f t="shared" si="179"/>
        <v>0</v>
      </c>
      <c r="CB120" s="25">
        <f t="shared" si="180"/>
        <v>0</v>
      </c>
      <c r="CC120" s="25">
        <f t="shared" si="181"/>
        <v>406942.74674444</v>
      </c>
      <c r="CD120" s="384">
        <f t="shared" si="182"/>
        <v>0</v>
      </c>
      <c r="CR120" s="25">
        <f t="shared" si="183"/>
        <v>3255541.97395552</v>
      </c>
      <c r="CS120" s="25">
        <f t="shared" ref="CS120:CT139" si="194">IF(AND(OR($K120="GEO-GSO",$K120="MEO"),$AL120=CS$19),$AK120*Generic_Defect_Loss,0)*$Q120*$P120</f>
        <v>3255541.97395552</v>
      </c>
      <c r="CT120" s="25">
        <f t="shared" si="194"/>
        <v>0</v>
      </c>
      <c r="CU120" s="25">
        <f t="shared" si="184"/>
        <v>0</v>
      </c>
      <c r="CV120" s="25">
        <f t="shared" si="185"/>
        <v>1627770.98697776</v>
      </c>
      <c r="CW120" s="25">
        <f t="shared" si="186"/>
        <v>0</v>
      </c>
      <c r="CY120" s="25">
        <f t="shared" si="187"/>
        <v>813885.49348887999</v>
      </c>
      <c r="CZ120" s="25">
        <f t="shared" si="188"/>
        <v>813885.49348887999</v>
      </c>
      <c r="DA120" s="25">
        <f t="shared" si="150"/>
        <v>0</v>
      </c>
      <c r="DB120" s="25">
        <f t="shared" si="189"/>
        <v>0</v>
      </c>
      <c r="DC120" s="25">
        <f t="shared" si="190"/>
        <v>406942.74674444</v>
      </c>
      <c r="DD120" s="25">
        <f t="shared" si="191"/>
        <v>0</v>
      </c>
    </row>
    <row r="121" spans="1:108" x14ac:dyDescent="0.35">
      <c r="A121" s="282" t="str">
        <f t="shared" si="143"/>
        <v>362003_496098</v>
      </c>
      <c r="B121" s="303">
        <v>362003</v>
      </c>
      <c r="C121" s="303">
        <v>496098</v>
      </c>
      <c r="D121" s="319" t="str">
        <f>IFERROR(MATCH(C121,'[4]Custom Earning Pattern Not Popu'!$B$5:$B$428,0),"NA")</f>
        <v>NA</v>
      </c>
      <c r="E121" s="303" t="s">
        <v>228</v>
      </c>
      <c r="F121" s="303">
        <v>12</v>
      </c>
      <c r="G121" s="303">
        <v>9005</v>
      </c>
      <c r="H121" s="306">
        <v>41312</v>
      </c>
      <c r="I121" s="306">
        <v>45965</v>
      </c>
      <c r="J121" s="306">
        <v>46329</v>
      </c>
      <c r="K121" s="303" t="s">
        <v>113</v>
      </c>
      <c r="L121" s="306">
        <v>45965</v>
      </c>
      <c r="M121" s="306">
        <v>46329</v>
      </c>
      <c r="N121" s="303" t="s">
        <v>466</v>
      </c>
      <c r="O121" s="303" t="s">
        <v>466</v>
      </c>
      <c r="P121" s="148">
        <f t="shared" si="144"/>
        <v>0.4</v>
      </c>
      <c r="Q121" s="282">
        <v>1</v>
      </c>
      <c r="R121" s="282">
        <v>0</v>
      </c>
      <c r="S121" s="282" t="str">
        <f t="shared" si="148"/>
        <v>In-Orbit</v>
      </c>
      <c r="T121" s="282" t="s">
        <v>13</v>
      </c>
      <c r="U121" s="303" t="s">
        <v>482</v>
      </c>
      <c r="V121" s="303" t="s">
        <v>31</v>
      </c>
      <c r="W121" s="303" t="s">
        <v>78</v>
      </c>
      <c r="X121" s="303" t="s">
        <v>282</v>
      </c>
      <c r="Y121" s="303" t="s">
        <v>325</v>
      </c>
      <c r="Z121" s="303" t="s">
        <v>337</v>
      </c>
      <c r="AA121" s="308">
        <v>1482955.12364109</v>
      </c>
      <c r="AC121" s="289">
        <f t="shared" si="145"/>
        <v>0</v>
      </c>
      <c r="AD121" s="88" cm="1">
        <f t="array" ref="AD121">IF(AC121=0,0,INDEX(Summary!$S$4:$S$7,MATCH(AC121,Summary!$R$4:$R$7)+1))</f>
        <v>0</v>
      </c>
      <c r="AE121" s="88">
        <f>IFERROR(INDEX(Summary!$Y$4:$Y$6,MATCH('Input Data'!K121,Summary!$U$4:$U$6,0)),0)</f>
        <v>0.05</v>
      </c>
      <c r="AF121" s="88" t="b">
        <f t="shared" si="162"/>
        <v>1</v>
      </c>
      <c r="AG121" s="89">
        <f>IF(AF121,INDEX('IG Equity Share'!$B:$B,MATCH(YEAR(I121),'IG Equity Share'!$A:$A,0)),0)</f>
        <v>7.4999999999999997E-2</v>
      </c>
      <c r="AH121" s="383">
        <f>AJ121*AG121*_xlfn.XLOOKUP(I121,'S3123 Consortium Share'!$A$3:$A$5,'S3123 Consortium Share'!$F$3:$F$5,,-1)</f>
        <v>46342.347613784063</v>
      </c>
      <c r="AI121" s="14">
        <v>1</v>
      </c>
      <c r="AJ121" s="13">
        <f t="shared" si="163"/>
        <v>1482955.12364109</v>
      </c>
      <c r="AK121" s="13">
        <f t="shared" si="164"/>
        <v>1482955.12364109</v>
      </c>
      <c r="AL121" s="13" t="str">
        <f t="shared" si="165"/>
        <v>FIID</v>
      </c>
      <c r="AM121" s="52">
        <f t="shared" si="166"/>
        <v>2025</v>
      </c>
      <c r="AN121" s="4"/>
      <c r="AO121" s="13">
        <f t="shared" si="193"/>
        <v>0</v>
      </c>
      <c r="AP121" s="13">
        <f t="shared" si="193"/>
        <v>0</v>
      </c>
      <c r="AQ121" s="13">
        <f t="shared" si="193"/>
        <v>0</v>
      </c>
      <c r="AR121" s="13">
        <f t="shared" si="193"/>
        <v>0</v>
      </c>
      <c r="AS121" s="13">
        <f t="shared" si="193"/>
        <v>0</v>
      </c>
      <c r="AT121" s="13">
        <f t="shared" si="193"/>
        <v>0</v>
      </c>
      <c r="AU121" s="13">
        <f t="shared" si="193"/>
        <v>296591.02472821804</v>
      </c>
      <c r="AV121" s="13">
        <f t="shared" si="192"/>
        <v>0</v>
      </c>
      <c r="AW121" s="13"/>
      <c r="AX121" s="13"/>
      <c r="AY121" s="13">
        <f t="shared" si="147"/>
        <v>296591.02472821804</v>
      </c>
      <c r="AZ121" s="13">
        <f t="shared" si="152"/>
        <v>0</v>
      </c>
      <c r="BA121" s="74"/>
      <c r="BB121" s="25">
        <f t="shared" si="153"/>
        <v>1186364.0989128719</v>
      </c>
      <c r="BC121" s="13">
        <f t="shared" si="154"/>
        <v>0</v>
      </c>
      <c r="BD121" s="13" t="b">
        <f>AND(AF121,NOT(ISNUMBER(MATCH(G121,Table1[Excluded Spacecraft ID],0))))</f>
        <v>1</v>
      </c>
      <c r="BE121" s="13">
        <f>BD121*AK121*_xlfn.XLOOKUP(I121,Table2[Date From],Table2[Cession],"Error",-1)*_xlfn.XLOOKUP(I121,'S3123 Consortium Share'!$A$3:$A$5,'S3123 Consortium Share'!$F$3:$F$5,,-1)</f>
        <v>123579.59363675752</v>
      </c>
      <c r="BF121" s="13">
        <f t="shared" si="155"/>
        <v>1186364.0989128719</v>
      </c>
      <c r="BG121" s="89" cm="1">
        <f t="array" ref="BG121">IF(V121="FIBL",0,INDEX('IGR QS'!$A$1:$D$570,MATCH('Input Data'!V121&amp;'Input Data'!W121&amp;'Input Data'!AM121,'IGR QS'!A:A&amp;'IGR QS'!B:B&amp;'IGR QS'!C:C,0),4))</f>
        <v>0.85</v>
      </c>
      <c r="BH121" s="13">
        <f t="shared" si="156"/>
        <v>1008409.4840759411</v>
      </c>
      <c r="BI121" s="13">
        <f t="shared" si="157"/>
        <v>177954.61483693076</v>
      </c>
      <c r="BJ121" s="13">
        <f t="shared" si="167"/>
        <v>0</v>
      </c>
      <c r="BK121" s="13">
        <f t="shared" si="158"/>
        <v>1008409.4840759411</v>
      </c>
      <c r="BL121" s="13">
        <f t="shared" si="159"/>
        <v>177954.61483693076</v>
      </c>
      <c r="BM121" s="21"/>
      <c r="BN121" s="13">
        <f t="shared" si="168"/>
        <v>42320200.903406374</v>
      </c>
      <c r="BO121" s="13">
        <f t="shared" si="169"/>
        <v>39234742.262773834</v>
      </c>
      <c r="BP121" s="13">
        <f t="shared" si="170"/>
        <v>3085458.6406325367</v>
      </c>
      <c r="BQ121" s="13">
        <f t="shared" si="171"/>
        <v>50319014.293024875</v>
      </c>
      <c r="BR121" s="13">
        <f t="shared" si="172"/>
        <v>23159803.799107812</v>
      </c>
      <c r="BT121" s="13">
        <f t="shared" si="173"/>
        <v>1186364.0989128719</v>
      </c>
      <c r="BU121" s="13">
        <f t="shared" si="174"/>
        <v>177954.61483693076</v>
      </c>
      <c r="BV121" s="13">
        <f t="shared" si="175"/>
        <v>1008409.4840759411</v>
      </c>
      <c r="BW121" s="13">
        <f t="shared" si="176"/>
        <v>296591.02472821804</v>
      </c>
      <c r="BX121" s="13"/>
      <c r="BY121" s="25">
        <f t="shared" si="177"/>
        <v>74147.756182054509</v>
      </c>
      <c r="BZ121" s="25">
        <f t="shared" si="178"/>
        <v>0</v>
      </c>
      <c r="CA121" s="25">
        <f t="shared" si="179"/>
        <v>74147.756182054509</v>
      </c>
      <c r="CB121" s="25">
        <f t="shared" si="180"/>
        <v>0</v>
      </c>
      <c r="CC121" s="25">
        <f t="shared" si="181"/>
        <v>63025.592754746322</v>
      </c>
      <c r="CD121" s="384">
        <f t="shared" si="182"/>
        <v>0</v>
      </c>
      <c r="CR121" s="25">
        <f t="shared" si="183"/>
        <v>296591.02472821804</v>
      </c>
      <c r="CS121" s="25">
        <f t="shared" si="194"/>
        <v>0</v>
      </c>
      <c r="CT121" s="25">
        <f t="shared" si="194"/>
        <v>296591.02472821804</v>
      </c>
      <c r="CU121" s="25">
        <f t="shared" si="184"/>
        <v>0</v>
      </c>
      <c r="CV121" s="25">
        <f t="shared" si="185"/>
        <v>252102.37101898529</v>
      </c>
      <c r="CW121" s="25">
        <f t="shared" si="186"/>
        <v>0</v>
      </c>
      <c r="CY121" s="25">
        <f t="shared" si="187"/>
        <v>74147.756182054509</v>
      </c>
      <c r="CZ121" s="25">
        <f t="shared" si="188"/>
        <v>0</v>
      </c>
      <c r="DA121" s="25">
        <f t="shared" si="150"/>
        <v>74147.756182054509</v>
      </c>
      <c r="DB121" s="25">
        <f t="shared" si="189"/>
        <v>0</v>
      </c>
      <c r="DC121" s="25">
        <f t="shared" si="190"/>
        <v>63025.592754746322</v>
      </c>
      <c r="DD121" s="25">
        <f t="shared" si="191"/>
        <v>0</v>
      </c>
    </row>
    <row r="122" spans="1:108" x14ac:dyDescent="0.35">
      <c r="A122" s="282" t="str">
        <f t="shared" si="143"/>
        <v>362003_496099</v>
      </c>
      <c r="B122" s="303">
        <v>362003</v>
      </c>
      <c r="C122" s="303">
        <v>496099</v>
      </c>
      <c r="D122" s="319" t="str">
        <f>IFERROR(MATCH(C122,'[4]Custom Earning Pattern Not Popu'!$B$5:$B$428,0),"NA")</f>
        <v>NA</v>
      </c>
      <c r="E122" s="303" t="s">
        <v>228</v>
      </c>
      <c r="F122" s="303">
        <v>12</v>
      </c>
      <c r="G122" s="303">
        <v>10144</v>
      </c>
      <c r="H122" s="306">
        <v>43165</v>
      </c>
      <c r="I122" s="306">
        <v>45965</v>
      </c>
      <c r="J122" s="306">
        <v>46329</v>
      </c>
      <c r="K122" s="303" t="s">
        <v>113</v>
      </c>
      <c r="L122" s="306">
        <v>45965</v>
      </c>
      <c r="M122" s="306">
        <v>46329</v>
      </c>
      <c r="N122" s="303" t="s">
        <v>466</v>
      </c>
      <c r="O122" s="303" t="s">
        <v>466</v>
      </c>
      <c r="P122" s="148">
        <f t="shared" si="144"/>
        <v>0.4</v>
      </c>
      <c r="Q122" s="282">
        <v>1</v>
      </c>
      <c r="R122" s="282">
        <v>0</v>
      </c>
      <c r="S122" s="282" t="str">
        <f t="shared" si="148"/>
        <v>In-Orbit</v>
      </c>
      <c r="T122" s="282" t="s">
        <v>13</v>
      </c>
      <c r="U122" s="303" t="s">
        <v>482</v>
      </c>
      <c r="V122" s="303" t="s">
        <v>31</v>
      </c>
      <c r="W122" s="303" t="s">
        <v>78</v>
      </c>
      <c r="X122" s="303" t="s">
        <v>283</v>
      </c>
      <c r="Y122" s="303" t="s">
        <v>325</v>
      </c>
      <c r="Z122" s="303" t="s">
        <v>338</v>
      </c>
      <c r="AA122" s="308">
        <v>7618716.1751617799</v>
      </c>
      <c r="AC122" s="289">
        <f t="shared" si="145"/>
        <v>0</v>
      </c>
      <c r="AD122" s="88" cm="1">
        <f t="array" ref="AD122">IF(AC122=0,0,INDEX(Summary!$S$4:$S$7,MATCH(AC122,Summary!$R$4:$R$7)+1))</f>
        <v>0</v>
      </c>
      <c r="AE122" s="88">
        <f>IFERROR(INDEX(Summary!$Y$4:$Y$6,MATCH('Input Data'!K122,Summary!$U$4:$U$6,0)),0)</f>
        <v>0.05</v>
      </c>
      <c r="AF122" s="88" t="b">
        <f t="shared" si="162"/>
        <v>1</v>
      </c>
      <c r="AG122" s="89">
        <f>IF(AF122,INDEX('IG Equity Share'!$B:$B,MATCH(YEAR(I122),'IG Equity Share'!$A:$A,0)),0)</f>
        <v>7.4999999999999997E-2</v>
      </c>
      <c r="AH122" s="383">
        <f>AJ122*AG122*_xlfn.XLOOKUP(I122,'S3123 Consortium Share'!$A$3:$A$5,'S3123 Consortium Share'!$F$3:$F$5,,-1)</f>
        <v>238084.88047380565</v>
      </c>
      <c r="AI122" s="14">
        <v>1</v>
      </c>
      <c r="AJ122" s="13">
        <f t="shared" si="163"/>
        <v>7618716.1751617799</v>
      </c>
      <c r="AK122" s="13">
        <f t="shared" si="164"/>
        <v>7618716.1751617799</v>
      </c>
      <c r="AL122" s="13" t="str">
        <f t="shared" si="165"/>
        <v>FIID</v>
      </c>
      <c r="AM122" s="52">
        <f t="shared" si="166"/>
        <v>2025</v>
      </c>
      <c r="AN122" s="4">
        <f>INDEX('[2]Input Data'!$AH:$AH,MATCH(A122,'[2]Input Data'!$A:$A,0),1)-AH122</f>
        <v>0</v>
      </c>
      <c r="AO122" s="13">
        <f t="shared" si="193"/>
        <v>0</v>
      </c>
      <c r="AP122" s="13">
        <f t="shared" si="193"/>
        <v>0</v>
      </c>
      <c r="AQ122" s="13">
        <f t="shared" si="193"/>
        <v>0</v>
      </c>
      <c r="AR122" s="13">
        <f t="shared" si="193"/>
        <v>0</v>
      </c>
      <c r="AS122" s="13">
        <f t="shared" si="193"/>
        <v>0</v>
      </c>
      <c r="AT122" s="13">
        <f t="shared" si="193"/>
        <v>0</v>
      </c>
      <c r="AU122" s="13">
        <f t="shared" si="193"/>
        <v>1523743.2350323561</v>
      </c>
      <c r="AV122" s="13">
        <f t="shared" si="192"/>
        <v>0</v>
      </c>
      <c r="AW122" s="13"/>
      <c r="AX122" s="13"/>
      <c r="AY122" s="13">
        <f t="shared" si="147"/>
        <v>1523743.2350323561</v>
      </c>
      <c r="AZ122" s="13">
        <f t="shared" si="152"/>
        <v>0</v>
      </c>
      <c r="BA122" s="74"/>
      <c r="BB122" s="25">
        <f t="shared" si="153"/>
        <v>6094972.9401294235</v>
      </c>
      <c r="BC122" s="13">
        <f t="shared" si="154"/>
        <v>0</v>
      </c>
      <c r="BD122" s="13" t="b">
        <f>AND(AF122,NOT(ISNUMBER(MATCH(G122,Table1[Excluded Spacecraft ID],0))))</f>
        <v>1</v>
      </c>
      <c r="BE122" s="13">
        <f>BD122*AK122*_xlfn.XLOOKUP(I122,Table2[Date From],Table2[Cession],"Error",-1)*_xlfn.XLOOKUP(I122,'S3123 Consortium Share'!$A$3:$A$5,'S3123 Consortium Share'!$F$3:$F$5,,-1)</f>
        <v>634893.0145968151</v>
      </c>
      <c r="BF122" s="13">
        <f t="shared" si="155"/>
        <v>6094972.9401294235</v>
      </c>
      <c r="BG122" s="89" cm="1">
        <f t="array" ref="BG122">IF(V122="FIBL",0,INDEX('IGR QS'!$A$1:$D$570,MATCH('Input Data'!V122&amp;'Input Data'!W122&amp;'Input Data'!AM122,'IGR QS'!A:A&amp;'IGR QS'!B:B&amp;'IGR QS'!C:C,0),4))</f>
        <v>0.85</v>
      </c>
      <c r="BH122" s="13">
        <f t="shared" si="156"/>
        <v>5180726.9991100095</v>
      </c>
      <c r="BI122" s="13">
        <f t="shared" si="157"/>
        <v>914245.94101941399</v>
      </c>
      <c r="BJ122" s="13">
        <f t="shared" si="167"/>
        <v>0</v>
      </c>
      <c r="BK122" s="13">
        <f t="shared" si="158"/>
        <v>5180726.9991100095</v>
      </c>
      <c r="BL122" s="13">
        <f t="shared" si="159"/>
        <v>914245.94101941399</v>
      </c>
      <c r="BM122" s="21"/>
      <c r="BN122" s="13">
        <f t="shared" si="168"/>
        <v>42320200.903406374</v>
      </c>
      <c r="BO122" s="13">
        <f t="shared" si="169"/>
        <v>39234742.262773834</v>
      </c>
      <c r="BP122" s="13">
        <f t="shared" si="170"/>
        <v>3085458.6406325367</v>
      </c>
      <c r="BQ122" s="13">
        <f t="shared" si="171"/>
        <v>50319014.293024875</v>
      </c>
      <c r="BR122" s="13">
        <f t="shared" si="172"/>
        <v>23159803.799107812</v>
      </c>
      <c r="BT122" s="13">
        <f t="shared" si="173"/>
        <v>6094972.9401294235</v>
      </c>
      <c r="BU122" s="13">
        <f t="shared" si="174"/>
        <v>914245.94101941399</v>
      </c>
      <c r="BV122" s="13">
        <f t="shared" si="175"/>
        <v>5180726.9991100095</v>
      </c>
      <c r="BW122" s="13">
        <f t="shared" si="176"/>
        <v>1523743.2350323561</v>
      </c>
      <c r="BX122" s="13"/>
      <c r="BY122" s="25">
        <f t="shared" si="177"/>
        <v>380935.80875808903</v>
      </c>
      <c r="BZ122" s="25">
        <f t="shared" si="178"/>
        <v>0</v>
      </c>
      <c r="CA122" s="25">
        <f t="shared" si="179"/>
        <v>380935.80875808903</v>
      </c>
      <c r="CB122" s="25">
        <f t="shared" si="180"/>
        <v>0</v>
      </c>
      <c r="CC122" s="25">
        <f t="shared" si="181"/>
        <v>323795.43744437565</v>
      </c>
      <c r="CD122" s="384">
        <f t="shared" si="182"/>
        <v>0</v>
      </c>
      <c r="CR122" s="25">
        <f t="shared" si="183"/>
        <v>1523743.2350323561</v>
      </c>
      <c r="CS122" s="25">
        <f t="shared" si="194"/>
        <v>0</v>
      </c>
      <c r="CT122" s="25">
        <f t="shared" si="194"/>
        <v>1523743.2350323561</v>
      </c>
      <c r="CU122" s="25">
        <f t="shared" si="184"/>
        <v>0</v>
      </c>
      <c r="CV122" s="25">
        <f t="shared" si="185"/>
        <v>1295181.7497775026</v>
      </c>
      <c r="CW122" s="25">
        <f t="shared" si="186"/>
        <v>0</v>
      </c>
      <c r="CY122" s="25">
        <f t="shared" si="187"/>
        <v>380935.80875808903</v>
      </c>
      <c r="CZ122" s="25">
        <f t="shared" si="188"/>
        <v>0</v>
      </c>
      <c r="DA122" s="25">
        <f t="shared" ref="DA122:DA153" si="195">IF(AND(OR($K122="GEO-GSO",$K122="MEO"),$AL122=DA$19),$AK122*Space_Debris_Loss,0)*$Q122*$AE122</f>
        <v>380935.80875808903</v>
      </c>
      <c r="DB122" s="25">
        <f t="shared" si="189"/>
        <v>0</v>
      </c>
      <c r="DC122" s="25">
        <f t="shared" si="190"/>
        <v>323795.43744437565</v>
      </c>
      <c r="DD122" s="25">
        <f t="shared" si="191"/>
        <v>0</v>
      </c>
    </row>
    <row r="123" spans="1:108" x14ac:dyDescent="0.35">
      <c r="A123" s="282" t="str">
        <f t="shared" si="143"/>
        <v>362003_496100</v>
      </c>
      <c r="B123" s="303">
        <v>362003</v>
      </c>
      <c r="C123" s="303">
        <v>496100</v>
      </c>
      <c r="D123" s="319" t="str">
        <f>IFERROR(MATCH(C123,'[4]Custom Earning Pattern Not Popu'!$B$5:$B$428,0),"NA")</f>
        <v>NA</v>
      </c>
      <c r="E123" s="303" t="s">
        <v>228</v>
      </c>
      <c r="F123" s="303">
        <v>12</v>
      </c>
      <c r="G123" s="303">
        <v>10280</v>
      </c>
      <c r="H123" s="306">
        <v>42989</v>
      </c>
      <c r="I123" s="306">
        <v>45965</v>
      </c>
      <c r="J123" s="306">
        <v>46329</v>
      </c>
      <c r="K123" s="303" t="s">
        <v>113</v>
      </c>
      <c r="L123" s="306">
        <v>45965</v>
      </c>
      <c r="M123" s="306">
        <v>46329</v>
      </c>
      <c r="N123" s="303" t="s">
        <v>466</v>
      </c>
      <c r="O123" s="303" t="s">
        <v>466</v>
      </c>
      <c r="P123" s="148">
        <f t="shared" si="144"/>
        <v>0.4</v>
      </c>
      <c r="Q123" s="282">
        <v>1</v>
      </c>
      <c r="R123" s="282">
        <v>0</v>
      </c>
      <c r="S123" s="282" t="str">
        <f t="shared" si="148"/>
        <v>In-Orbit</v>
      </c>
      <c r="T123" s="282" t="s">
        <v>13</v>
      </c>
      <c r="U123" s="303" t="s">
        <v>482</v>
      </c>
      <c r="V123" s="303" t="s">
        <v>31</v>
      </c>
      <c r="W123" s="303" t="s">
        <v>78</v>
      </c>
      <c r="X123" s="303" t="s">
        <v>284</v>
      </c>
      <c r="Y123" s="303" t="s">
        <v>325</v>
      </c>
      <c r="Z123" s="303" t="s">
        <v>339</v>
      </c>
      <c r="AA123" s="308">
        <v>3877050.83890505</v>
      </c>
      <c r="AC123" s="289">
        <f t="shared" si="145"/>
        <v>0</v>
      </c>
      <c r="AD123" s="88" cm="1">
        <f t="array" ref="AD123">IF(AC123=0,0,INDEX(Summary!$S$4:$S$7,MATCH(AC123,Summary!$R$4:$R$7)+1))</f>
        <v>0</v>
      </c>
      <c r="AE123" s="88">
        <f>IFERROR(INDEX(Summary!$Y$4:$Y$6,MATCH('Input Data'!K123,Summary!$U$4:$U$6,0)),0)</f>
        <v>0.05</v>
      </c>
      <c r="AF123" s="88" t="b">
        <f t="shared" si="162"/>
        <v>1</v>
      </c>
      <c r="AG123" s="89">
        <f>IF(AF123,INDEX('IG Equity Share'!$B:$B,MATCH(YEAR(I123),'IG Equity Share'!$A:$A,0)),0)</f>
        <v>7.4999999999999997E-2</v>
      </c>
      <c r="AH123" s="383">
        <f>AJ123*AG123*_xlfn.XLOOKUP(I123,'S3123 Consortium Share'!$A$3:$A$5,'S3123 Consortium Share'!$F$3:$F$5,,-1)</f>
        <v>121157.83871578281</v>
      </c>
      <c r="AI123" s="14">
        <v>1</v>
      </c>
      <c r="AJ123" s="13">
        <f t="shared" si="163"/>
        <v>3877050.83890505</v>
      </c>
      <c r="AK123" s="13">
        <f t="shared" si="164"/>
        <v>3877050.83890505</v>
      </c>
      <c r="AL123" s="13" t="str">
        <f t="shared" si="165"/>
        <v>FIID</v>
      </c>
      <c r="AM123" s="52">
        <f t="shared" si="166"/>
        <v>2025</v>
      </c>
      <c r="AN123" s="4">
        <f>INDEX('[2]Input Data'!$AH:$AH,MATCH(A123,'[2]Input Data'!$A:$A,0),1)-AH123</f>
        <v>0</v>
      </c>
      <c r="AO123" s="13">
        <f t="shared" si="193"/>
        <v>0</v>
      </c>
      <c r="AP123" s="13">
        <f t="shared" si="193"/>
        <v>0</v>
      </c>
      <c r="AQ123" s="13">
        <f t="shared" si="193"/>
        <v>0</v>
      </c>
      <c r="AR123" s="13">
        <f t="shared" si="193"/>
        <v>0</v>
      </c>
      <c r="AS123" s="13">
        <f t="shared" si="193"/>
        <v>0</v>
      </c>
      <c r="AT123" s="13">
        <f t="shared" si="193"/>
        <v>0</v>
      </c>
      <c r="AU123" s="13">
        <f t="shared" si="193"/>
        <v>775410.16778101004</v>
      </c>
      <c r="AV123" s="13">
        <f t="shared" si="192"/>
        <v>0</v>
      </c>
      <c r="AW123" s="13"/>
      <c r="AX123" s="13"/>
      <c r="AY123" s="13">
        <f t="shared" si="147"/>
        <v>775410.16778101004</v>
      </c>
      <c r="AZ123" s="13">
        <f t="shared" si="152"/>
        <v>0</v>
      </c>
      <c r="BA123" s="74"/>
      <c r="BB123" s="25">
        <f t="shared" si="153"/>
        <v>3101640.6711240401</v>
      </c>
      <c r="BC123" s="13">
        <f t="shared" si="154"/>
        <v>0</v>
      </c>
      <c r="BD123" s="13" t="b">
        <f>AND(AF123,NOT(ISNUMBER(MATCH(G123,Table1[Excluded Spacecraft ID],0))))</f>
        <v>1</v>
      </c>
      <c r="BE123" s="13">
        <f>BD123*AK123*_xlfn.XLOOKUP(I123,Table2[Date From],Table2[Cession],"Error",-1)*_xlfn.XLOOKUP(I123,'S3123 Consortium Share'!$A$3:$A$5,'S3123 Consortium Share'!$F$3:$F$5,,-1)</f>
        <v>323087.5699087542</v>
      </c>
      <c r="BF123" s="13">
        <f t="shared" si="155"/>
        <v>3101640.6711240401</v>
      </c>
      <c r="BG123" s="89" cm="1">
        <f t="array" ref="BG123">IF(V123="FIBL",0,INDEX('IGR QS'!$A$1:$D$570,MATCH('Input Data'!V123&amp;'Input Data'!W123&amp;'Input Data'!AM123,'IGR QS'!A:A&amp;'IGR QS'!B:B&amp;'IGR QS'!C:C,0),4))</f>
        <v>0.85</v>
      </c>
      <c r="BH123" s="13">
        <f t="shared" si="156"/>
        <v>2636394.5704554343</v>
      </c>
      <c r="BI123" s="13">
        <f t="shared" si="157"/>
        <v>465246.10066860588</v>
      </c>
      <c r="BJ123" s="13">
        <f t="shared" si="167"/>
        <v>0</v>
      </c>
      <c r="BK123" s="13">
        <f t="shared" si="158"/>
        <v>2636394.5704554343</v>
      </c>
      <c r="BL123" s="13">
        <f t="shared" si="159"/>
        <v>465246.10066860588</v>
      </c>
      <c r="BM123" s="21"/>
      <c r="BN123" s="13">
        <f t="shared" si="168"/>
        <v>42320200.903406374</v>
      </c>
      <c r="BO123" s="13">
        <f t="shared" si="169"/>
        <v>39234742.262773834</v>
      </c>
      <c r="BP123" s="13">
        <f t="shared" si="170"/>
        <v>3085458.6406325367</v>
      </c>
      <c r="BQ123" s="13">
        <f t="shared" si="171"/>
        <v>50319014.293024875</v>
      </c>
      <c r="BR123" s="13">
        <f t="shared" si="172"/>
        <v>23159803.799107812</v>
      </c>
      <c r="BT123" s="13">
        <f t="shared" si="173"/>
        <v>3101640.6711240401</v>
      </c>
      <c r="BU123" s="13">
        <f t="shared" si="174"/>
        <v>465246.10066860588</v>
      </c>
      <c r="BV123" s="13">
        <f t="shared" si="175"/>
        <v>2636394.5704554343</v>
      </c>
      <c r="BW123" s="13">
        <f t="shared" si="176"/>
        <v>775410.16778101004</v>
      </c>
      <c r="BX123" s="13"/>
      <c r="BY123" s="25">
        <f t="shared" si="177"/>
        <v>193852.54194525251</v>
      </c>
      <c r="BZ123" s="25">
        <f t="shared" si="178"/>
        <v>0</v>
      </c>
      <c r="CA123" s="25">
        <f t="shared" si="179"/>
        <v>193852.54194525251</v>
      </c>
      <c r="CB123" s="25">
        <f t="shared" si="180"/>
        <v>0</v>
      </c>
      <c r="CC123" s="25">
        <f t="shared" si="181"/>
        <v>164774.66065346461</v>
      </c>
      <c r="CD123" s="384">
        <f t="shared" si="182"/>
        <v>0</v>
      </c>
      <c r="CR123" s="25">
        <f t="shared" si="183"/>
        <v>775410.16778101004</v>
      </c>
      <c r="CS123" s="25">
        <f t="shared" si="194"/>
        <v>0</v>
      </c>
      <c r="CT123" s="25">
        <f t="shared" si="194"/>
        <v>775410.16778101004</v>
      </c>
      <c r="CU123" s="25">
        <f t="shared" si="184"/>
        <v>0</v>
      </c>
      <c r="CV123" s="25">
        <f t="shared" si="185"/>
        <v>659098.64261385845</v>
      </c>
      <c r="CW123" s="25">
        <f t="shared" si="186"/>
        <v>0</v>
      </c>
      <c r="CY123" s="25">
        <f t="shared" si="187"/>
        <v>193852.54194525251</v>
      </c>
      <c r="CZ123" s="25">
        <f t="shared" si="188"/>
        <v>0</v>
      </c>
      <c r="DA123" s="25">
        <f t="shared" si="195"/>
        <v>193852.54194525251</v>
      </c>
      <c r="DB123" s="25">
        <f t="shared" si="189"/>
        <v>0</v>
      </c>
      <c r="DC123" s="25">
        <f t="shared" si="190"/>
        <v>164774.66065346461</v>
      </c>
      <c r="DD123" s="25">
        <f t="shared" si="191"/>
        <v>0</v>
      </c>
    </row>
    <row r="124" spans="1:108" x14ac:dyDescent="0.35">
      <c r="A124" s="282" t="str">
        <f t="shared" si="143"/>
        <v>362003_496102</v>
      </c>
      <c r="B124" s="303">
        <v>362003</v>
      </c>
      <c r="C124" s="303">
        <v>496102</v>
      </c>
      <c r="D124" s="319" t="str">
        <f>IFERROR(MATCH(C124,'[4]Custom Earning Pattern Not Popu'!$B$5:$B$428,0),"NA")</f>
        <v>NA</v>
      </c>
      <c r="E124" s="303" t="s">
        <v>228</v>
      </c>
      <c r="F124" s="303">
        <v>12</v>
      </c>
      <c r="G124" s="303">
        <v>5646</v>
      </c>
      <c r="H124" s="306">
        <v>40541</v>
      </c>
      <c r="I124" s="306">
        <v>45965</v>
      </c>
      <c r="J124" s="306">
        <v>46329</v>
      </c>
      <c r="K124" s="303" t="s">
        <v>113</v>
      </c>
      <c r="L124" s="306">
        <v>45965</v>
      </c>
      <c r="M124" s="306">
        <v>46329</v>
      </c>
      <c r="N124" s="303" t="s">
        <v>466</v>
      </c>
      <c r="O124" s="303" t="s">
        <v>466</v>
      </c>
      <c r="P124" s="148">
        <f t="shared" si="144"/>
        <v>0.4</v>
      </c>
      <c r="Q124" s="282">
        <v>1</v>
      </c>
      <c r="R124" s="282">
        <v>0</v>
      </c>
      <c r="S124" s="282" t="str">
        <f t="shared" si="148"/>
        <v>In-Orbit</v>
      </c>
      <c r="T124" s="282" t="s">
        <v>13</v>
      </c>
      <c r="U124" s="303" t="s">
        <v>482</v>
      </c>
      <c r="V124" s="303" t="s">
        <v>31</v>
      </c>
      <c r="W124" s="303" t="s">
        <v>78</v>
      </c>
      <c r="X124" s="303" t="s">
        <v>285</v>
      </c>
      <c r="Y124" s="303" t="s">
        <v>325</v>
      </c>
      <c r="Z124" s="303" t="s">
        <v>337</v>
      </c>
      <c r="AA124" s="308">
        <v>1908722.49728835</v>
      </c>
      <c r="AC124" s="289">
        <f t="shared" si="145"/>
        <v>0</v>
      </c>
      <c r="AD124" s="88" cm="1">
        <f t="array" ref="AD124">IF(AC124=0,0,INDEX(Summary!$S$4:$S$7,MATCH(AC124,Summary!$R$4:$R$7)+1))</f>
        <v>0</v>
      </c>
      <c r="AE124" s="88">
        <f>IFERROR(INDEX(Summary!$Y$4:$Y$6,MATCH('Input Data'!K124,Summary!$U$4:$U$6,0)),0)</f>
        <v>0.05</v>
      </c>
      <c r="AF124" s="88" t="b">
        <f t="shared" si="162"/>
        <v>1</v>
      </c>
      <c r="AG124" s="89">
        <f>IF(AF124,INDEX('IG Equity Share'!$B:$B,MATCH(YEAR(I124),'IG Equity Share'!$A:$A,0)),0)</f>
        <v>7.4999999999999997E-2</v>
      </c>
      <c r="AH124" s="383">
        <f>AJ124*AG124*_xlfn.XLOOKUP(I124,'S3123 Consortium Share'!$A$3:$A$5,'S3123 Consortium Share'!$F$3:$F$5,,-1)</f>
        <v>59647.578040260938</v>
      </c>
      <c r="AI124" s="14">
        <v>1</v>
      </c>
      <c r="AJ124" s="13">
        <f t="shared" si="163"/>
        <v>1908722.49728835</v>
      </c>
      <c r="AK124" s="13">
        <f t="shared" si="164"/>
        <v>1908722.49728835</v>
      </c>
      <c r="AL124" s="13" t="str">
        <f t="shared" si="165"/>
        <v>FIID</v>
      </c>
      <c r="AM124" s="52">
        <f t="shared" si="166"/>
        <v>2025</v>
      </c>
      <c r="AN124" s="4"/>
      <c r="AO124" s="13">
        <f t="shared" si="193"/>
        <v>0</v>
      </c>
      <c r="AP124" s="13">
        <f t="shared" si="193"/>
        <v>0</v>
      </c>
      <c r="AQ124" s="13">
        <f t="shared" si="193"/>
        <v>0</v>
      </c>
      <c r="AR124" s="13">
        <f t="shared" si="193"/>
        <v>0</v>
      </c>
      <c r="AS124" s="13">
        <f t="shared" si="193"/>
        <v>0</v>
      </c>
      <c r="AT124" s="13">
        <f t="shared" si="193"/>
        <v>0</v>
      </c>
      <c r="AU124" s="13">
        <f t="shared" si="193"/>
        <v>381744.49945767003</v>
      </c>
      <c r="AV124" s="13">
        <f t="shared" si="192"/>
        <v>0</v>
      </c>
      <c r="AW124" s="13"/>
      <c r="AX124" s="13"/>
      <c r="AY124" s="13">
        <f t="shared" si="147"/>
        <v>381744.49945767003</v>
      </c>
      <c r="AZ124" s="13">
        <f t="shared" si="152"/>
        <v>0</v>
      </c>
      <c r="BA124" s="74"/>
      <c r="BB124" s="25">
        <f t="shared" si="153"/>
        <v>1526977.9978306801</v>
      </c>
      <c r="BC124" s="13">
        <f t="shared" si="154"/>
        <v>0</v>
      </c>
      <c r="BD124" s="13" t="b">
        <f>AND(AF124,NOT(ISNUMBER(MATCH(G124,Table1[Excluded Spacecraft ID],0))))</f>
        <v>1</v>
      </c>
      <c r="BE124" s="13">
        <f>BD124*AK124*_xlfn.XLOOKUP(I124,Table2[Date From],Table2[Cession],"Error",-1)*_xlfn.XLOOKUP(I124,'S3123 Consortium Share'!$A$3:$A$5,'S3123 Consortium Share'!$F$3:$F$5,,-1)</f>
        <v>159060.20810736253</v>
      </c>
      <c r="BF124" s="13">
        <f t="shared" si="155"/>
        <v>1526977.9978306801</v>
      </c>
      <c r="BG124" s="89" cm="1">
        <f t="array" ref="BG124">IF(V124="FIBL",0,INDEX('IGR QS'!$A$1:$D$570,MATCH('Input Data'!V124&amp;'Input Data'!W124&amp;'Input Data'!AM124,'IGR QS'!A:A&amp;'IGR QS'!B:B&amp;'IGR QS'!C:C,0),4))</f>
        <v>0.85</v>
      </c>
      <c r="BH124" s="13">
        <f t="shared" si="156"/>
        <v>1297931.298156078</v>
      </c>
      <c r="BI124" s="13">
        <f t="shared" si="157"/>
        <v>229046.69967460213</v>
      </c>
      <c r="BJ124" s="13">
        <f t="shared" si="167"/>
        <v>0</v>
      </c>
      <c r="BK124" s="13">
        <f t="shared" si="158"/>
        <v>1297931.298156078</v>
      </c>
      <c r="BL124" s="13">
        <f t="shared" si="159"/>
        <v>229046.69967460213</v>
      </c>
      <c r="BM124" s="21"/>
      <c r="BN124" s="13">
        <f t="shared" si="168"/>
        <v>42320200.903406374</v>
      </c>
      <c r="BO124" s="13">
        <f t="shared" si="169"/>
        <v>39234742.262773834</v>
      </c>
      <c r="BP124" s="13">
        <f t="shared" si="170"/>
        <v>3085458.6406325367</v>
      </c>
      <c r="BQ124" s="13">
        <f t="shared" si="171"/>
        <v>50319014.293024875</v>
      </c>
      <c r="BR124" s="13">
        <f t="shared" si="172"/>
        <v>23159803.799107812</v>
      </c>
      <c r="BT124" s="13">
        <f t="shared" si="173"/>
        <v>1526977.9978306801</v>
      </c>
      <c r="BU124" s="13">
        <f t="shared" si="174"/>
        <v>229046.69967460213</v>
      </c>
      <c r="BV124" s="13">
        <f t="shared" si="175"/>
        <v>1297931.298156078</v>
      </c>
      <c r="BW124" s="13">
        <f t="shared" si="176"/>
        <v>381744.49945767003</v>
      </c>
      <c r="BX124" s="13"/>
      <c r="BY124" s="25">
        <f t="shared" si="177"/>
        <v>95436.124864417507</v>
      </c>
      <c r="BZ124" s="25">
        <f t="shared" si="178"/>
        <v>0</v>
      </c>
      <c r="CA124" s="25">
        <f t="shared" si="179"/>
        <v>95436.124864417507</v>
      </c>
      <c r="CB124" s="25">
        <f t="shared" si="180"/>
        <v>0</v>
      </c>
      <c r="CC124" s="25">
        <f t="shared" si="181"/>
        <v>81120.706134754873</v>
      </c>
      <c r="CD124" s="384">
        <f t="shared" si="182"/>
        <v>0</v>
      </c>
      <c r="CR124" s="25">
        <f t="shared" si="183"/>
        <v>381744.49945767003</v>
      </c>
      <c r="CS124" s="25">
        <f t="shared" si="194"/>
        <v>0</v>
      </c>
      <c r="CT124" s="25">
        <f t="shared" si="194"/>
        <v>381744.49945767003</v>
      </c>
      <c r="CU124" s="25">
        <f t="shared" si="184"/>
        <v>0</v>
      </c>
      <c r="CV124" s="25">
        <f t="shared" si="185"/>
        <v>324482.82453901949</v>
      </c>
      <c r="CW124" s="25">
        <f t="shared" si="186"/>
        <v>0</v>
      </c>
      <c r="CY124" s="25">
        <f t="shared" si="187"/>
        <v>95436.124864417507</v>
      </c>
      <c r="CZ124" s="25">
        <f t="shared" si="188"/>
        <v>0</v>
      </c>
      <c r="DA124" s="25">
        <f t="shared" si="195"/>
        <v>95436.124864417507</v>
      </c>
      <c r="DB124" s="25">
        <f t="shared" si="189"/>
        <v>0</v>
      </c>
      <c r="DC124" s="25">
        <f t="shared" si="190"/>
        <v>81120.706134754873</v>
      </c>
      <c r="DD124" s="25">
        <f t="shared" si="191"/>
        <v>0</v>
      </c>
    </row>
    <row r="125" spans="1:108" x14ac:dyDescent="0.35">
      <c r="A125" s="282" t="str">
        <f t="shared" si="143"/>
        <v>362037_496234</v>
      </c>
      <c r="B125" s="303">
        <v>362037</v>
      </c>
      <c r="C125" s="303">
        <v>496234</v>
      </c>
      <c r="D125" s="319" t="str">
        <f>IFERROR(MATCH(C125,'[4]Custom Earning Pattern Not Popu'!$B$5:$B$428,0),"NA")</f>
        <v>NA</v>
      </c>
      <c r="E125" s="303" t="s">
        <v>228</v>
      </c>
      <c r="F125" s="303">
        <v>12</v>
      </c>
      <c r="G125" s="303">
        <v>9558</v>
      </c>
      <c r="H125" s="306">
        <v>42200</v>
      </c>
      <c r="I125" s="306">
        <v>45970</v>
      </c>
      <c r="J125" s="306">
        <v>46334</v>
      </c>
      <c r="K125" s="303" t="s">
        <v>113</v>
      </c>
      <c r="L125" s="306">
        <v>45970</v>
      </c>
      <c r="M125" s="306">
        <v>46334</v>
      </c>
      <c r="N125" s="303" t="s">
        <v>466</v>
      </c>
      <c r="O125" s="303" t="s">
        <v>466</v>
      </c>
      <c r="P125" s="148">
        <f t="shared" si="144"/>
        <v>0.4</v>
      </c>
      <c r="Q125" s="282">
        <v>1</v>
      </c>
      <c r="R125" s="282">
        <v>0</v>
      </c>
      <c r="S125" s="282" t="str">
        <f t="shared" si="148"/>
        <v>In-Orbit</v>
      </c>
      <c r="T125" s="282" t="s">
        <v>13</v>
      </c>
      <c r="U125" s="303" t="s">
        <v>372</v>
      </c>
      <c r="V125" s="303" t="s">
        <v>29</v>
      </c>
      <c r="W125" s="303" t="s">
        <v>78</v>
      </c>
      <c r="X125" s="303" t="s">
        <v>296</v>
      </c>
      <c r="Y125" s="303" t="s">
        <v>325</v>
      </c>
      <c r="Z125" s="303" t="s">
        <v>337</v>
      </c>
      <c r="AA125" s="308">
        <v>1324629.2761428</v>
      </c>
      <c r="AC125" s="289">
        <f t="shared" si="145"/>
        <v>0</v>
      </c>
      <c r="AD125" s="88" cm="1">
        <f t="array" ref="AD125">IF(AC125=0,0,INDEX(Summary!$S$4:$S$7,MATCH(AC125,Summary!$R$4:$R$7)+1))</f>
        <v>0</v>
      </c>
      <c r="AE125" s="88">
        <f>IFERROR(INDEX(Summary!$Y$4:$Y$6,MATCH('Input Data'!K125,Summary!$U$4:$U$6,0)),0)</f>
        <v>0.05</v>
      </c>
      <c r="AF125" s="88" t="b">
        <f t="shared" si="162"/>
        <v>1</v>
      </c>
      <c r="AG125" s="89">
        <f>IF(AF125,INDEX('IG Equity Share'!$B:$B,MATCH(YEAR(I125),'IG Equity Share'!$A:$A,0)),0)</f>
        <v>7.4999999999999997E-2</v>
      </c>
      <c r="AH125" s="383">
        <f>AJ125*AG125*_xlfn.XLOOKUP(I125,'S3123 Consortium Share'!$A$3:$A$5,'S3123 Consortium Share'!$F$3:$F$5,,-1)</f>
        <v>41394.6648794625</v>
      </c>
      <c r="AI125" s="14">
        <v>1</v>
      </c>
      <c r="AJ125" s="13">
        <f t="shared" si="163"/>
        <v>1324629.2761428</v>
      </c>
      <c r="AK125" s="13">
        <f t="shared" si="164"/>
        <v>1324629.2761428</v>
      </c>
      <c r="AL125" s="13" t="str">
        <f t="shared" si="165"/>
        <v>FUL</v>
      </c>
      <c r="AM125" s="52">
        <f t="shared" si="166"/>
        <v>2025</v>
      </c>
      <c r="AN125" s="4">
        <f>INDEX('[2]Input Data'!$AH:$AH,MATCH(A125,'[2]Input Data'!$A:$A,0),1)-AH125</f>
        <v>0</v>
      </c>
      <c r="AO125" s="13">
        <f t="shared" si="193"/>
        <v>0</v>
      </c>
      <c r="AP125" s="13">
        <f t="shared" si="193"/>
        <v>0</v>
      </c>
      <c r="AQ125" s="13">
        <f t="shared" si="193"/>
        <v>0</v>
      </c>
      <c r="AR125" s="13">
        <f t="shared" si="193"/>
        <v>0</v>
      </c>
      <c r="AS125" s="13">
        <f t="shared" si="193"/>
        <v>0</v>
      </c>
      <c r="AT125" s="13">
        <f t="shared" si="193"/>
        <v>0</v>
      </c>
      <c r="AU125" s="13">
        <f t="shared" si="193"/>
        <v>264925.85522855999</v>
      </c>
      <c r="AV125" s="13">
        <f t="shared" si="192"/>
        <v>0</v>
      </c>
      <c r="AW125" s="13"/>
      <c r="AX125" s="13"/>
      <c r="AY125" s="13">
        <f t="shared" si="147"/>
        <v>264925.85522855999</v>
      </c>
      <c r="AZ125" s="13">
        <f t="shared" si="152"/>
        <v>0</v>
      </c>
      <c r="BA125" s="74"/>
      <c r="BB125" s="25">
        <f t="shared" si="153"/>
        <v>1059703.4209142399</v>
      </c>
      <c r="BC125" s="13">
        <f t="shared" si="154"/>
        <v>0</v>
      </c>
      <c r="BD125" s="13" t="b">
        <f>AND(AF125,NOT(ISNUMBER(MATCH(G125,Table1[Excluded Spacecraft ID],0))))</f>
        <v>1</v>
      </c>
      <c r="BE125" s="13">
        <f>BD125*AK125*_xlfn.XLOOKUP(I125,Table2[Date From],Table2[Cession],"Error",-1)*_xlfn.XLOOKUP(I125,'S3123 Consortium Share'!$A$3:$A$5,'S3123 Consortium Share'!$F$3:$F$5,,-1)</f>
        <v>110385.7730119</v>
      </c>
      <c r="BF125" s="13">
        <f t="shared" si="155"/>
        <v>1059703.4209142399</v>
      </c>
      <c r="BG125" s="89" cm="1">
        <f t="array" ref="BG125">IF(V125="FIBL",0,INDEX('IGR QS'!$A$1:$D$570,MATCH('Input Data'!V125&amp;'Input Data'!W125&amp;'Input Data'!AM125,'IGR QS'!A:A&amp;'IGR QS'!B:B&amp;'IGR QS'!C:C,0),4))</f>
        <v>0.5</v>
      </c>
      <c r="BH125" s="13">
        <f t="shared" si="156"/>
        <v>529851.71045711997</v>
      </c>
      <c r="BI125" s="13">
        <f t="shared" si="157"/>
        <v>529851.71045711997</v>
      </c>
      <c r="BJ125" s="13">
        <f t="shared" si="167"/>
        <v>0</v>
      </c>
      <c r="BK125" s="13">
        <f t="shared" si="158"/>
        <v>529851.71045711997</v>
      </c>
      <c r="BL125" s="13">
        <f t="shared" si="159"/>
        <v>529851.71045711997</v>
      </c>
      <c r="BM125" s="21"/>
      <c r="BN125" s="13">
        <f t="shared" si="168"/>
        <v>42320200.903406374</v>
      </c>
      <c r="BO125" s="13">
        <f t="shared" si="169"/>
        <v>39234742.262773834</v>
      </c>
      <c r="BP125" s="13">
        <f t="shared" si="170"/>
        <v>3085458.6406325367</v>
      </c>
      <c r="BQ125" s="13">
        <f t="shared" si="171"/>
        <v>50319014.293024875</v>
      </c>
      <c r="BR125" s="13">
        <f t="shared" si="172"/>
        <v>23159803.799107812</v>
      </c>
      <c r="BT125" s="13">
        <f t="shared" si="173"/>
        <v>1059703.4209142399</v>
      </c>
      <c r="BU125" s="13">
        <f t="shared" si="174"/>
        <v>529851.71045711997</v>
      </c>
      <c r="BV125" s="13">
        <f t="shared" si="175"/>
        <v>529851.71045711997</v>
      </c>
      <c r="BW125" s="13">
        <f t="shared" si="176"/>
        <v>264925.85522855999</v>
      </c>
      <c r="BX125" s="13"/>
      <c r="BY125" s="25">
        <f t="shared" si="177"/>
        <v>66231.463807139997</v>
      </c>
      <c r="BZ125" s="25">
        <f t="shared" si="178"/>
        <v>66231.463807139997</v>
      </c>
      <c r="CA125" s="25">
        <f t="shared" si="179"/>
        <v>0</v>
      </c>
      <c r="CB125" s="25">
        <f t="shared" si="180"/>
        <v>0</v>
      </c>
      <c r="CC125" s="25">
        <f t="shared" si="181"/>
        <v>33115.731903569998</v>
      </c>
      <c r="CD125" s="384">
        <f t="shared" si="182"/>
        <v>0</v>
      </c>
      <c r="CR125" s="25">
        <f t="shared" si="183"/>
        <v>264925.85522855999</v>
      </c>
      <c r="CS125" s="25">
        <f t="shared" si="194"/>
        <v>264925.85522855999</v>
      </c>
      <c r="CT125" s="25">
        <f t="shared" si="194"/>
        <v>0</v>
      </c>
      <c r="CU125" s="25">
        <f t="shared" si="184"/>
        <v>0</v>
      </c>
      <c r="CV125" s="25">
        <f t="shared" si="185"/>
        <v>132462.92761427999</v>
      </c>
      <c r="CW125" s="25">
        <f t="shared" si="186"/>
        <v>0</v>
      </c>
      <c r="CY125" s="25">
        <f t="shared" si="187"/>
        <v>66231.463807139997</v>
      </c>
      <c r="CZ125" s="25">
        <f t="shared" si="188"/>
        <v>66231.463807139997</v>
      </c>
      <c r="DA125" s="25">
        <f t="shared" si="195"/>
        <v>0</v>
      </c>
      <c r="DB125" s="25">
        <f t="shared" si="189"/>
        <v>0</v>
      </c>
      <c r="DC125" s="25">
        <f t="shared" si="190"/>
        <v>33115.731903569998</v>
      </c>
      <c r="DD125" s="25">
        <f t="shared" si="191"/>
        <v>0</v>
      </c>
    </row>
    <row r="126" spans="1:108" x14ac:dyDescent="0.35">
      <c r="A126" s="282" t="str">
        <f t="shared" si="143"/>
        <v>362037_496235</v>
      </c>
      <c r="B126" s="303">
        <v>362037</v>
      </c>
      <c r="C126" s="303">
        <v>496235</v>
      </c>
      <c r="D126" s="319" t="str">
        <f>IFERROR(MATCH(C126,'[4]Custom Earning Pattern Not Popu'!$B$5:$B$428,0),"NA")</f>
        <v>NA</v>
      </c>
      <c r="E126" s="303" t="s">
        <v>228</v>
      </c>
      <c r="F126" s="303">
        <v>12</v>
      </c>
      <c r="G126" s="303">
        <v>12148</v>
      </c>
      <c r="H126" s="306">
        <v>44407</v>
      </c>
      <c r="I126" s="306">
        <v>45970</v>
      </c>
      <c r="J126" s="306">
        <v>46334</v>
      </c>
      <c r="K126" s="303" t="s">
        <v>113</v>
      </c>
      <c r="L126" s="306">
        <v>45970</v>
      </c>
      <c r="M126" s="306">
        <v>46334</v>
      </c>
      <c r="N126" s="303" t="s">
        <v>466</v>
      </c>
      <c r="O126" s="303" t="s">
        <v>466</v>
      </c>
      <c r="P126" s="148">
        <f t="shared" si="144"/>
        <v>0.4</v>
      </c>
      <c r="Q126" s="282">
        <v>1</v>
      </c>
      <c r="R126" s="282">
        <v>0</v>
      </c>
      <c r="S126" s="282" t="str">
        <f t="shared" si="148"/>
        <v>In-Orbit</v>
      </c>
      <c r="T126" s="282" t="s">
        <v>13</v>
      </c>
      <c r="U126" s="303" t="s">
        <v>372</v>
      </c>
      <c r="V126" s="303" t="s">
        <v>29</v>
      </c>
      <c r="W126" s="303" t="s">
        <v>78</v>
      </c>
      <c r="X126" s="303" t="s">
        <v>297</v>
      </c>
      <c r="Y126" s="303" t="s">
        <v>325</v>
      </c>
      <c r="Z126" s="303" t="s">
        <v>337</v>
      </c>
      <c r="AA126" s="308">
        <v>1940659.79057999</v>
      </c>
      <c r="AC126" s="289">
        <f t="shared" si="145"/>
        <v>0</v>
      </c>
      <c r="AD126" s="88" cm="1">
        <f t="array" ref="AD126">IF(AC126=0,0,INDEX(Summary!$S$4:$S$7,MATCH(AC126,Summary!$R$4:$R$7)+1))</f>
        <v>0</v>
      </c>
      <c r="AE126" s="88">
        <f>IFERROR(INDEX(Summary!$Y$4:$Y$6,MATCH('Input Data'!K126,Summary!$U$4:$U$6,0)),0)</f>
        <v>0.05</v>
      </c>
      <c r="AF126" s="88" t="b">
        <f t="shared" si="162"/>
        <v>1</v>
      </c>
      <c r="AG126" s="89">
        <f>IF(AF126,INDEX('IG Equity Share'!$B:$B,MATCH(YEAR(I126),'IG Equity Share'!$A:$A,0)),0)</f>
        <v>7.4999999999999997E-2</v>
      </c>
      <c r="AH126" s="383">
        <f>AJ126*AG126*_xlfn.XLOOKUP(I126,'S3123 Consortium Share'!$A$3:$A$5,'S3123 Consortium Share'!$F$3:$F$5,,-1)</f>
        <v>60645.618455624681</v>
      </c>
      <c r="AI126" s="14">
        <v>1</v>
      </c>
      <c r="AJ126" s="13">
        <f t="shared" si="163"/>
        <v>1940659.79057999</v>
      </c>
      <c r="AK126" s="13">
        <f t="shared" si="164"/>
        <v>1940659.79057999</v>
      </c>
      <c r="AL126" s="13" t="str">
        <f t="shared" si="165"/>
        <v>FUL</v>
      </c>
      <c r="AM126" s="52">
        <f t="shared" si="166"/>
        <v>2025</v>
      </c>
      <c r="AN126" s="4">
        <f>INDEX('[2]Input Data'!$AH:$AH,MATCH(A126,'[2]Input Data'!$A:$A,0),1)-AH126</f>
        <v>0</v>
      </c>
      <c r="AO126" s="13">
        <f t="shared" si="193"/>
        <v>0</v>
      </c>
      <c r="AP126" s="13">
        <f t="shared" si="193"/>
        <v>0</v>
      </c>
      <c r="AQ126" s="13">
        <f t="shared" si="193"/>
        <v>0</v>
      </c>
      <c r="AR126" s="13">
        <f t="shared" si="193"/>
        <v>0</v>
      </c>
      <c r="AS126" s="13">
        <f t="shared" si="193"/>
        <v>0</v>
      </c>
      <c r="AT126" s="13">
        <f t="shared" si="193"/>
        <v>0</v>
      </c>
      <c r="AU126" s="13">
        <f t="shared" si="193"/>
        <v>388131.95811599802</v>
      </c>
      <c r="AV126" s="13">
        <f t="shared" si="192"/>
        <v>0</v>
      </c>
      <c r="AW126" s="13"/>
      <c r="AX126" s="13"/>
      <c r="AY126" s="13">
        <f t="shared" si="147"/>
        <v>388131.95811599802</v>
      </c>
      <c r="AZ126" s="13">
        <f t="shared" si="152"/>
        <v>0</v>
      </c>
      <c r="BA126" s="74"/>
      <c r="BB126" s="25">
        <f t="shared" si="153"/>
        <v>1552527.8324639921</v>
      </c>
      <c r="BC126" s="13">
        <f t="shared" si="154"/>
        <v>0</v>
      </c>
      <c r="BD126" s="13" t="b">
        <f>AND(AF126,NOT(ISNUMBER(MATCH(G126,Table1[Excluded Spacecraft ID],0))))</f>
        <v>1</v>
      </c>
      <c r="BE126" s="13">
        <f>BD126*AK126*_xlfn.XLOOKUP(I126,Table2[Date From],Table2[Cession],"Error",-1)*_xlfn.XLOOKUP(I126,'S3123 Consortium Share'!$A$3:$A$5,'S3123 Consortium Share'!$F$3:$F$5,,-1)</f>
        <v>161721.64921499917</v>
      </c>
      <c r="BF126" s="13">
        <f t="shared" si="155"/>
        <v>1552527.8324639921</v>
      </c>
      <c r="BG126" s="89" cm="1">
        <f t="array" ref="BG126">IF(V126="FIBL",0,INDEX('IGR QS'!$A$1:$D$570,MATCH('Input Data'!V126&amp;'Input Data'!W126&amp;'Input Data'!AM126,'IGR QS'!A:A&amp;'IGR QS'!B:B&amp;'IGR QS'!C:C,0),4))</f>
        <v>0.5</v>
      </c>
      <c r="BH126" s="13">
        <f t="shared" si="156"/>
        <v>776263.91623199603</v>
      </c>
      <c r="BI126" s="13">
        <f t="shared" si="157"/>
        <v>776263.91623199603</v>
      </c>
      <c r="BJ126" s="13">
        <f t="shared" si="167"/>
        <v>0</v>
      </c>
      <c r="BK126" s="13">
        <f t="shared" si="158"/>
        <v>776263.91623199603</v>
      </c>
      <c r="BL126" s="13">
        <f t="shared" si="159"/>
        <v>776263.91623199603</v>
      </c>
      <c r="BM126" s="21"/>
      <c r="BN126" s="13">
        <f t="shared" si="168"/>
        <v>42320200.903406374</v>
      </c>
      <c r="BO126" s="13">
        <f t="shared" si="169"/>
        <v>39234742.262773834</v>
      </c>
      <c r="BP126" s="13">
        <f t="shared" si="170"/>
        <v>3085458.6406325367</v>
      </c>
      <c r="BQ126" s="13">
        <f t="shared" si="171"/>
        <v>50319014.293024875</v>
      </c>
      <c r="BR126" s="13">
        <f t="shared" si="172"/>
        <v>23159803.799107812</v>
      </c>
      <c r="BT126" s="13">
        <f t="shared" si="173"/>
        <v>1552527.8324639921</v>
      </c>
      <c r="BU126" s="13">
        <f t="shared" si="174"/>
        <v>776263.91623199603</v>
      </c>
      <c r="BV126" s="13">
        <f t="shared" si="175"/>
        <v>776263.91623199603</v>
      </c>
      <c r="BW126" s="13">
        <f t="shared" si="176"/>
        <v>388131.95811599802</v>
      </c>
      <c r="BX126" s="13"/>
      <c r="BY126" s="25">
        <f t="shared" si="177"/>
        <v>97032.989528999504</v>
      </c>
      <c r="BZ126" s="25">
        <f t="shared" si="178"/>
        <v>97032.989528999504</v>
      </c>
      <c r="CA126" s="25">
        <f t="shared" si="179"/>
        <v>0</v>
      </c>
      <c r="CB126" s="25">
        <f t="shared" si="180"/>
        <v>0</v>
      </c>
      <c r="CC126" s="25">
        <f t="shared" si="181"/>
        <v>48516.494764499752</v>
      </c>
      <c r="CD126" s="384">
        <f t="shared" si="182"/>
        <v>0</v>
      </c>
      <c r="CR126" s="25">
        <f t="shared" si="183"/>
        <v>388131.95811599802</v>
      </c>
      <c r="CS126" s="25">
        <f t="shared" si="194"/>
        <v>388131.95811599802</v>
      </c>
      <c r="CT126" s="25">
        <f t="shared" si="194"/>
        <v>0</v>
      </c>
      <c r="CU126" s="25">
        <f t="shared" si="184"/>
        <v>0</v>
      </c>
      <c r="CV126" s="25">
        <f t="shared" si="185"/>
        <v>194065.97905799901</v>
      </c>
      <c r="CW126" s="25">
        <f t="shared" si="186"/>
        <v>0</v>
      </c>
      <c r="CY126" s="25">
        <f t="shared" si="187"/>
        <v>97032.989528999504</v>
      </c>
      <c r="CZ126" s="25">
        <f t="shared" si="188"/>
        <v>97032.989528999504</v>
      </c>
      <c r="DA126" s="25">
        <f t="shared" si="195"/>
        <v>0</v>
      </c>
      <c r="DB126" s="25">
        <f t="shared" si="189"/>
        <v>0</v>
      </c>
      <c r="DC126" s="25">
        <f t="shared" si="190"/>
        <v>48516.494764499752</v>
      </c>
      <c r="DD126" s="25">
        <f t="shared" si="191"/>
        <v>0</v>
      </c>
    </row>
    <row r="127" spans="1:108" x14ac:dyDescent="0.35">
      <c r="A127" s="282" t="str">
        <f t="shared" si="143"/>
        <v>362037_496236</v>
      </c>
      <c r="B127" s="303">
        <v>362037</v>
      </c>
      <c r="C127" s="303">
        <v>496236</v>
      </c>
      <c r="D127" s="319" t="str">
        <f>IFERROR(MATCH(C127,'[4]Custom Earning Pattern Not Popu'!$B$5:$B$428,0),"NA")</f>
        <v>NA</v>
      </c>
      <c r="E127" s="303" t="s">
        <v>228</v>
      </c>
      <c r="F127" s="303">
        <v>12</v>
      </c>
      <c r="G127" s="303">
        <v>9609</v>
      </c>
      <c r="H127" s="306">
        <v>42725</v>
      </c>
      <c r="I127" s="306">
        <v>45970</v>
      </c>
      <c r="J127" s="306">
        <v>46334</v>
      </c>
      <c r="K127" s="303" t="s">
        <v>113</v>
      </c>
      <c r="L127" s="306">
        <v>45970</v>
      </c>
      <c r="M127" s="306">
        <v>46334</v>
      </c>
      <c r="N127" s="303" t="s">
        <v>466</v>
      </c>
      <c r="O127" s="303" t="s">
        <v>466</v>
      </c>
      <c r="P127" s="148">
        <f t="shared" si="144"/>
        <v>0.4</v>
      </c>
      <c r="Q127" s="282">
        <v>1</v>
      </c>
      <c r="R127" s="282">
        <v>0</v>
      </c>
      <c r="S127" s="282" t="str">
        <f t="shared" si="148"/>
        <v>In-Orbit</v>
      </c>
      <c r="T127" s="282" t="s">
        <v>13</v>
      </c>
      <c r="U127" s="303" t="s">
        <v>372</v>
      </c>
      <c r="V127" s="303" t="s">
        <v>29</v>
      </c>
      <c r="W127" s="303" t="s">
        <v>78</v>
      </c>
      <c r="X127" s="303" t="s">
        <v>298</v>
      </c>
      <c r="Y127" s="303" t="s">
        <v>325</v>
      </c>
      <c r="Z127" s="303" t="s">
        <v>337</v>
      </c>
      <c r="AA127" s="308">
        <v>1940659.79057999</v>
      </c>
      <c r="AC127" s="289">
        <f t="shared" si="145"/>
        <v>0</v>
      </c>
      <c r="AD127" s="88" cm="1">
        <f t="array" ref="AD127">IF(AC127=0,0,INDEX(Summary!$S$4:$S$7,MATCH(AC127,Summary!$R$4:$R$7)+1))</f>
        <v>0</v>
      </c>
      <c r="AE127" s="88">
        <f>IFERROR(INDEX(Summary!$Y$4:$Y$6,MATCH('Input Data'!K127,Summary!$U$4:$U$6,0)),0)</f>
        <v>0.05</v>
      </c>
      <c r="AF127" s="88" t="b">
        <f t="shared" si="162"/>
        <v>1</v>
      </c>
      <c r="AG127" s="89">
        <f>IF(AF127,INDEX('IG Equity Share'!$B:$B,MATCH(YEAR(I127),'IG Equity Share'!$A:$A,0)),0)</f>
        <v>7.4999999999999997E-2</v>
      </c>
      <c r="AH127" s="383">
        <f>AJ127*AG127*_xlfn.XLOOKUP(I127,'S3123 Consortium Share'!$A$3:$A$5,'S3123 Consortium Share'!$F$3:$F$5,,-1)</f>
        <v>60645.618455624681</v>
      </c>
      <c r="AI127" s="14">
        <v>1</v>
      </c>
      <c r="AJ127" s="13">
        <f t="shared" si="163"/>
        <v>1940659.79057999</v>
      </c>
      <c r="AK127" s="13">
        <f t="shared" si="164"/>
        <v>1940659.79057999</v>
      </c>
      <c r="AL127" s="13" t="str">
        <f t="shared" si="165"/>
        <v>FUL</v>
      </c>
      <c r="AM127" s="52">
        <f t="shared" si="166"/>
        <v>2025</v>
      </c>
      <c r="AN127" s="4"/>
      <c r="AO127" s="13">
        <f t="shared" si="193"/>
        <v>0</v>
      </c>
      <c r="AP127" s="13">
        <f t="shared" si="193"/>
        <v>0</v>
      </c>
      <c r="AQ127" s="13">
        <f t="shared" si="193"/>
        <v>0</v>
      </c>
      <c r="AR127" s="13">
        <f t="shared" si="193"/>
        <v>0</v>
      </c>
      <c r="AS127" s="13">
        <f t="shared" si="193"/>
        <v>0</v>
      </c>
      <c r="AT127" s="13">
        <f t="shared" si="193"/>
        <v>0</v>
      </c>
      <c r="AU127" s="13">
        <f t="shared" si="193"/>
        <v>388131.95811599802</v>
      </c>
      <c r="AV127" s="13">
        <f t="shared" si="192"/>
        <v>0</v>
      </c>
      <c r="AW127" s="13"/>
      <c r="AX127" s="13"/>
      <c r="AY127" s="13">
        <f t="shared" si="147"/>
        <v>388131.95811599802</v>
      </c>
      <c r="AZ127" s="13">
        <f t="shared" si="152"/>
        <v>0</v>
      </c>
      <c r="BA127" s="74"/>
      <c r="BB127" s="25">
        <f t="shared" si="153"/>
        <v>1552527.8324639921</v>
      </c>
      <c r="BC127" s="13">
        <f t="shared" si="154"/>
        <v>0</v>
      </c>
      <c r="BD127" s="13" t="b">
        <f>AND(AF127,NOT(ISNUMBER(MATCH(G127,Table1[Excluded Spacecraft ID],0))))</f>
        <v>1</v>
      </c>
      <c r="BE127" s="13">
        <f>BD127*AK127*_xlfn.XLOOKUP(I127,Table2[Date From],Table2[Cession],"Error",-1)*_xlfn.XLOOKUP(I127,'S3123 Consortium Share'!$A$3:$A$5,'S3123 Consortium Share'!$F$3:$F$5,,-1)</f>
        <v>161721.64921499917</v>
      </c>
      <c r="BF127" s="13">
        <f t="shared" si="155"/>
        <v>1552527.8324639921</v>
      </c>
      <c r="BG127" s="89" cm="1">
        <f t="array" ref="BG127">IF(V127="FIBL",0,INDEX('IGR QS'!$A$1:$D$570,MATCH('Input Data'!V127&amp;'Input Data'!W127&amp;'Input Data'!AM127,'IGR QS'!A:A&amp;'IGR QS'!B:B&amp;'IGR QS'!C:C,0),4))</f>
        <v>0.5</v>
      </c>
      <c r="BH127" s="13">
        <f t="shared" si="156"/>
        <v>776263.91623199603</v>
      </c>
      <c r="BI127" s="13">
        <f t="shared" si="157"/>
        <v>776263.91623199603</v>
      </c>
      <c r="BJ127" s="13">
        <f t="shared" si="167"/>
        <v>0</v>
      </c>
      <c r="BK127" s="13">
        <f t="shared" si="158"/>
        <v>776263.91623199603</v>
      </c>
      <c r="BL127" s="13">
        <f t="shared" si="159"/>
        <v>776263.91623199603</v>
      </c>
      <c r="BM127" s="21"/>
      <c r="BN127" s="13">
        <f t="shared" si="168"/>
        <v>42320200.903406374</v>
      </c>
      <c r="BO127" s="13">
        <f t="shared" si="169"/>
        <v>39234742.262773834</v>
      </c>
      <c r="BP127" s="13">
        <f t="shared" si="170"/>
        <v>3085458.6406325367</v>
      </c>
      <c r="BQ127" s="13">
        <f t="shared" si="171"/>
        <v>50319014.293024875</v>
      </c>
      <c r="BR127" s="13">
        <f t="shared" si="172"/>
        <v>23159803.799107812</v>
      </c>
      <c r="BT127" s="13">
        <f t="shared" si="173"/>
        <v>1552527.8324639921</v>
      </c>
      <c r="BU127" s="13">
        <f t="shared" si="174"/>
        <v>776263.91623199603</v>
      </c>
      <c r="BV127" s="13">
        <f t="shared" si="175"/>
        <v>776263.91623199603</v>
      </c>
      <c r="BW127" s="13">
        <f t="shared" si="176"/>
        <v>388131.95811599802</v>
      </c>
      <c r="BX127" s="13"/>
      <c r="BY127" s="25">
        <f t="shared" si="177"/>
        <v>97032.989528999504</v>
      </c>
      <c r="BZ127" s="25">
        <f t="shared" si="178"/>
        <v>97032.989528999504</v>
      </c>
      <c r="CA127" s="25">
        <f t="shared" si="179"/>
        <v>0</v>
      </c>
      <c r="CB127" s="25">
        <f t="shared" si="180"/>
        <v>0</v>
      </c>
      <c r="CC127" s="25">
        <f t="shared" si="181"/>
        <v>48516.494764499752</v>
      </c>
      <c r="CD127" s="384">
        <f t="shared" si="182"/>
        <v>0</v>
      </c>
      <c r="CR127" s="25">
        <f t="shared" si="183"/>
        <v>388131.95811599802</v>
      </c>
      <c r="CS127" s="25">
        <f t="shared" si="194"/>
        <v>388131.95811599802</v>
      </c>
      <c r="CT127" s="25">
        <f t="shared" si="194"/>
        <v>0</v>
      </c>
      <c r="CU127" s="25">
        <f t="shared" si="184"/>
        <v>0</v>
      </c>
      <c r="CV127" s="25">
        <f t="shared" si="185"/>
        <v>194065.97905799901</v>
      </c>
      <c r="CW127" s="25">
        <f t="shared" si="186"/>
        <v>0</v>
      </c>
      <c r="CY127" s="25">
        <f t="shared" si="187"/>
        <v>97032.989528999504</v>
      </c>
      <c r="CZ127" s="25">
        <f t="shared" si="188"/>
        <v>97032.989528999504</v>
      </c>
      <c r="DA127" s="25">
        <f t="shared" si="195"/>
        <v>0</v>
      </c>
      <c r="DB127" s="25">
        <f t="shared" si="189"/>
        <v>0</v>
      </c>
      <c r="DC127" s="25">
        <f t="shared" si="190"/>
        <v>48516.494764499752</v>
      </c>
      <c r="DD127" s="25">
        <f t="shared" si="191"/>
        <v>0</v>
      </c>
    </row>
    <row r="128" spans="1:108" x14ac:dyDescent="0.35">
      <c r="A128" s="282" t="str">
        <f t="shared" si="143"/>
        <v>363056_498208</v>
      </c>
      <c r="B128" s="303">
        <v>363056</v>
      </c>
      <c r="C128" s="371">
        <v>498208</v>
      </c>
      <c r="D128" s="319">
        <f>IFERROR(MATCH(C128,'[4]Custom Earning Pattern Not Popu'!$B$5:$B$428,0),"NA")</f>
        <v>383</v>
      </c>
      <c r="E128" s="303" t="s">
        <v>13</v>
      </c>
      <c r="F128" s="303" t="s">
        <v>13</v>
      </c>
      <c r="G128" s="303" t="s">
        <v>13</v>
      </c>
      <c r="H128" s="306" t="s">
        <v>13</v>
      </c>
      <c r="I128" s="306">
        <v>46022</v>
      </c>
      <c r="J128" s="306">
        <v>46934</v>
      </c>
      <c r="K128" s="303" t="s">
        <v>13</v>
      </c>
      <c r="L128" s="306">
        <v>46022</v>
      </c>
      <c r="M128" s="306">
        <v>46934</v>
      </c>
      <c r="N128" s="303" t="s">
        <v>13</v>
      </c>
      <c r="O128" s="303" t="s">
        <v>13</v>
      </c>
      <c r="P128" s="148">
        <f t="shared" si="144"/>
        <v>0.8</v>
      </c>
      <c r="Q128" s="282">
        <v>1</v>
      </c>
      <c r="R128" s="282">
        <v>0</v>
      </c>
      <c r="S128" s="282" t="str">
        <f t="shared" si="148"/>
        <v>NULL</v>
      </c>
      <c r="T128" s="282" t="s">
        <v>13</v>
      </c>
      <c r="U128" s="303" t="s">
        <v>553</v>
      </c>
      <c r="V128" s="303" t="s">
        <v>31</v>
      </c>
      <c r="W128" s="303" t="s">
        <v>80</v>
      </c>
      <c r="X128" s="303" t="s">
        <v>13</v>
      </c>
      <c r="Y128" s="303" t="s">
        <v>13</v>
      </c>
      <c r="Z128" s="303" t="s">
        <v>13</v>
      </c>
      <c r="AA128" s="334">
        <f>2860458.55034638*0</f>
        <v>0</v>
      </c>
      <c r="AC128" s="289">
        <f t="shared" si="145"/>
        <v>0</v>
      </c>
      <c r="AD128" s="88" cm="1">
        <f t="array" ref="AD128">IF(AC128=0,0,INDEX(Summary!$S$4:$S$7,MATCH(AC128,Summary!$R$4:$R$7)+1))</f>
        <v>0</v>
      </c>
      <c r="AE128" s="88">
        <f>IFERROR(INDEX(Summary!$Y$4:$Y$6,MATCH('Input Data'!K128,Summary!$U$4:$U$6,0)),0)</f>
        <v>0</v>
      </c>
      <c r="AF128" s="88" t="b">
        <f t="shared" si="162"/>
        <v>1</v>
      </c>
      <c r="AG128" s="89">
        <f>IF(AF128,INDEX('IG Equity Share'!$B:$B,MATCH(YEAR(I128),'IG Equity Share'!$A:$A,0)),0)</f>
        <v>7.4999999999999997E-2</v>
      </c>
      <c r="AH128" s="383">
        <f>AJ128*AG128*_xlfn.XLOOKUP(I128,'S3123 Consortium Share'!$A$3:$A$5,'S3123 Consortium Share'!$F$3:$F$5,,-1)</f>
        <v>0</v>
      </c>
      <c r="AI128" s="14">
        <v>1</v>
      </c>
      <c r="AJ128" s="13">
        <f t="shared" si="163"/>
        <v>0</v>
      </c>
      <c r="AK128" s="13">
        <f t="shared" si="164"/>
        <v>0</v>
      </c>
      <c r="AL128" s="13" t="str">
        <f t="shared" si="165"/>
        <v>FIID</v>
      </c>
      <c r="AM128" s="52">
        <f t="shared" si="166"/>
        <v>2025</v>
      </c>
      <c r="AN128" s="4" t="e">
        <f>INDEX('[2]Input Data'!$AH:$AH,MATCH(A128,'[2]Input Data'!$A:$A,0),1)-AH128</f>
        <v>#N/A</v>
      </c>
      <c r="AO128" s="13">
        <f t="shared" si="193"/>
        <v>0</v>
      </c>
      <c r="AP128" s="13">
        <f t="shared" si="193"/>
        <v>0</v>
      </c>
      <c r="AQ128" s="13">
        <f t="shared" si="193"/>
        <v>0</v>
      </c>
      <c r="AR128" s="13">
        <f t="shared" si="193"/>
        <v>0</v>
      </c>
      <c r="AS128" s="13">
        <f t="shared" si="193"/>
        <v>0</v>
      </c>
      <c r="AT128" s="13">
        <f t="shared" si="193"/>
        <v>0</v>
      </c>
      <c r="AU128" s="13">
        <f t="shared" si="193"/>
        <v>0</v>
      </c>
      <c r="AV128" s="13">
        <f t="shared" si="192"/>
        <v>0</v>
      </c>
      <c r="AW128" s="13"/>
      <c r="AX128" s="13"/>
      <c r="AY128" s="13">
        <f t="shared" si="147"/>
        <v>0</v>
      </c>
      <c r="AZ128" s="13">
        <f t="shared" si="152"/>
        <v>0</v>
      </c>
      <c r="BA128" s="74"/>
      <c r="BB128" s="25">
        <f t="shared" si="153"/>
        <v>0</v>
      </c>
      <c r="BC128" s="13">
        <f t="shared" si="154"/>
        <v>0</v>
      </c>
      <c r="BD128" s="13" t="b">
        <f>AND(AF128,NOT(ISNUMBER(MATCH(G128,Table1[Excluded Spacecraft ID],0))))</f>
        <v>1</v>
      </c>
      <c r="BE128" s="13">
        <f>BD128*AK128*_xlfn.XLOOKUP(I128,Table2[Date From],Table2[Cession],"Error",-1)*_xlfn.XLOOKUP(I128,'S3123 Consortium Share'!$A$3:$A$5,'S3123 Consortium Share'!$F$3:$F$5,,-1)</f>
        <v>0</v>
      </c>
      <c r="BF128" s="13">
        <f t="shared" si="155"/>
        <v>0</v>
      </c>
      <c r="BG128" s="89" cm="1">
        <f t="array" ref="BG128">IF(V128="FIBL",0,INDEX('IGR QS'!$A$1:$D$570,MATCH('Input Data'!V128&amp;'Input Data'!W128&amp;'Input Data'!AM128,'IGR QS'!A:A&amp;'IGR QS'!B:B&amp;'IGR QS'!C:C,0),4))</f>
        <v>0.85</v>
      </c>
      <c r="BH128" s="13">
        <f t="shared" si="156"/>
        <v>0</v>
      </c>
      <c r="BI128" s="13">
        <f t="shared" si="157"/>
        <v>0</v>
      </c>
      <c r="BJ128" s="13">
        <f t="shared" si="167"/>
        <v>0</v>
      </c>
      <c r="BK128" s="13">
        <f t="shared" si="158"/>
        <v>0</v>
      </c>
      <c r="BL128" s="13">
        <f t="shared" si="159"/>
        <v>0</v>
      </c>
      <c r="BM128" s="21"/>
      <c r="BN128" s="13">
        <f t="shared" si="168"/>
        <v>0</v>
      </c>
      <c r="BO128" s="13">
        <f t="shared" si="169"/>
        <v>0</v>
      </c>
      <c r="BP128" s="13">
        <f t="shared" si="170"/>
        <v>0</v>
      </c>
      <c r="BQ128" s="13">
        <f t="shared" si="171"/>
        <v>0</v>
      </c>
      <c r="BR128" s="13">
        <f t="shared" si="172"/>
        <v>0</v>
      </c>
      <c r="BT128" s="13">
        <f t="shared" si="173"/>
        <v>0</v>
      </c>
      <c r="BU128" s="13">
        <f t="shared" si="174"/>
        <v>0</v>
      </c>
      <c r="BV128" s="13">
        <f t="shared" si="175"/>
        <v>0</v>
      </c>
      <c r="BW128" s="13">
        <f t="shared" si="176"/>
        <v>0</v>
      </c>
      <c r="BX128" s="13"/>
      <c r="BY128" s="25">
        <f t="shared" si="177"/>
        <v>0</v>
      </c>
      <c r="BZ128" s="25">
        <f t="shared" si="178"/>
        <v>0</v>
      </c>
      <c r="CA128" s="25">
        <f t="shared" si="179"/>
        <v>0</v>
      </c>
      <c r="CB128" s="25">
        <f t="shared" si="180"/>
        <v>0</v>
      </c>
      <c r="CC128" s="25">
        <f t="shared" si="181"/>
        <v>0</v>
      </c>
      <c r="CD128" s="384">
        <f t="shared" si="182"/>
        <v>0</v>
      </c>
      <c r="CR128" s="25">
        <f t="shared" si="183"/>
        <v>0</v>
      </c>
      <c r="CS128" s="25">
        <f t="shared" si="194"/>
        <v>0</v>
      </c>
      <c r="CT128" s="25">
        <f t="shared" si="194"/>
        <v>0</v>
      </c>
      <c r="CU128" s="25">
        <f t="shared" si="184"/>
        <v>0</v>
      </c>
      <c r="CV128" s="25">
        <f t="shared" si="185"/>
        <v>0</v>
      </c>
      <c r="CW128" s="25">
        <f t="shared" si="186"/>
        <v>0</v>
      </c>
      <c r="CY128" s="25">
        <f t="shared" si="187"/>
        <v>0</v>
      </c>
      <c r="CZ128" s="25">
        <f t="shared" si="188"/>
        <v>0</v>
      </c>
      <c r="DA128" s="25">
        <f t="shared" si="195"/>
        <v>0</v>
      </c>
      <c r="DB128" s="25">
        <f t="shared" si="189"/>
        <v>0</v>
      </c>
      <c r="DC128" s="25">
        <f t="shared" si="190"/>
        <v>0</v>
      </c>
      <c r="DD128" s="25">
        <f t="shared" si="191"/>
        <v>0</v>
      </c>
    </row>
    <row r="129" spans="1:108" x14ac:dyDescent="0.35">
      <c r="A129" s="282" t="str">
        <f t="shared" si="143"/>
        <v>363056_498244</v>
      </c>
      <c r="B129" s="303">
        <v>363056</v>
      </c>
      <c r="C129" s="371">
        <v>498244</v>
      </c>
      <c r="D129" s="319">
        <f>IFERROR(MATCH(C129,'[4]Custom Earning Pattern Not Popu'!$B$5:$B$428,0),"NA")</f>
        <v>386</v>
      </c>
      <c r="E129" s="303" t="s">
        <v>13</v>
      </c>
      <c r="F129" s="303" t="s">
        <v>13</v>
      </c>
      <c r="G129" s="303" t="s">
        <v>13</v>
      </c>
      <c r="H129" s="306" t="s">
        <v>13</v>
      </c>
      <c r="I129" s="306">
        <v>46022</v>
      </c>
      <c r="J129" s="306">
        <v>46934</v>
      </c>
      <c r="K129" s="303" t="s">
        <v>13</v>
      </c>
      <c r="L129" s="306">
        <v>46022</v>
      </c>
      <c r="M129" s="306">
        <v>46934</v>
      </c>
      <c r="N129" s="303" t="s">
        <v>13</v>
      </c>
      <c r="O129" s="303" t="s">
        <v>13</v>
      </c>
      <c r="P129" s="148">
        <f t="shared" si="144"/>
        <v>0.8</v>
      </c>
      <c r="Q129" s="282">
        <v>1</v>
      </c>
      <c r="R129" s="282">
        <v>0</v>
      </c>
      <c r="S129" s="282" t="str">
        <f t="shared" si="148"/>
        <v>NULL</v>
      </c>
      <c r="T129" s="282" t="s">
        <v>13</v>
      </c>
      <c r="U129" s="303" t="s">
        <v>553</v>
      </c>
      <c r="V129" s="303" t="s">
        <v>31</v>
      </c>
      <c r="W129" s="303" t="s">
        <v>80</v>
      </c>
      <c r="X129" s="303" t="s">
        <v>13</v>
      </c>
      <c r="Y129" s="303" t="s">
        <v>13</v>
      </c>
      <c r="Z129" s="303" t="s">
        <v>13</v>
      </c>
      <c r="AA129" s="334">
        <f>2860458.55034638*0</f>
        <v>0</v>
      </c>
      <c r="AC129" s="289">
        <f t="shared" si="145"/>
        <v>0</v>
      </c>
      <c r="AD129" s="88" cm="1">
        <f t="array" ref="AD129">IF(AC129=0,0,INDEX(Summary!$S$4:$S$7,MATCH(AC129,Summary!$R$4:$R$7)+1))</f>
        <v>0</v>
      </c>
      <c r="AE129" s="88">
        <f>IFERROR(INDEX(Summary!$Y$4:$Y$6,MATCH('Input Data'!K129,Summary!$U$4:$U$6,0)),0)</f>
        <v>0</v>
      </c>
      <c r="AF129" s="88" t="b">
        <f t="shared" si="162"/>
        <v>1</v>
      </c>
      <c r="AG129" s="89">
        <f>IF(AF129,INDEX('IG Equity Share'!$B:$B,MATCH(YEAR(I129),'IG Equity Share'!$A:$A,0)),0)</f>
        <v>7.4999999999999997E-2</v>
      </c>
      <c r="AH129" s="383">
        <f>AJ129*AG129*_xlfn.XLOOKUP(I129,'S3123 Consortium Share'!$A$3:$A$5,'S3123 Consortium Share'!$F$3:$F$5,,-1)</f>
        <v>0</v>
      </c>
      <c r="AI129" s="14">
        <v>1</v>
      </c>
      <c r="AJ129" s="13">
        <f t="shared" si="163"/>
        <v>0</v>
      </c>
      <c r="AK129" s="13">
        <f t="shared" si="164"/>
        <v>0</v>
      </c>
      <c r="AL129" s="13" t="str">
        <f t="shared" si="165"/>
        <v>FIID</v>
      </c>
      <c r="AM129" s="52">
        <f t="shared" si="166"/>
        <v>2025</v>
      </c>
      <c r="AN129" s="4" t="e">
        <f>INDEX('[2]Input Data'!$AH:$AH,MATCH(A129,'[2]Input Data'!$A:$A,0),1)-AH129</f>
        <v>#N/A</v>
      </c>
      <c r="AO129" s="13">
        <f t="shared" si="193"/>
        <v>0</v>
      </c>
      <c r="AP129" s="13">
        <f t="shared" si="193"/>
        <v>0</v>
      </c>
      <c r="AQ129" s="13">
        <f t="shared" si="193"/>
        <v>0</v>
      </c>
      <c r="AR129" s="13">
        <f t="shared" si="193"/>
        <v>0</v>
      </c>
      <c r="AS129" s="13">
        <f t="shared" si="193"/>
        <v>0</v>
      </c>
      <c r="AT129" s="13">
        <f t="shared" si="193"/>
        <v>0</v>
      </c>
      <c r="AU129" s="13">
        <f t="shared" si="193"/>
        <v>0</v>
      </c>
      <c r="AV129" s="13">
        <f t="shared" si="192"/>
        <v>0</v>
      </c>
      <c r="AW129" s="13"/>
      <c r="AX129" s="13"/>
      <c r="AY129" s="13">
        <f t="shared" si="147"/>
        <v>0</v>
      </c>
      <c r="AZ129" s="13">
        <f t="shared" si="152"/>
        <v>0</v>
      </c>
      <c r="BA129" s="74"/>
      <c r="BB129" s="25">
        <f t="shared" si="153"/>
        <v>0</v>
      </c>
      <c r="BC129" s="13">
        <f t="shared" si="154"/>
        <v>0</v>
      </c>
      <c r="BD129" s="13" t="b">
        <f>AND(AF129,NOT(ISNUMBER(MATCH(G129,Table1[Excluded Spacecraft ID],0))))</f>
        <v>1</v>
      </c>
      <c r="BE129" s="13">
        <f>BD129*AK129*_xlfn.XLOOKUP(I129,Table2[Date From],Table2[Cession],"Error",-1)*_xlfn.XLOOKUP(I129,'S3123 Consortium Share'!$A$3:$A$5,'S3123 Consortium Share'!$F$3:$F$5,,-1)</f>
        <v>0</v>
      </c>
      <c r="BF129" s="13">
        <f t="shared" si="155"/>
        <v>0</v>
      </c>
      <c r="BG129" s="89" cm="1">
        <f t="array" ref="BG129">IF(V129="FIBL",0,INDEX('IGR QS'!$A$1:$D$570,MATCH('Input Data'!V129&amp;'Input Data'!W129&amp;'Input Data'!AM129,'IGR QS'!A:A&amp;'IGR QS'!B:B&amp;'IGR QS'!C:C,0),4))</f>
        <v>0.85</v>
      </c>
      <c r="BH129" s="13">
        <f t="shared" si="156"/>
        <v>0</v>
      </c>
      <c r="BI129" s="13">
        <f t="shared" si="157"/>
        <v>0</v>
      </c>
      <c r="BJ129" s="13">
        <f t="shared" si="167"/>
        <v>0</v>
      </c>
      <c r="BK129" s="13">
        <f t="shared" si="158"/>
        <v>0</v>
      </c>
      <c r="BL129" s="13">
        <f t="shared" si="159"/>
        <v>0</v>
      </c>
      <c r="BM129" s="21"/>
      <c r="BN129" s="13">
        <f t="shared" si="168"/>
        <v>0</v>
      </c>
      <c r="BO129" s="13">
        <f t="shared" si="169"/>
        <v>0</v>
      </c>
      <c r="BP129" s="13">
        <f t="shared" si="170"/>
        <v>0</v>
      </c>
      <c r="BQ129" s="13">
        <f t="shared" si="171"/>
        <v>0</v>
      </c>
      <c r="BR129" s="13">
        <f t="shared" si="172"/>
        <v>0</v>
      </c>
      <c r="BT129" s="13">
        <f t="shared" si="173"/>
        <v>0</v>
      </c>
      <c r="BU129" s="13">
        <f t="shared" si="174"/>
        <v>0</v>
      </c>
      <c r="BV129" s="13">
        <f t="shared" si="175"/>
        <v>0</v>
      </c>
      <c r="BW129" s="13">
        <f t="shared" si="176"/>
        <v>0</v>
      </c>
      <c r="BX129" s="13"/>
      <c r="BY129" s="25">
        <f t="shared" si="177"/>
        <v>0</v>
      </c>
      <c r="BZ129" s="25">
        <f t="shared" si="178"/>
        <v>0</v>
      </c>
      <c r="CA129" s="25">
        <f t="shared" si="179"/>
        <v>0</v>
      </c>
      <c r="CB129" s="25">
        <f t="shared" si="180"/>
        <v>0</v>
      </c>
      <c r="CC129" s="25">
        <f t="shared" si="181"/>
        <v>0</v>
      </c>
      <c r="CD129" s="384">
        <f t="shared" si="182"/>
        <v>0</v>
      </c>
      <c r="CR129" s="25">
        <f t="shared" si="183"/>
        <v>0</v>
      </c>
      <c r="CS129" s="25">
        <f t="shared" si="194"/>
        <v>0</v>
      </c>
      <c r="CT129" s="25">
        <f t="shared" si="194"/>
        <v>0</v>
      </c>
      <c r="CU129" s="25">
        <f t="shared" si="184"/>
        <v>0</v>
      </c>
      <c r="CV129" s="25">
        <f t="shared" si="185"/>
        <v>0</v>
      </c>
      <c r="CW129" s="25">
        <f t="shared" si="186"/>
        <v>0</v>
      </c>
      <c r="CY129" s="25">
        <f t="shared" si="187"/>
        <v>0</v>
      </c>
      <c r="CZ129" s="25">
        <f t="shared" si="188"/>
        <v>0</v>
      </c>
      <c r="DA129" s="25">
        <f t="shared" si="195"/>
        <v>0</v>
      </c>
      <c r="DB129" s="25">
        <f t="shared" si="189"/>
        <v>0</v>
      </c>
      <c r="DC129" s="25">
        <f t="shared" si="190"/>
        <v>0</v>
      </c>
      <c r="DD129" s="25">
        <f t="shared" si="191"/>
        <v>0</v>
      </c>
    </row>
    <row r="130" spans="1:108" x14ac:dyDescent="0.35">
      <c r="A130" s="282" t="str">
        <f t="shared" si="143"/>
        <v>364260_500084</v>
      </c>
      <c r="B130" s="303">
        <v>364260</v>
      </c>
      <c r="C130" s="303">
        <v>500084</v>
      </c>
      <c r="D130" s="319" t="str">
        <f>IFERROR(MATCH(C130,'[4]Custom Earning Pattern Not Popu'!$B$5:$B$428,0),"NA")</f>
        <v>NA</v>
      </c>
      <c r="E130" s="303" t="s">
        <v>228</v>
      </c>
      <c r="F130" s="303">
        <v>12</v>
      </c>
      <c r="G130" s="303">
        <v>8878</v>
      </c>
      <c r="H130" s="306">
        <v>41312</v>
      </c>
      <c r="I130" s="306">
        <v>46054</v>
      </c>
      <c r="J130" s="306">
        <v>46418</v>
      </c>
      <c r="K130" s="303" t="s">
        <v>113</v>
      </c>
      <c r="L130" s="306">
        <v>46054</v>
      </c>
      <c r="M130" s="306">
        <v>46418</v>
      </c>
      <c r="N130" s="303" t="s">
        <v>238</v>
      </c>
      <c r="O130" s="303" t="s">
        <v>238</v>
      </c>
      <c r="P130" s="148">
        <f t="shared" si="144"/>
        <v>0.4</v>
      </c>
      <c r="Q130" s="282">
        <v>1</v>
      </c>
      <c r="R130" s="282">
        <v>0</v>
      </c>
      <c r="S130" s="282" t="str">
        <f t="shared" si="148"/>
        <v>In-Orbit</v>
      </c>
      <c r="T130" s="282" t="s">
        <v>13</v>
      </c>
      <c r="U130" s="303" t="s">
        <v>350</v>
      </c>
      <c r="V130" s="303" t="s">
        <v>29</v>
      </c>
      <c r="W130" s="303" t="s">
        <v>78</v>
      </c>
      <c r="X130" s="303" t="s">
        <v>307</v>
      </c>
      <c r="Y130" s="303" t="s">
        <v>329</v>
      </c>
      <c r="Z130" s="303" t="s">
        <v>337</v>
      </c>
      <c r="AA130" s="308">
        <v>6576079.0788000003</v>
      </c>
      <c r="AC130" s="289">
        <f t="shared" si="145"/>
        <v>0</v>
      </c>
      <c r="AD130" s="88" cm="1">
        <f t="array" ref="AD130">IF(AC130=0,0,INDEX(Summary!$S$4:$S$7,MATCH(AC130,Summary!$R$4:$R$7)+1))</f>
        <v>0</v>
      </c>
      <c r="AE130" s="88">
        <f>IFERROR(INDEX(Summary!$Y$4:$Y$6,MATCH('Input Data'!K130,Summary!$U$4:$U$6,0)),0)</f>
        <v>0.05</v>
      </c>
      <c r="AF130" s="88" t="b">
        <f t="shared" si="162"/>
        <v>1</v>
      </c>
      <c r="AG130" s="89">
        <f>IF(AF130,INDEX('IG Equity Share'!$B:$B,MATCH(YEAR(I130),'IG Equity Share'!$A:$A,0)),0)</f>
        <v>7.4999999999999997E-2</v>
      </c>
      <c r="AH130" s="383">
        <f>AJ130*AG130*_xlfn.XLOOKUP(I130,'S3123 Consortium Share'!$A$3:$A$5,'S3123 Consortium Share'!$F$3:$F$5,,-1)</f>
        <v>246602.965455</v>
      </c>
      <c r="AI130" s="14">
        <v>1</v>
      </c>
      <c r="AJ130" s="13">
        <f t="shared" si="163"/>
        <v>6576079.0788000003</v>
      </c>
      <c r="AK130" s="13">
        <f t="shared" si="164"/>
        <v>6576079.0788000003</v>
      </c>
      <c r="AL130" s="13" t="str">
        <f t="shared" si="165"/>
        <v>FUL</v>
      </c>
      <c r="AM130" s="52">
        <f t="shared" si="166"/>
        <v>2026</v>
      </c>
      <c r="AN130" s="4"/>
      <c r="AO130" s="13">
        <f t="shared" ref="AO130:AU139" si="196">+IF(AND($I130&lt;=AO$8,$I130&gt;=AO$7),$AK130*AO$11,0)</f>
        <v>0</v>
      </c>
      <c r="AP130" s="13">
        <f t="shared" si="196"/>
        <v>0</v>
      </c>
      <c r="AQ130" s="13">
        <f t="shared" si="196"/>
        <v>0</v>
      </c>
      <c r="AR130" s="13">
        <f t="shared" si="196"/>
        <v>0</v>
      </c>
      <c r="AS130" s="13">
        <f t="shared" si="196"/>
        <v>0</v>
      </c>
      <c r="AT130" s="13">
        <f t="shared" si="196"/>
        <v>0</v>
      </c>
      <c r="AU130" s="13">
        <f t="shared" si="196"/>
        <v>0</v>
      </c>
      <c r="AV130" s="13">
        <f t="shared" si="192"/>
        <v>1315215.8157600001</v>
      </c>
      <c r="AW130" s="13"/>
      <c r="AX130" s="13"/>
      <c r="AY130" s="13">
        <f t="shared" si="147"/>
        <v>1315215.8157600001</v>
      </c>
      <c r="AZ130" s="13">
        <f t="shared" si="152"/>
        <v>0</v>
      </c>
      <c r="BA130" s="74"/>
      <c r="BB130" s="25">
        <f t="shared" si="153"/>
        <v>5260863.2630400006</v>
      </c>
      <c r="BC130" s="13">
        <f t="shared" si="154"/>
        <v>0</v>
      </c>
      <c r="BD130" s="13" t="b">
        <f>AND(AF130,NOT(ISNUMBER(MATCH(G130,Table1[Excluded Spacecraft ID],0))))</f>
        <v>1</v>
      </c>
      <c r="BE130" s="13">
        <f>BD130*AK130*_xlfn.XLOOKUP(I130,Table2[Date From],Table2[Cession],"Error",-1)*_xlfn.XLOOKUP(I130,'S3123 Consortium Share'!$A$3:$A$5,'S3123 Consortium Share'!$F$3:$F$5,,-1)</f>
        <v>657607.90788000007</v>
      </c>
      <c r="BF130" s="13">
        <f t="shared" si="155"/>
        <v>5260863.2630400006</v>
      </c>
      <c r="BG130" s="89" cm="1">
        <f t="array" ref="BG130">IF(V130="FIBL",0,INDEX('IGR QS'!$A$1:$D$570,MATCH('Input Data'!V130&amp;'Input Data'!W130&amp;'Input Data'!AM130,'IGR QS'!A:A&amp;'IGR QS'!B:B&amp;'IGR QS'!C:C,0),4))</f>
        <v>0.5</v>
      </c>
      <c r="BH130" s="13">
        <f t="shared" si="156"/>
        <v>2630431.6315200003</v>
      </c>
      <c r="BI130" s="13">
        <f t="shared" si="157"/>
        <v>2630431.6315200003</v>
      </c>
      <c r="BJ130" s="13">
        <f t="shared" si="167"/>
        <v>0</v>
      </c>
      <c r="BK130" s="13">
        <f t="shared" si="158"/>
        <v>2630431.6315200003</v>
      </c>
      <c r="BL130" s="13">
        <f t="shared" si="159"/>
        <v>2630431.6315200003</v>
      </c>
      <c r="BM130" s="21"/>
      <c r="BN130" s="13">
        <f t="shared" si="168"/>
        <v>3308663.1195200002</v>
      </c>
      <c r="BO130" s="13">
        <f t="shared" si="169"/>
        <v>3026307.91952</v>
      </c>
      <c r="BP130" s="13">
        <f t="shared" si="170"/>
        <v>282355.19999999995</v>
      </c>
      <c r="BQ130" s="13">
        <f t="shared" si="171"/>
        <v>4626320.7195199998</v>
      </c>
      <c r="BR130" s="13">
        <f t="shared" si="172"/>
        <v>1983745.95976</v>
      </c>
      <c r="BT130" s="13">
        <f t="shared" si="173"/>
        <v>5260863.2630400006</v>
      </c>
      <c r="BU130" s="13">
        <f t="shared" si="174"/>
        <v>2630431.6315200003</v>
      </c>
      <c r="BV130" s="13">
        <f t="shared" si="175"/>
        <v>2630431.6315200003</v>
      </c>
      <c r="BW130" s="13">
        <f t="shared" si="176"/>
        <v>1315215.8157600001</v>
      </c>
      <c r="BX130" s="13"/>
      <c r="BY130" s="25">
        <f t="shared" si="177"/>
        <v>328803.95394000004</v>
      </c>
      <c r="BZ130" s="25">
        <f t="shared" si="178"/>
        <v>328803.95394000004</v>
      </c>
      <c r="CA130" s="25">
        <f t="shared" si="179"/>
        <v>0</v>
      </c>
      <c r="CB130" s="25">
        <f t="shared" si="180"/>
        <v>0</v>
      </c>
      <c r="CC130" s="25">
        <f t="shared" si="181"/>
        <v>164401.97697000002</v>
      </c>
      <c r="CD130" s="384">
        <f t="shared" si="182"/>
        <v>0</v>
      </c>
      <c r="CR130" s="25">
        <f t="shared" si="183"/>
        <v>1315215.8157600001</v>
      </c>
      <c r="CS130" s="25">
        <f t="shared" si="194"/>
        <v>1315215.8157600001</v>
      </c>
      <c r="CT130" s="25">
        <f t="shared" si="194"/>
        <v>0</v>
      </c>
      <c r="CU130" s="25">
        <f t="shared" si="184"/>
        <v>0</v>
      </c>
      <c r="CV130" s="25">
        <f t="shared" si="185"/>
        <v>657607.90788000007</v>
      </c>
      <c r="CW130" s="25">
        <f t="shared" si="186"/>
        <v>0</v>
      </c>
      <c r="CY130" s="25">
        <f t="shared" si="187"/>
        <v>328803.95394000004</v>
      </c>
      <c r="CZ130" s="25">
        <f t="shared" si="188"/>
        <v>328803.95394000004</v>
      </c>
      <c r="DA130" s="25">
        <f t="shared" si="195"/>
        <v>0</v>
      </c>
      <c r="DB130" s="25">
        <f t="shared" si="189"/>
        <v>0</v>
      </c>
      <c r="DC130" s="25">
        <f t="shared" si="190"/>
        <v>164401.97697000002</v>
      </c>
      <c r="DD130" s="25">
        <f t="shared" si="191"/>
        <v>0</v>
      </c>
    </row>
    <row r="131" spans="1:108" x14ac:dyDescent="0.35">
      <c r="A131" s="282" t="str">
        <f t="shared" si="143"/>
        <v>364280_500128</v>
      </c>
      <c r="B131" s="303">
        <v>364280</v>
      </c>
      <c r="C131" s="303">
        <v>500128</v>
      </c>
      <c r="D131" s="319" t="str">
        <f>IFERROR(MATCH(C131,'[4]Custom Earning Pattern Not Popu'!$B$5:$B$428,0),"NA")</f>
        <v>NA</v>
      </c>
      <c r="E131" s="303" t="s">
        <v>228</v>
      </c>
      <c r="F131" s="303">
        <v>12</v>
      </c>
      <c r="G131" s="303">
        <v>9671</v>
      </c>
      <c r="H131" s="306">
        <v>42496</v>
      </c>
      <c r="I131" s="306">
        <v>46054</v>
      </c>
      <c r="J131" s="306">
        <v>46418</v>
      </c>
      <c r="K131" s="303" t="s">
        <v>113</v>
      </c>
      <c r="L131" s="306">
        <v>46054</v>
      </c>
      <c r="M131" s="306">
        <v>46418</v>
      </c>
      <c r="N131" s="303" t="s">
        <v>466</v>
      </c>
      <c r="O131" s="303" t="s">
        <v>466</v>
      </c>
      <c r="P131" s="148">
        <f t="shared" si="144"/>
        <v>0.4</v>
      </c>
      <c r="Q131" s="282">
        <v>1</v>
      </c>
      <c r="R131" s="282">
        <v>0</v>
      </c>
      <c r="S131" s="282" t="str">
        <f t="shared" si="148"/>
        <v>In-Orbit</v>
      </c>
      <c r="T131" s="282" t="s">
        <v>13</v>
      </c>
      <c r="U131" s="303" t="s">
        <v>554</v>
      </c>
      <c r="V131" s="303" t="s">
        <v>29</v>
      </c>
      <c r="W131" s="303" t="s">
        <v>78</v>
      </c>
      <c r="X131" s="303" t="s">
        <v>308</v>
      </c>
      <c r="Y131" s="303" t="s">
        <v>325</v>
      </c>
      <c r="Z131" s="303" t="s">
        <v>338</v>
      </c>
      <c r="AA131" s="308">
        <v>627113.02780526399</v>
      </c>
      <c r="AC131" s="289">
        <f t="shared" si="145"/>
        <v>0</v>
      </c>
      <c r="AD131" s="88" cm="1">
        <f t="array" ref="AD131">IF(AC131=0,0,INDEX(Summary!$S$4:$S$7,MATCH(AC131,Summary!$R$4:$R$7)+1))</f>
        <v>0</v>
      </c>
      <c r="AE131" s="88">
        <f>IFERROR(INDEX(Summary!$Y$4:$Y$6,MATCH('Input Data'!K131,Summary!$U$4:$U$6,0)),0)</f>
        <v>0.05</v>
      </c>
      <c r="AF131" s="88" t="b">
        <f t="shared" si="162"/>
        <v>1</v>
      </c>
      <c r="AG131" s="89">
        <f>IF(AF131,INDEX('IG Equity Share'!$B:$B,MATCH(YEAR(I131),'IG Equity Share'!$A:$A,0)),0)</f>
        <v>7.4999999999999997E-2</v>
      </c>
      <c r="AH131" s="383">
        <f>AJ131*AG131*_xlfn.XLOOKUP(I131,'S3123 Consortium Share'!$A$3:$A$5,'S3123 Consortium Share'!$F$3:$F$5,,-1)</f>
        <v>23516.7385426974</v>
      </c>
      <c r="AI131" s="14">
        <v>1</v>
      </c>
      <c r="AJ131" s="13">
        <f t="shared" si="163"/>
        <v>627113.02780526399</v>
      </c>
      <c r="AK131" s="13">
        <f t="shared" si="164"/>
        <v>627113.02780526399</v>
      </c>
      <c r="AL131" s="13" t="str">
        <f t="shared" si="165"/>
        <v>FUL</v>
      </c>
      <c r="AM131" s="52">
        <f t="shared" si="166"/>
        <v>2026</v>
      </c>
      <c r="AN131" s="4"/>
      <c r="AO131" s="13">
        <f t="shared" si="196"/>
        <v>0</v>
      </c>
      <c r="AP131" s="13">
        <f t="shared" si="196"/>
        <v>0</v>
      </c>
      <c r="AQ131" s="13">
        <f t="shared" si="196"/>
        <v>0</v>
      </c>
      <c r="AR131" s="13">
        <f t="shared" si="196"/>
        <v>0</v>
      </c>
      <c r="AS131" s="13">
        <f t="shared" si="196"/>
        <v>0</v>
      </c>
      <c r="AT131" s="13">
        <f t="shared" si="196"/>
        <v>0</v>
      </c>
      <c r="AU131" s="13">
        <f t="shared" si="196"/>
        <v>0</v>
      </c>
      <c r="AV131" s="13">
        <f t="shared" si="192"/>
        <v>125422.6055610528</v>
      </c>
      <c r="AW131" s="13"/>
      <c r="AX131" s="13"/>
      <c r="AY131" s="13">
        <f t="shared" si="147"/>
        <v>125422.6055610528</v>
      </c>
      <c r="AZ131" s="13">
        <f t="shared" si="152"/>
        <v>0</v>
      </c>
      <c r="BA131" s="74"/>
      <c r="BB131" s="25">
        <f t="shared" si="153"/>
        <v>501690.42224421119</v>
      </c>
      <c r="BC131" s="13">
        <f t="shared" si="154"/>
        <v>0</v>
      </c>
      <c r="BD131" s="13" t="b">
        <f>AND(AF131,NOT(ISNUMBER(MATCH(G131,Table1[Excluded Spacecraft ID],0))))</f>
        <v>1</v>
      </c>
      <c r="BE131" s="13">
        <f>BD131*AK131*_xlfn.XLOOKUP(I131,Table2[Date From],Table2[Cession],"Error",-1)*_xlfn.XLOOKUP(I131,'S3123 Consortium Share'!$A$3:$A$5,'S3123 Consortium Share'!$F$3:$F$5,,-1)</f>
        <v>62711.302780526399</v>
      </c>
      <c r="BF131" s="13">
        <f t="shared" si="155"/>
        <v>501690.42224421119</v>
      </c>
      <c r="BG131" s="89" cm="1">
        <f t="array" ref="BG131">IF(V131="FIBL",0,INDEX('IGR QS'!$A$1:$D$570,MATCH('Input Data'!V131&amp;'Input Data'!W131&amp;'Input Data'!AM131,'IGR QS'!A:A&amp;'IGR QS'!B:B&amp;'IGR QS'!C:C,0),4))</f>
        <v>0.5</v>
      </c>
      <c r="BH131" s="13">
        <f t="shared" si="156"/>
        <v>250845.2111221056</v>
      </c>
      <c r="BI131" s="13">
        <f t="shared" si="157"/>
        <v>250845.2111221056</v>
      </c>
      <c r="BJ131" s="13">
        <f t="shared" si="167"/>
        <v>0</v>
      </c>
      <c r="BK131" s="13">
        <f t="shared" si="158"/>
        <v>250845.2111221056</v>
      </c>
      <c r="BL131" s="13">
        <f t="shared" si="159"/>
        <v>250845.2111221056</v>
      </c>
      <c r="BM131" s="21"/>
      <c r="BN131" s="13">
        <f t="shared" si="168"/>
        <v>42320200.903406374</v>
      </c>
      <c r="BO131" s="13">
        <f t="shared" si="169"/>
        <v>39234742.262773834</v>
      </c>
      <c r="BP131" s="13">
        <f t="shared" si="170"/>
        <v>3085458.6406325367</v>
      </c>
      <c r="BQ131" s="13">
        <f t="shared" si="171"/>
        <v>50319014.293024875</v>
      </c>
      <c r="BR131" s="13">
        <f t="shared" si="172"/>
        <v>23159803.799107812</v>
      </c>
      <c r="BT131" s="13">
        <f t="shared" si="173"/>
        <v>501690.42224421119</v>
      </c>
      <c r="BU131" s="13">
        <f t="shared" si="174"/>
        <v>250845.2111221056</v>
      </c>
      <c r="BV131" s="13">
        <f t="shared" si="175"/>
        <v>250845.2111221056</v>
      </c>
      <c r="BW131" s="13">
        <f t="shared" si="176"/>
        <v>125422.6055610528</v>
      </c>
      <c r="BX131" s="13"/>
      <c r="BY131" s="25">
        <f t="shared" si="177"/>
        <v>31355.6513902632</v>
      </c>
      <c r="BZ131" s="25">
        <f t="shared" si="178"/>
        <v>31355.6513902632</v>
      </c>
      <c r="CA131" s="25">
        <f t="shared" si="179"/>
        <v>0</v>
      </c>
      <c r="CB131" s="25">
        <f t="shared" si="180"/>
        <v>0</v>
      </c>
      <c r="CC131" s="25">
        <f t="shared" si="181"/>
        <v>15677.8256951316</v>
      </c>
      <c r="CD131" s="384">
        <f t="shared" si="182"/>
        <v>0</v>
      </c>
      <c r="CR131" s="25">
        <f t="shared" si="183"/>
        <v>125422.6055610528</v>
      </c>
      <c r="CS131" s="25">
        <f t="shared" si="194"/>
        <v>125422.6055610528</v>
      </c>
      <c r="CT131" s="25">
        <f t="shared" si="194"/>
        <v>0</v>
      </c>
      <c r="CU131" s="25">
        <f t="shared" si="184"/>
        <v>0</v>
      </c>
      <c r="CV131" s="25">
        <f t="shared" si="185"/>
        <v>62711.302780526399</v>
      </c>
      <c r="CW131" s="25">
        <f t="shared" si="186"/>
        <v>0</v>
      </c>
      <c r="CY131" s="25">
        <f t="shared" si="187"/>
        <v>31355.6513902632</v>
      </c>
      <c r="CZ131" s="25">
        <f t="shared" si="188"/>
        <v>31355.6513902632</v>
      </c>
      <c r="DA131" s="25">
        <f t="shared" si="195"/>
        <v>0</v>
      </c>
      <c r="DB131" s="25">
        <f t="shared" si="189"/>
        <v>0</v>
      </c>
      <c r="DC131" s="25">
        <f t="shared" si="190"/>
        <v>15677.8256951316</v>
      </c>
      <c r="DD131" s="25">
        <f t="shared" si="191"/>
        <v>0</v>
      </c>
    </row>
    <row r="132" spans="1:108" x14ac:dyDescent="0.35">
      <c r="A132" s="282" t="str">
        <f t="shared" si="143"/>
        <v>364280_500129</v>
      </c>
      <c r="B132" s="303">
        <v>364280</v>
      </c>
      <c r="C132" s="303">
        <v>500129</v>
      </c>
      <c r="D132" s="319" t="str">
        <f>IFERROR(MATCH(C132,'[4]Custom Earning Pattern Not Popu'!$B$5:$B$428,0),"NA")</f>
        <v>NA</v>
      </c>
      <c r="E132" s="303" t="s">
        <v>228</v>
      </c>
      <c r="F132" s="303">
        <v>12</v>
      </c>
      <c r="G132" s="303">
        <v>11838</v>
      </c>
      <c r="H132" s="306">
        <v>43816</v>
      </c>
      <c r="I132" s="306">
        <v>46054</v>
      </c>
      <c r="J132" s="306">
        <v>46418</v>
      </c>
      <c r="K132" s="303" t="s">
        <v>113</v>
      </c>
      <c r="L132" s="306">
        <v>46054</v>
      </c>
      <c r="M132" s="306">
        <v>46418</v>
      </c>
      <c r="N132" s="303" t="s">
        <v>233</v>
      </c>
      <c r="O132" s="303" t="s">
        <v>233</v>
      </c>
      <c r="P132" s="148">
        <f t="shared" si="144"/>
        <v>0.4</v>
      </c>
      <c r="Q132" s="282">
        <v>1</v>
      </c>
      <c r="R132" s="282">
        <v>0</v>
      </c>
      <c r="S132" s="282" t="str">
        <f t="shared" si="148"/>
        <v>In-Orbit</v>
      </c>
      <c r="T132" s="282" t="s">
        <v>13</v>
      </c>
      <c r="U132" s="303" t="s">
        <v>554</v>
      </c>
      <c r="V132" s="303" t="s">
        <v>29</v>
      </c>
      <c r="W132" s="303" t="s">
        <v>78</v>
      </c>
      <c r="X132" s="303" t="s">
        <v>311</v>
      </c>
      <c r="Y132" s="303" t="s">
        <v>326</v>
      </c>
      <c r="Z132" s="303" t="s">
        <v>338</v>
      </c>
      <c r="AA132" s="308">
        <v>1316631.07608199</v>
      </c>
      <c r="AC132" s="289">
        <f t="shared" si="145"/>
        <v>0</v>
      </c>
      <c r="AD132" s="88" cm="1">
        <f t="array" ref="AD132">IF(AC132=0,0,INDEX(Summary!$S$4:$S$7,MATCH(AC132,Summary!$R$4:$R$7)+1))</f>
        <v>0</v>
      </c>
      <c r="AE132" s="88">
        <f>IFERROR(INDEX(Summary!$Y$4:$Y$6,MATCH('Input Data'!K132,Summary!$U$4:$U$6,0)),0)</f>
        <v>0.05</v>
      </c>
      <c r="AF132" s="88" t="b">
        <f t="shared" si="162"/>
        <v>1</v>
      </c>
      <c r="AG132" s="89">
        <f>IF(AF132,INDEX('IG Equity Share'!$B:$B,MATCH(YEAR(I132),'IG Equity Share'!$A:$A,0)),0)</f>
        <v>7.4999999999999997E-2</v>
      </c>
      <c r="AH132" s="383">
        <f>AJ132*AG132*_xlfn.XLOOKUP(I132,'S3123 Consortium Share'!$A$3:$A$5,'S3123 Consortium Share'!$F$3:$F$5,,-1)</f>
        <v>49373.665353074626</v>
      </c>
      <c r="AI132" s="14">
        <v>1</v>
      </c>
      <c r="AJ132" s="13">
        <f t="shared" si="163"/>
        <v>1316631.07608199</v>
      </c>
      <c r="AK132" s="13">
        <f t="shared" si="164"/>
        <v>1316631.07608199</v>
      </c>
      <c r="AL132" s="13" t="str">
        <f t="shared" si="165"/>
        <v>FUL</v>
      </c>
      <c r="AM132" s="52">
        <f t="shared" si="166"/>
        <v>2026</v>
      </c>
      <c r="AN132" s="4"/>
      <c r="AO132" s="13">
        <f t="shared" si="196"/>
        <v>0</v>
      </c>
      <c r="AP132" s="13">
        <f t="shared" si="196"/>
        <v>0</v>
      </c>
      <c r="AQ132" s="13">
        <f t="shared" si="196"/>
        <v>0</v>
      </c>
      <c r="AR132" s="13">
        <f t="shared" si="196"/>
        <v>0</v>
      </c>
      <c r="AS132" s="13">
        <f t="shared" si="196"/>
        <v>0</v>
      </c>
      <c r="AT132" s="13">
        <f t="shared" si="196"/>
        <v>0</v>
      </c>
      <c r="AU132" s="13">
        <f t="shared" si="196"/>
        <v>0</v>
      </c>
      <c r="AV132" s="13">
        <f t="shared" si="192"/>
        <v>263326.21521639801</v>
      </c>
      <c r="AW132" s="13"/>
      <c r="AX132" s="13"/>
      <c r="AY132" s="13">
        <f t="shared" si="147"/>
        <v>263326.21521639801</v>
      </c>
      <c r="AZ132" s="13">
        <f t="shared" si="152"/>
        <v>0</v>
      </c>
      <c r="BA132" s="74"/>
      <c r="BB132" s="25">
        <f t="shared" si="153"/>
        <v>1053304.860865592</v>
      </c>
      <c r="BC132" s="13">
        <f t="shared" si="154"/>
        <v>0</v>
      </c>
      <c r="BD132" s="13" t="b">
        <f>AND(AF132,NOT(ISNUMBER(MATCH(G132,Table1[Excluded Spacecraft ID],0))))</f>
        <v>1</v>
      </c>
      <c r="BE132" s="13">
        <f>BD132*AK132*_xlfn.XLOOKUP(I132,Table2[Date From],Table2[Cession],"Error",-1)*_xlfn.XLOOKUP(I132,'S3123 Consortium Share'!$A$3:$A$5,'S3123 Consortium Share'!$F$3:$F$5,,-1)</f>
        <v>131663.107608199</v>
      </c>
      <c r="BF132" s="13">
        <f t="shared" si="155"/>
        <v>1053304.860865592</v>
      </c>
      <c r="BG132" s="89" cm="1">
        <f t="array" ref="BG132">IF(V132="FIBL",0,INDEX('IGR QS'!$A$1:$D$570,MATCH('Input Data'!V132&amp;'Input Data'!W132&amp;'Input Data'!AM132,'IGR QS'!A:A&amp;'IGR QS'!B:B&amp;'IGR QS'!C:C,0),4))</f>
        <v>0.5</v>
      </c>
      <c r="BH132" s="13">
        <f t="shared" si="156"/>
        <v>526652.43043279601</v>
      </c>
      <c r="BI132" s="13">
        <f t="shared" si="157"/>
        <v>526652.43043279601</v>
      </c>
      <c r="BJ132" s="13">
        <f t="shared" si="167"/>
        <v>0</v>
      </c>
      <c r="BK132" s="13">
        <f t="shared" si="158"/>
        <v>526652.43043279601</v>
      </c>
      <c r="BL132" s="13">
        <f t="shared" si="159"/>
        <v>526652.43043279601</v>
      </c>
      <c r="BM132" s="21"/>
      <c r="BN132" s="13">
        <f t="shared" si="168"/>
        <v>45548263.152736805</v>
      </c>
      <c r="BO132" s="13">
        <f t="shared" si="169"/>
        <v>44546986.968158349</v>
      </c>
      <c r="BP132" s="13">
        <f t="shared" si="170"/>
        <v>1001276.1845784616</v>
      </c>
      <c r="BQ132" s="13">
        <f t="shared" si="171"/>
        <v>44620885.187436298</v>
      </c>
      <c r="BR132" s="13">
        <f t="shared" si="172"/>
        <v>22542287.085043281</v>
      </c>
      <c r="BT132" s="13">
        <f t="shared" si="173"/>
        <v>1053304.860865592</v>
      </c>
      <c r="BU132" s="13">
        <f t="shared" si="174"/>
        <v>526652.43043279601</v>
      </c>
      <c r="BV132" s="13">
        <f t="shared" si="175"/>
        <v>526652.43043279601</v>
      </c>
      <c r="BW132" s="13">
        <f t="shared" si="176"/>
        <v>263326.21521639801</v>
      </c>
      <c r="BX132" s="13"/>
      <c r="BY132" s="25">
        <f t="shared" si="177"/>
        <v>65831.553804099502</v>
      </c>
      <c r="BZ132" s="25">
        <f t="shared" si="178"/>
        <v>65831.553804099502</v>
      </c>
      <c r="CA132" s="25">
        <f t="shared" si="179"/>
        <v>0</v>
      </c>
      <c r="CB132" s="25">
        <f t="shared" si="180"/>
        <v>0</v>
      </c>
      <c r="CC132" s="25">
        <f t="shared" si="181"/>
        <v>32915.776902049751</v>
      </c>
      <c r="CD132" s="384">
        <f t="shared" si="182"/>
        <v>0</v>
      </c>
      <c r="CR132" s="25">
        <f t="shared" si="183"/>
        <v>263326.21521639801</v>
      </c>
      <c r="CS132" s="25">
        <f t="shared" si="194"/>
        <v>263326.21521639801</v>
      </c>
      <c r="CT132" s="25">
        <f t="shared" si="194"/>
        <v>0</v>
      </c>
      <c r="CU132" s="25">
        <f t="shared" si="184"/>
        <v>0</v>
      </c>
      <c r="CV132" s="25">
        <f t="shared" si="185"/>
        <v>131663.107608199</v>
      </c>
      <c r="CW132" s="25">
        <f t="shared" si="186"/>
        <v>0</v>
      </c>
      <c r="CY132" s="25">
        <f t="shared" si="187"/>
        <v>65831.553804099502</v>
      </c>
      <c r="CZ132" s="25">
        <f t="shared" si="188"/>
        <v>65831.553804099502</v>
      </c>
      <c r="DA132" s="25">
        <f t="shared" si="195"/>
        <v>0</v>
      </c>
      <c r="DB132" s="25">
        <f t="shared" si="189"/>
        <v>0</v>
      </c>
      <c r="DC132" s="25">
        <f t="shared" si="190"/>
        <v>32915.776902049751</v>
      </c>
      <c r="DD132" s="25">
        <f t="shared" si="191"/>
        <v>0</v>
      </c>
    </row>
    <row r="133" spans="1:108" x14ac:dyDescent="0.35">
      <c r="A133" s="282" t="str">
        <f t="shared" si="143"/>
        <v>364280_500130</v>
      </c>
      <c r="B133" s="303">
        <v>364280</v>
      </c>
      <c r="C133" s="303">
        <v>500130</v>
      </c>
      <c r="D133" s="319" t="str">
        <f>IFERROR(MATCH(C133,'[4]Custom Earning Pattern Not Popu'!$B$5:$B$428,0),"NA")</f>
        <v>NA</v>
      </c>
      <c r="E133" s="303" t="s">
        <v>228</v>
      </c>
      <c r="F133" s="303">
        <v>12</v>
      </c>
      <c r="G133" s="303">
        <v>9985</v>
      </c>
      <c r="H133" s="306">
        <v>42596</v>
      </c>
      <c r="I133" s="306">
        <v>46054</v>
      </c>
      <c r="J133" s="306">
        <v>46418</v>
      </c>
      <c r="K133" s="303" t="s">
        <v>113</v>
      </c>
      <c r="L133" s="306">
        <v>46054</v>
      </c>
      <c r="M133" s="306">
        <v>46418</v>
      </c>
      <c r="N133" s="303" t="s">
        <v>466</v>
      </c>
      <c r="O133" s="303" t="s">
        <v>466</v>
      </c>
      <c r="P133" s="148">
        <f t="shared" si="144"/>
        <v>0.4</v>
      </c>
      <c r="Q133" s="282">
        <v>1</v>
      </c>
      <c r="R133" s="282">
        <v>0</v>
      </c>
      <c r="S133" s="282" t="str">
        <f t="shared" si="148"/>
        <v>In-Orbit</v>
      </c>
      <c r="T133" s="282" t="s">
        <v>13</v>
      </c>
      <c r="U133" s="303" t="s">
        <v>554</v>
      </c>
      <c r="V133" s="303" t="s">
        <v>29</v>
      </c>
      <c r="W133" s="303" t="s">
        <v>78</v>
      </c>
      <c r="X133" s="303" t="s">
        <v>310</v>
      </c>
      <c r="Y133" s="303" t="s">
        <v>325</v>
      </c>
      <c r="Z133" s="303" t="s">
        <v>338</v>
      </c>
      <c r="AA133" s="308">
        <v>413863.97012056701</v>
      </c>
      <c r="AC133" s="289">
        <f t="shared" si="145"/>
        <v>0</v>
      </c>
      <c r="AD133" s="88" cm="1">
        <f t="array" ref="AD133">IF(AC133=0,0,INDEX(Summary!$S$4:$S$7,MATCH(AC133,Summary!$R$4:$R$7)+1))</f>
        <v>0</v>
      </c>
      <c r="AE133" s="88">
        <f>IFERROR(INDEX(Summary!$Y$4:$Y$6,MATCH('Input Data'!K133,Summary!$U$4:$U$6,0)),0)</f>
        <v>0.05</v>
      </c>
      <c r="AF133" s="88" t="b">
        <f t="shared" si="162"/>
        <v>1</v>
      </c>
      <c r="AG133" s="89">
        <f>IF(AF133,INDEX('IG Equity Share'!$B:$B,MATCH(YEAR(I133),'IG Equity Share'!$A:$A,0)),0)</f>
        <v>7.4999999999999997E-2</v>
      </c>
      <c r="AH133" s="383">
        <f>AJ133*AG133*_xlfn.XLOOKUP(I133,'S3123 Consortium Share'!$A$3:$A$5,'S3123 Consortium Share'!$F$3:$F$5,,-1)</f>
        <v>15519.898879521263</v>
      </c>
      <c r="AI133" s="14">
        <v>1</v>
      </c>
      <c r="AJ133" s="13">
        <f t="shared" si="163"/>
        <v>413863.97012056701</v>
      </c>
      <c r="AK133" s="13">
        <f t="shared" si="164"/>
        <v>413863.97012056701</v>
      </c>
      <c r="AL133" s="13" t="str">
        <f t="shared" si="165"/>
        <v>FUL</v>
      </c>
      <c r="AM133" s="52">
        <f t="shared" si="166"/>
        <v>2026</v>
      </c>
      <c r="AN133" s="4"/>
      <c r="AO133" s="13">
        <f t="shared" si="196"/>
        <v>0</v>
      </c>
      <c r="AP133" s="13">
        <f t="shared" si="196"/>
        <v>0</v>
      </c>
      <c r="AQ133" s="13">
        <f t="shared" si="196"/>
        <v>0</v>
      </c>
      <c r="AR133" s="13">
        <f t="shared" si="196"/>
        <v>0</v>
      </c>
      <c r="AS133" s="13">
        <f t="shared" si="196"/>
        <v>0</v>
      </c>
      <c r="AT133" s="13">
        <f t="shared" si="196"/>
        <v>0</v>
      </c>
      <c r="AU133" s="13">
        <f t="shared" si="196"/>
        <v>0</v>
      </c>
      <c r="AV133" s="13">
        <f t="shared" si="192"/>
        <v>82772.794024113406</v>
      </c>
      <c r="AW133" s="13"/>
      <c r="AX133" s="13"/>
      <c r="AY133" s="13">
        <f t="shared" si="147"/>
        <v>82772.794024113406</v>
      </c>
      <c r="AZ133" s="13">
        <f t="shared" si="152"/>
        <v>0</v>
      </c>
      <c r="BA133" s="74"/>
      <c r="BB133" s="25">
        <f t="shared" si="153"/>
        <v>331091.17609645362</v>
      </c>
      <c r="BC133" s="13">
        <f t="shared" si="154"/>
        <v>0</v>
      </c>
      <c r="BD133" s="13" t="b">
        <f>AND(AF133,NOT(ISNUMBER(MATCH(G133,Table1[Excluded Spacecraft ID],0))))</f>
        <v>1</v>
      </c>
      <c r="BE133" s="13">
        <f>BD133*AK133*_xlfn.XLOOKUP(I133,Table2[Date From],Table2[Cession],"Error",-1)*_xlfn.XLOOKUP(I133,'S3123 Consortium Share'!$A$3:$A$5,'S3123 Consortium Share'!$F$3:$F$5,,-1)</f>
        <v>41386.397012056703</v>
      </c>
      <c r="BF133" s="13">
        <f t="shared" si="155"/>
        <v>331091.17609645362</v>
      </c>
      <c r="BG133" s="89" cm="1">
        <f t="array" ref="BG133">IF(V133="FIBL",0,INDEX('IGR QS'!$A$1:$D$570,MATCH('Input Data'!V133&amp;'Input Data'!W133&amp;'Input Data'!AM133,'IGR QS'!A:A&amp;'IGR QS'!B:B&amp;'IGR QS'!C:C,0),4))</f>
        <v>0.5</v>
      </c>
      <c r="BH133" s="13">
        <f t="shared" si="156"/>
        <v>165545.58804822681</v>
      </c>
      <c r="BI133" s="13">
        <f t="shared" si="157"/>
        <v>165545.58804822681</v>
      </c>
      <c r="BJ133" s="13">
        <f t="shared" si="167"/>
        <v>0</v>
      </c>
      <c r="BK133" s="13">
        <f t="shared" si="158"/>
        <v>165545.58804822681</v>
      </c>
      <c r="BL133" s="13">
        <f t="shared" si="159"/>
        <v>165545.58804822681</v>
      </c>
      <c r="BM133" s="21"/>
      <c r="BN133" s="13">
        <f t="shared" si="168"/>
        <v>42320200.903406374</v>
      </c>
      <c r="BO133" s="13">
        <f t="shared" si="169"/>
        <v>39234742.262773834</v>
      </c>
      <c r="BP133" s="13">
        <f t="shared" si="170"/>
        <v>3085458.6406325367</v>
      </c>
      <c r="BQ133" s="13">
        <f t="shared" si="171"/>
        <v>50319014.293024875</v>
      </c>
      <c r="BR133" s="13">
        <f t="shared" si="172"/>
        <v>23159803.799107812</v>
      </c>
      <c r="BT133" s="13">
        <f t="shared" si="173"/>
        <v>331091.17609645362</v>
      </c>
      <c r="BU133" s="13">
        <f t="shared" si="174"/>
        <v>165545.58804822681</v>
      </c>
      <c r="BV133" s="13">
        <f t="shared" si="175"/>
        <v>165545.58804822681</v>
      </c>
      <c r="BW133" s="13">
        <f t="shared" si="176"/>
        <v>82772.794024113406</v>
      </c>
      <c r="BX133" s="13"/>
      <c r="BY133" s="25">
        <f t="shared" si="177"/>
        <v>20693.198506028351</v>
      </c>
      <c r="BZ133" s="25">
        <f t="shared" si="178"/>
        <v>20693.198506028351</v>
      </c>
      <c r="CA133" s="25">
        <f t="shared" si="179"/>
        <v>0</v>
      </c>
      <c r="CB133" s="25">
        <f t="shared" si="180"/>
        <v>0</v>
      </c>
      <c r="CC133" s="25">
        <f t="shared" si="181"/>
        <v>10346.599253014176</v>
      </c>
      <c r="CD133" s="384">
        <f t="shared" si="182"/>
        <v>0</v>
      </c>
      <c r="CR133" s="25">
        <f t="shared" si="183"/>
        <v>82772.794024113406</v>
      </c>
      <c r="CS133" s="25">
        <f t="shared" si="194"/>
        <v>82772.794024113406</v>
      </c>
      <c r="CT133" s="25">
        <f t="shared" si="194"/>
        <v>0</v>
      </c>
      <c r="CU133" s="25">
        <f t="shared" si="184"/>
        <v>0</v>
      </c>
      <c r="CV133" s="25">
        <f t="shared" si="185"/>
        <v>41386.397012056703</v>
      </c>
      <c r="CW133" s="25">
        <f t="shared" si="186"/>
        <v>0</v>
      </c>
      <c r="CY133" s="25">
        <f t="shared" si="187"/>
        <v>20693.198506028351</v>
      </c>
      <c r="CZ133" s="25">
        <f t="shared" si="188"/>
        <v>20693.198506028351</v>
      </c>
      <c r="DA133" s="25">
        <f t="shared" si="195"/>
        <v>0</v>
      </c>
      <c r="DB133" s="25">
        <f t="shared" si="189"/>
        <v>0</v>
      </c>
      <c r="DC133" s="25">
        <f t="shared" si="190"/>
        <v>10346.599253014176</v>
      </c>
      <c r="DD133" s="25">
        <f t="shared" si="191"/>
        <v>0</v>
      </c>
    </row>
    <row r="134" spans="1:108" x14ac:dyDescent="0.35">
      <c r="A134" s="282" t="str">
        <f t="shared" si="143"/>
        <v>364280_500131</v>
      </c>
      <c r="B134" s="303">
        <v>364280</v>
      </c>
      <c r="C134" s="303">
        <v>500131</v>
      </c>
      <c r="D134" s="319" t="str">
        <f>IFERROR(MATCH(C134,'[4]Custom Earning Pattern Not Popu'!$B$5:$B$428,0),"NA")</f>
        <v>NA</v>
      </c>
      <c r="E134" s="303" t="s">
        <v>228</v>
      </c>
      <c r="F134" s="303">
        <v>12</v>
      </c>
      <c r="G134" s="303">
        <v>9984</v>
      </c>
      <c r="H134" s="306">
        <v>42725</v>
      </c>
      <c r="I134" s="306">
        <v>46054</v>
      </c>
      <c r="J134" s="306">
        <v>46418</v>
      </c>
      <c r="K134" s="303" t="s">
        <v>113</v>
      </c>
      <c r="L134" s="306">
        <v>46054</v>
      </c>
      <c r="M134" s="306">
        <v>46418</v>
      </c>
      <c r="N134" s="303" t="s">
        <v>466</v>
      </c>
      <c r="O134" s="303" t="s">
        <v>466</v>
      </c>
      <c r="P134" s="148">
        <f t="shared" si="144"/>
        <v>0.4</v>
      </c>
      <c r="Q134" s="282">
        <v>1</v>
      </c>
      <c r="R134" s="282">
        <v>0</v>
      </c>
      <c r="S134" s="282" t="str">
        <f t="shared" si="148"/>
        <v>In-Orbit</v>
      </c>
      <c r="T134" s="282" t="s">
        <v>13</v>
      </c>
      <c r="U134" s="303" t="s">
        <v>554</v>
      </c>
      <c r="V134" s="303" t="s">
        <v>29</v>
      </c>
      <c r="W134" s="303" t="s">
        <v>78</v>
      </c>
      <c r="X134" s="303" t="s">
        <v>309</v>
      </c>
      <c r="Y134" s="303" t="s">
        <v>325</v>
      </c>
      <c r="Z134" s="303" t="s">
        <v>337</v>
      </c>
      <c r="AA134" s="308">
        <v>680712.43189118395</v>
      </c>
      <c r="AC134" s="289">
        <f t="shared" si="145"/>
        <v>0</v>
      </c>
      <c r="AD134" s="88" cm="1">
        <f t="array" ref="AD134">IF(AC134=0,0,INDEX(Summary!$S$4:$S$7,MATCH(AC134,Summary!$R$4:$R$7)+1))</f>
        <v>0</v>
      </c>
      <c r="AE134" s="88">
        <f>IFERROR(INDEX(Summary!$Y$4:$Y$6,MATCH('Input Data'!K134,Summary!$U$4:$U$6,0)),0)</f>
        <v>0.05</v>
      </c>
      <c r="AF134" s="88" t="b">
        <f t="shared" si="162"/>
        <v>1</v>
      </c>
      <c r="AG134" s="89">
        <f>IF(AF134,INDEX('IG Equity Share'!$B:$B,MATCH(YEAR(I134),'IG Equity Share'!$A:$A,0)),0)</f>
        <v>7.4999999999999997E-2</v>
      </c>
      <c r="AH134" s="383">
        <f>AJ134*AG134*_xlfn.XLOOKUP(I134,'S3123 Consortium Share'!$A$3:$A$5,'S3123 Consortium Share'!$F$3:$F$5,,-1)</f>
        <v>25526.716195919398</v>
      </c>
      <c r="AI134" s="14">
        <v>1</v>
      </c>
      <c r="AJ134" s="13">
        <f t="shared" si="163"/>
        <v>680712.43189118395</v>
      </c>
      <c r="AK134" s="13">
        <f t="shared" si="164"/>
        <v>680712.43189118395</v>
      </c>
      <c r="AL134" s="13" t="str">
        <f t="shared" si="165"/>
        <v>FUL</v>
      </c>
      <c r="AM134" s="52">
        <f t="shared" si="166"/>
        <v>2026</v>
      </c>
      <c r="AN134" s="4"/>
      <c r="AO134" s="13">
        <f t="shared" si="196"/>
        <v>0</v>
      </c>
      <c r="AP134" s="13">
        <f t="shared" si="196"/>
        <v>0</v>
      </c>
      <c r="AQ134" s="13">
        <f t="shared" si="196"/>
        <v>0</v>
      </c>
      <c r="AR134" s="13">
        <f t="shared" si="196"/>
        <v>0</v>
      </c>
      <c r="AS134" s="13">
        <f t="shared" si="196"/>
        <v>0</v>
      </c>
      <c r="AT134" s="13">
        <f t="shared" si="196"/>
        <v>0</v>
      </c>
      <c r="AU134" s="13">
        <f t="shared" si="196"/>
        <v>0</v>
      </c>
      <c r="AV134" s="13">
        <f t="shared" si="192"/>
        <v>136142.48637823679</v>
      </c>
      <c r="AW134" s="13"/>
      <c r="AX134" s="13"/>
      <c r="AY134" s="13">
        <f t="shared" si="147"/>
        <v>136142.48637823679</v>
      </c>
      <c r="AZ134" s="13">
        <f t="shared" si="152"/>
        <v>0</v>
      </c>
      <c r="BA134" s="74"/>
      <c r="BB134" s="25">
        <f t="shared" si="153"/>
        <v>544569.94551294716</v>
      </c>
      <c r="BC134" s="13">
        <f t="shared" si="154"/>
        <v>0</v>
      </c>
      <c r="BD134" s="13" t="b">
        <f>AND(AF134,NOT(ISNUMBER(MATCH(G134,Table1[Excluded Spacecraft ID],0))))</f>
        <v>1</v>
      </c>
      <c r="BE134" s="13">
        <f>BD134*AK134*_xlfn.XLOOKUP(I134,Table2[Date From],Table2[Cession],"Error",-1)*_xlfn.XLOOKUP(I134,'S3123 Consortium Share'!$A$3:$A$5,'S3123 Consortium Share'!$F$3:$F$5,,-1)</f>
        <v>68071.243189118395</v>
      </c>
      <c r="BF134" s="13">
        <f t="shared" si="155"/>
        <v>544569.94551294716</v>
      </c>
      <c r="BG134" s="89" cm="1">
        <f t="array" ref="BG134">IF(V134="FIBL",0,INDEX('IGR QS'!$A$1:$D$570,MATCH('Input Data'!V134&amp;'Input Data'!W134&amp;'Input Data'!AM134,'IGR QS'!A:A&amp;'IGR QS'!B:B&amp;'IGR QS'!C:C,0),4))</f>
        <v>0.5</v>
      </c>
      <c r="BH134" s="13">
        <f t="shared" si="156"/>
        <v>272284.97275647358</v>
      </c>
      <c r="BI134" s="13">
        <f t="shared" si="157"/>
        <v>272284.97275647358</v>
      </c>
      <c r="BJ134" s="13">
        <f t="shared" si="167"/>
        <v>0</v>
      </c>
      <c r="BK134" s="13">
        <f t="shared" si="158"/>
        <v>272284.97275647358</v>
      </c>
      <c r="BL134" s="13">
        <f t="shared" si="159"/>
        <v>272284.97275647358</v>
      </c>
      <c r="BM134" s="21"/>
      <c r="BN134" s="13">
        <f t="shared" si="168"/>
        <v>42320200.903406374</v>
      </c>
      <c r="BO134" s="13">
        <f t="shared" si="169"/>
        <v>39234742.262773834</v>
      </c>
      <c r="BP134" s="13">
        <f t="shared" si="170"/>
        <v>3085458.6406325367</v>
      </c>
      <c r="BQ134" s="13">
        <f t="shared" si="171"/>
        <v>50319014.293024875</v>
      </c>
      <c r="BR134" s="13">
        <f t="shared" si="172"/>
        <v>23159803.799107812</v>
      </c>
      <c r="BT134" s="13">
        <f t="shared" si="173"/>
        <v>544569.94551294716</v>
      </c>
      <c r="BU134" s="13">
        <f t="shared" si="174"/>
        <v>272284.97275647358</v>
      </c>
      <c r="BV134" s="13">
        <f t="shared" si="175"/>
        <v>272284.97275647358</v>
      </c>
      <c r="BW134" s="13">
        <f t="shared" si="176"/>
        <v>136142.48637823679</v>
      </c>
      <c r="BX134" s="13"/>
      <c r="BY134" s="25">
        <f t="shared" si="177"/>
        <v>34035.621594559198</v>
      </c>
      <c r="BZ134" s="25">
        <f t="shared" si="178"/>
        <v>34035.621594559198</v>
      </c>
      <c r="CA134" s="25">
        <f t="shared" si="179"/>
        <v>0</v>
      </c>
      <c r="CB134" s="25">
        <f t="shared" si="180"/>
        <v>0</v>
      </c>
      <c r="CC134" s="25">
        <f t="shared" si="181"/>
        <v>17017.810797279599</v>
      </c>
      <c r="CD134" s="384">
        <f t="shared" si="182"/>
        <v>0</v>
      </c>
      <c r="CR134" s="25">
        <f t="shared" si="183"/>
        <v>136142.48637823679</v>
      </c>
      <c r="CS134" s="25">
        <f t="shared" si="194"/>
        <v>136142.48637823679</v>
      </c>
      <c r="CT134" s="25">
        <f t="shared" si="194"/>
        <v>0</v>
      </c>
      <c r="CU134" s="25">
        <f t="shared" si="184"/>
        <v>0</v>
      </c>
      <c r="CV134" s="25">
        <f t="shared" si="185"/>
        <v>68071.243189118395</v>
      </c>
      <c r="CW134" s="25">
        <f t="shared" si="186"/>
        <v>0</v>
      </c>
      <c r="CY134" s="25">
        <f t="shared" si="187"/>
        <v>34035.621594559198</v>
      </c>
      <c r="CZ134" s="25">
        <f t="shared" si="188"/>
        <v>34035.621594559198</v>
      </c>
      <c r="DA134" s="25">
        <f t="shared" si="195"/>
        <v>0</v>
      </c>
      <c r="DB134" s="25">
        <f t="shared" si="189"/>
        <v>0</v>
      </c>
      <c r="DC134" s="25">
        <f t="shared" si="190"/>
        <v>17017.810797279599</v>
      </c>
      <c r="DD134" s="25">
        <f t="shared" si="191"/>
        <v>0</v>
      </c>
    </row>
    <row r="135" spans="1:108" x14ac:dyDescent="0.35">
      <c r="A135" s="282" t="str">
        <f t="shared" si="143"/>
        <v>356133_501623</v>
      </c>
      <c r="B135" s="303">
        <v>356133</v>
      </c>
      <c r="C135" s="303">
        <v>501623</v>
      </c>
      <c r="D135" s="319" t="str">
        <f>IFERROR(MATCH(C135,'[4]Custom Earning Pattern Not Popu'!$B$5:$B$428,0),"NA")</f>
        <v>NA</v>
      </c>
      <c r="E135" s="303" t="s">
        <v>228</v>
      </c>
      <c r="F135" s="303">
        <v>12</v>
      </c>
      <c r="G135" s="303">
        <v>9033</v>
      </c>
      <c r="H135" s="306">
        <v>41864</v>
      </c>
      <c r="I135" s="306">
        <v>45939</v>
      </c>
      <c r="J135" s="306">
        <v>46303</v>
      </c>
      <c r="K135" s="303" t="s">
        <v>16</v>
      </c>
      <c r="L135" s="306">
        <v>45939</v>
      </c>
      <c r="M135" s="306">
        <v>46303</v>
      </c>
      <c r="N135" s="303" t="s">
        <v>237</v>
      </c>
      <c r="O135" s="303" t="s">
        <v>237</v>
      </c>
      <c r="P135" s="148">
        <f t="shared" si="144"/>
        <v>0.4</v>
      </c>
      <c r="Q135" s="282">
        <v>1</v>
      </c>
      <c r="R135" s="282">
        <v>0</v>
      </c>
      <c r="S135" s="282" t="str">
        <f t="shared" si="148"/>
        <v>In-Orbit</v>
      </c>
      <c r="T135" s="282" t="s">
        <v>13</v>
      </c>
      <c r="U135" s="303" t="s">
        <v>472</v>
      </c>
      <c r="V135" s="303" t="s">
        <v>29</v>
      </c>
      <c r="W135" s="303" t="s">
        <v>78</v>
      </c>
      <c r="X135" s="303" t="s">
        <v>279</v>
      </c>
      <c r="Y135" s="303" t="s">
        <v>327</v>
      </c>
      <c r="Z135" s="303" t="s">
        <v>341</v>
      </c>
      <c r="AA135" s="308">
        <v>3865978.7564432998</v>
      </c>
      <c r="AC135" s="289">
        <f t="shared" si="145"/>
        <v>7</v>
      </c>
      <c r="AD135" s="88" cm="1">
        <f t="array" ref="AD135">IF(AC135=0,0,INDEX(Summary!$S$4:$S$7,MATCH(AC135,Summary!$R$4:$R$7)+1))</f>
        <v>0.6</v>
      </c>
      <c r="AE135" s="88">
        <f>IFERROR(INDEX(Summary!$Y$4:$Y$6,MATCH('Input Data'!K135,Summary!$U$4:$U$6,0)),0)</f>
        <v>0.4</v>
      </c>
      <c r="AF135" s="88" t="b">
        <f t="shared" si="162"/>
        <v>1</v>
      </c>
      <c r="AG135" s="89">
        <f>IF(AF135,INDEX('IG Equity Share'!$B:$B,MATCH(YEAR(I135),'IG Equity Share'!$A:$A,0)),0)</f>
        <v>7.4999999999999997E-2</v>
      </c>
      <c r="AH135" s="383">
        <f>AJ135*AG135*_xlfn.XLOOKUP(I135,'S3123 Consortium Share'!$A$3:$A$5,'S3123 Consortium Share'!$F$3:$F$5,,-1)</f>
        <v>120811.8361388531</v>
      </c>
      <c r="AI135" s="14">
        <v>1</v>
      </c>
      <c r="AJ135" s="13">
        <f t="shared" si="163"/>
        <v>3865978.7564432998</v>
      </c>
      <c r="AK135" s="13">
        <f t="shared" si="164"/>
        <v>3865978.7564432998</v>
      </c>
      <c r="AL135" s="13" t="str">
        <f t="shared" si="165"/>
        <v>FUL</v>
      </c>
      <c r="AM135" s="52">
        <f t="shared" si="166"/>
        <v>2025</v>
      </c>
      <c r="AN135" s="4">
        <f>INDEX('[2]Input Data'!$AH:$AH,MATCH(A135,'[2]Input Data'!$A:$A,0),1)-AH135</f>
        <v>0</v>
      </c>
      <c r="AO135" s="13">
        <f t="shared" si="196"/>
        <v>0</v>
      </c>
      <c r="AP135" s="13">
        <f t="shared" si="196"/>
        <v>0</v>
      </c>
      <c r="AQ135" s="13">
        <f t="shared" si="196"/>
        <v>0</v>
      </c>
      <c r="AR135" s="13">
        <f t="shared" si="196"/>
        <v>0</v>
      </c>
      <c r="AS135" s="13">
        <f t="shared" si="196"/>
        <v>0</v>
      </c>
      <c r="AT135" s="13">
        <f t="shared" si="196"/>
        <v>0</v>
      </c>
      <c r="AU135" s="13">
        <f t="shared" si="196"/>
        <v>773195.75128865999</v>
      </c>
      <c r="AV135" s="13">
        <f t="shared" si="192"/>
        <v>0</v>
      </c>
      <c r="AW135" s="13"/>
      <c r="AX135" s="13"/>
      <c r="AY135" s="13">
        <f t="shared" si="147"/>
        <v>773195.75128865999</v>
      </c>
      <c r="AZ135" s="13">
        <f t="shared" si="152"/>
        <v>0</v>
      </c>
      <c r="BA135" s="74"/>
      <c r="BB135" s="25">
        <f t="shared" si="153"/>
        <v>3092783.0051546399</v>
      </c>
      <c r="BC135" s="13">
        <f t="shared" si="154"/>
        <v>0</v>
      </c>
      <c r="BD135" s="13" t="b">
        <f>AND(AF135,NOT(ISNUMBER(MATCH(G135,Table1[Excluded Spacecraft ID],0))))</f>
        <v>1</v>
      </c>
      <c r="BE135" s="13">
        <f>BD135*AK135*_xlfn.XLOOKUP(I135,Table2[Date From],Table2[Cession],"Error",-1)*_xlfn.XLOOKUP(I135,'S3123 Consortium Share'!$A$3:$A$5,'S3123 Consortium Share'!$F$3:$F$5,,-1)</f>
        <v>322164.896370275</v>
      </c>
      <c r="BF135" s="13">
        <f t="shared" si="155"/>
        <v>3092783.0051546399</v>
      </c>
      <c r="BG135" s="89" cm="1">
        <f t="array" ref="BG135">IF(V135="FIBL",0,INDEX('IGR QS'!$A$1:$D$570,MATCH('Input Data'!V135&amp;'Input Data'!W135&amp;'Input Data'!AM135,'IGR QS'!A:A&amp;'IGR QS'!B:B&amp;'IGR QS'!C:C,0),4))</f>
        <v>0.5</v>
      </c>
      <c r="BH135" s="13">
        <f t="shared" si="156"/>
        <v>1546391.50257732</v>
      </c>
      <c r="BI135" s="13">
        <f t="shared" si="157"/>
        <v>1546391.50257732</v>
      </c>
      <c r="BJ135" s="13">
        <f t="shared" si="167"/>
        <v>0</v>
      </c>
      <c r="BK135" s="13">
        <f t="shared" si="158"/>
        <v>1546391.50257732</v>
      </c>
      <c r="BL135" s="13">
        <f t="shared" si="159"/>
        <v>1546391.50257732</v>
      </c>
      <c r="BM135" s="21"/>
      <c r="BN135" s="13">
        <f t="shared" si="168"/>
        <v>6556699.5354639189</v>
      </c>
      <c r="BO135" s="13">
        <f t="shared" si="169"/>
        <v>6556699.5354639189</v>
      </c>
      <c r="BP135" s="13">
        <f t="shared" si="170"/>
        <v>0</v>
      </c>
      <c r="BQ135" s="13">
        <f t="shared" si="171"/>
        <v>6556699.5354639189</v>
      </c>
      <c r="BR135" s="13">
        <f t="shared" si="172"/>
        <v>3278349.7677319609</v>
      </c>
      <c r="BT135" s="13">
        <f t="shared" si="173"/>
        <v>3092783.0051546399</v>
      </c>
      <c r="BU135" s="13">
        <f t="shared" si="174"/>
        <v>1546391.50257732</v>
      </c>
      <c r="BV135" s="13">
        <f t="shared" si="175"/>
        <v>1546391.50257732</v>
      </c>
      <c r="BW135" s="13">
        <f t="shared" si="176"/>
        <v>773195.75128865999</v>
      </c>
      <c r="BX135" s="13"/>
      <c r="BY135" s="25">
        <f t="shared" si="177"/>
        <v>0</v>
      </c>
      <c r="BZ135" s="25">
        <f t="shared" si="178"/>
        <v>0</v>
      </c>
      <c r="CA135" s="25">
        <f t="shared" si="179"/>
        <v>0</v>
      </c>
      <c r="CB135" s="25">
        <f t="shared" si="180"/>
        <v>0</v>
      </c>
      <c r="CC135" s="25">
        <f t="shared" si="181"/>
        <v>0</v>
      </c>
      <c r="CD135" s="384">
        <f t="shared" si="182"/>
        <v>0</v>
      </c>
      <c r="CR135" s="25">
        <f t="shared" si="183"/>
        <v>0</v>
      </c>
      <c r="CS135" s="25">
        <f t="shared" si="194"/>
        <v>0</v>
      </c>
      <c r="CT135" s="25">
        <f t="shared" si="194"/>
        <v>0</v>
      </c>
      <c r="CU135" s="25">
        <f t="shared" si="184"/>
        <v>0</v>
      </c>
      <c r="CV135" s="25">
        <f t="shared" si="185"/>
        <v>0</v>
      </c>
      <c r="CW135" s="25">
        <f t="shared" si="186"/>
        <v>0</v>
      </c>
      <c r="CY135" s="25">
        <f t="shared" si="187"/>
        <v>0</v>
      </c>
      <c r="CZ135" s="25">
        <f t="shared" si="188"/>
        <v>0</v>
      </c>
      <c r="DA135" s="25">
        <f t="shared" si="195"/>
        <v>0</v>
      </c>
      <c r="DB135" s="25">
        <f t="shared" si="189"/>
        <v>0</v>
      </c>
      <c r="DC135" s="25">
        <f t="shared" si="190"/>
        <v>0</v>
      </c>
      <c r="DD135" s="25">
        <f t="shared" si="191"/>
        <v>0</v>
      </c>
    </row>
    <row r="136" spans="1:108" x14ac:dyDescent="0.35">
      <c r="A136" s="282" t="str">
        <f t="shared" si="143"/>
        <v>356133_501624</v>
      </c>
      <c r="B136" s="303">
        <v>356133</v>
      </c>
      <c r="C136" s="303">
        <v>501624</v>
      </c>
      <c r="D136" s="319" t="str">
        <f>IFERROR(MATCH(C136,'[4]Custom Earning Pattern Not Popu'!$B$5:$B$428,0),"NA")</f>
        <v>NA</v>
      </c>
      <c r="E136" s="303" t="s">
        <v>228</v>
      </c>
      <c r="F136" s="303">
        <v>12</v>
      </c>
      <c r="G136" s="303">
        <v>8170</v>
      </c>
      <c r="H136" s="306">
        <v>40094</v>
      </c>
      <c r="I136" s="306">
        <v>45939</v>
      </c>
      <c r="J136" s="306">
        <v>46303</v>
      </c>
      <c r="K136" s="303" t="s">
        <v>16</v>
      </c>
      <c r="L136" s="306">
        <v>45939</v>
      </c>
      <c r="M136" s="306">
        <v>46303</v>
      </c>
      <c r="N136" s="303" t="s">
        <v>237</v>
      </c>
      <c r="O136" s="303" t="s">
        <v>237</v>
      </c>
      <c r="P136" s="148">
        <f t="shared" si="144"/>
        <v>0.4</v>
      </c>
      <c r="Q136" s="282">
        <v>1</v>
      </c>
      <c r="R136" s="282">
        <v>0</v>
      </c>
      <c r="S136" s="282" t="str">
        <f t="shared" si="148"/>
        <v>In-Orbit</v>
      </c>
      <c r="T136" s="282" t="s">
        <v>13</v>
      </c>
      <c r="U136" s="303" t="s">
        <v>472</v>
      </c>
      <c r="V136" s="303" t="s">
        <v>29</v>
      </c>
      <c r="W136" s="303" t="s">
        <v>78</v>
      </c>
      <c r="X136" s="303" t="s">
        <v>280</v>
      </c>
      <c r="Y136" s="303" t="s">
        <v>327</v>
      </c>
      <c r="Z136" s="303" t="s">
        <v>340</v>
      </c>
      <c r="AA136" s="308">
        <v>2164947.8314433</v>
      </c>
      <c r="AC136" s="289">
        <f t="shared" si="145"/>
        <v>7</v>
      </c>
      <c r="AD136" s="88" cm="1">
        <f t="array" ref="AD136">IF(AC136=0,0,INDEX(Summary!$S$4:$S$7,MATCH(AC136,Summary!$R$4:$R$7)+1))</f>
        <v>0.6</v>
      </c>
      <c r="AE136" s="88">
        <f>IFERROR(INDEX(Summary!$Y$4:$Y$6,MATCH('Input Data'!K136,Summary!$U$4:$U$6,0)),0)</f>
        <v>0.4</v>
      </c>
      <c r="AF136" s="88" t="b">
        <f t="shared" si="162"/>
        <v>1</v>
      </c>
      <c r="AG136" s="89">
        <f>IF(AF136,INDEX('IG Equity Share'!$B:$B,MATCH(YEAR(I136),'IG Equity Share'!$A:$A,0)),0)</f>
        <v>7.4999999999999997E-2</v>
      </c>
      <c r="AH136" s="383">
        <f>AJ136*AG136*_xlfn.XLOOKUP(I136,'S3123 Consortium Share'!$A$3:$A$5,'S3123 Consortium Share'!$F$3:$F$5,,-1)</f>
        <v>67654.619732603125</v>
      </c>
      <c r="AI136" s="14">
        <v>1</v>
      </c>
      <c r="AJ136" s="13">
        <f t="shared" si="163"/>
        <v>2164947.8314433</v>
      </c>
      <c r="AK136" s="13">
        <f t="shared" si="164"/>
        <v>2164947.8314433</v>
      </c>
      <c r="AL136" s="13" t="str">
        <f t="shared" si="165"/>
        <v>FUL</v>
      </c>
      <c r="AM136" s="52">
        <f t="shared" si="166"/>
        <v>2025</v>
      </c>
      <c r="AN136" s="4">
        <f>INDEX('[2]Input Data'!$AH:$AH,MATCH(A136,'[2]Input Data'!$A:$A,0),1)-AH136</f>
        <v>0</v>
      </c>
      <c r="AO136" s="13">
        <f t="shared" si="196"/>
        <v>0</v>
      </c>
      <c r="AP136" s="13">
        <f t="shared" si="196"/>
        <v>0</v>
      </c>
      <c r="AQ136" s="13">
        <f t="shared" si="196"/>
        <v>0</v>
      </c>
      <c r="AR136" s="13">
        <f t="shared" si="196"/>
        <v>0</v>
      </c>
      <c r="AS136" s="13">
        <f t="shared" si="196"/>
        <v>0</v>
      </c>
      <c r="AT136" s="13">
        <f t="shared" si="196"/>
        <v>0</v>
      </c>
      <c r="AU136" s="13">
        <f t="shared" si="196"/>
        <v>432989.56628866005</v>
      </c>
      <c r="AV136" s="13">
        <f t="shared" si="192"/>
        <v>0</v>
      </c>
      <c r="AW136" s="13"/>
      <c r="AX136" s="13"/>
      <c r="AY136" s="13">
        <f t="shared" si="147"/>
        <v>432989.56628866005</v>
      </c>
      <c r="AZ136" s="13">
        <f t="shared" si="152"/>
        <v>0</v>
      </c>
      <c r="BA136" s="74"/>
      <c r="BB136" s="25">
        <f t="shared" si="153"/>
        <v>1731958.26515464</v>
      </c>
      <c r="BC136" s="13">
        <f t="shared" si="154"/>
        <v>0</v>
      </c>
      <c r="BD136" s="13" t="b">
        <f>AND(AF136,NOT(ISNUMBER(MATCH(G136,Table1[Excluded Spacecraft ID],0))))</f>
        <v>1</v>
      </c>
      <c r="BE136" s="13">
        <f>BD136*AK136*_xlfn.XLOOKUP(I136,Table2[Date From],Table2[Cession],"Error",-1)*_xlfn.XLOOKUP(I136,'S3123 Consortium Share'!$A$3:$A$5,'S3123 Consortium Share'!$F$3:$F$5,,-1)</f>
        <v>180412.3192869417</v>
      </c>
      <c r="BF136" s="13">
        <f t="shared" si="155"/>
        <v>1731958.26515464</v>
      </c>
      <c r="BG136" s="89" cm="1">
        <f t="array" ref="BG136">IF(V136="FIBL",0,INDEX('IGR QS'!$A$1:$D$570,MATCH('Input Data'!V136&amp;'Input Data'!W136&amp;'Input Data'!AM136,'IGR QS'!A:A&amp;'IGR QS'!B:B&amp;'IGR QS'!C:C,0),4))</f>
        <v>0.5</v>
      </c>
      <c r="BH136" s="13">
        <f t="shared" si="156"/>
        <v>865979.13257731998</v>
      </c>
      <c r="BI136" s="13">
        <f t="shared" si="157"/>
        <v>865979.13257731998</v>
      </c>
      <c r="BJ136" s="13">
        <f t="shared" si="167"/>
        <v>0</v>
      </c>
      <c r="BK136" s="13">
        <f t="shared" si="158"/>
        <v>865979.13257731998</v>
      </c>
      <c r="BL136" s="13">
        <f t="shared" si="159"/>
        <v>865979.13257731998</v>
      </c>
      <c r="BM136" s="21"/>
      <c r="BN136" s="13">
        <f t="shared" si="168"/>
        <v>6556699.5354639189</v>
      </c>
      <c r="BO136" s="13">
        <f t="shared" si="169"/>
        <v>6556699.5354639189</v>
      </c>
      <c r="BP136" s="13">
        <f t="shared" si="170"/>
        <v>0</v>
      </c>
      <c r="BQ136" s="13">
        <f t="shared" si="171"/>
        <v>6556699.5354639189</v>
      </c>
      <c r="BR136" s="13">
        <f t="shared" si="172"/>
        <v>3278349.7677319609</v>
      </c>
      <c r="BT136" s="13">
        <f t="shared" si="173"/>
        <v>1731958.26515464</v>
      </c>
      <c r="BU136" s="13">
        <f t="shared" si="174"/>
        <v>865979.13257731998</v>
      </c>
      <c r="BV136" s="13">
        <f t="shared" si="175"/>
        <v>865979.13257731998</v>
      </c>
      <c r="BW136" s="13">
        <f t="shared" si="176"/>
        <v>432989.56628866005</v>
      </c>
      <c r="BX136" s="13"/>
      <c r="BY136" s="25">
        <f t="shared" si="177"/>
        <v>0</v>
      </c>
      <c r="BZ136" s="25">
        <f t="shared" si="178"/>
        <v>0</v>
      </c>
      <c r="CA136" s="25">
        <f t="shared" si="179"/>
        <v>0</v>
      </c>
      <c r="CB136" s="25">
        <f t="shared" si="180"/>
        <v>0</v>
      </c>
      <c r="CC136" s="25">
        <f t="shared" si="181"/>
        <v>0</v>
      </c>
      <c r="CD136" s="384">
        <f t="shared" si="182"/>
        <v>0</v>
      </c>
      <c r="CR136" s="25">
        <f t="shared" si="183"/>
        <v>0</v>
      </c>
      <c r="CS136" s="25">
        <f t="shared" si="194"/>
        <v>0</v>
      </c>
      <c r="CT136" s="25">
        <f t="shared" si="194"/>
        <v>0</v>
      </c>
      <c r="CU136" s="25">
        <f t="shared" si="184"/>
        <v>0</v>
      </c>
      <c r="CV136" s="25">
        <f t="shared" si="185"/>
        <v>0</v>
      </c>
      <c r="CW136" s="25">
        <f t="shared" si="186"/>
        <v>0</v>
      </c>
      <c r="CY136" s="25">
        <f t="shared" si="187"/>
        <v>0</v>
      </c>
      <c r="CZ136" s="25">
        <f t="shared" si="188"/>
        <v>0</v>
      </c>
      <c r="DA136" s="25">
        <f t="shared" si="195"/>
        <v>0</v>
      </c>
      <c r="DB136" s="25">
        <f t="shared" si="189"/>
        <v>0</v>
      </c>
      <c r="DC136" s="25">
        <f t="shared" si="190"/>
        <v>0</v>
      </c>
      <c r="DD136" s="25">
        <f t="shared" si="191"/>
        <v>0</v>
      </c>
    </row>
    <row r="137" spans="1:108" x14ac:dyDescent="0.35">
      <c r="A137" s="282" t="str">
        <f t="shared" si="143"/>
        <v>356133_501625</v>
      </c>
      <c r="B137" s="303">
        <v>356133</v>
      </c>
      <c r="C137" s="303">
        <v>501625</v>
      </c>
      <c r="D137" s="319" t="str">
        <f>IFERROR(MATCH(C137,'[4]Custom Earning Pattern Not Popu'!$B$5:$B$428,0),"NA")</f>
        <v>NA</v>
      </c>
      <c r="E137" s="303" t="s">
        <v>228</v>
      </c>
      <c r="F137" s="303">
        <v>12</v>
      </c>
      <c r="G137" s="303">
        <v>7894</v>
      </c>
      <c r="H137" s="306">
        <v>39343</v>
      </c>
      <c r="I137" s="306">
        <v>45939</v>
      </c>
      <c r="J137" s="306">
        <v>46303</v>
      </c>
      <c r="K137" s="303" t="s">
        <v>16</v>
      </c>
      <c r="L137" s="306">
        <v>45939</v>
      </c>
      <c r="M137" s="306">
        <v>46303</v>
      </c>
      <c r="N137" s="303" t="s">
        <v>237</v>
      </c>
      <c r="O137" s="303" t="s">
        <v>237</v>
      </c>
      <c r="P137" s="148">
        <f t="shared" si="144"/>
        <v>0.4</v>
      </c>
      <c r="Q137" s="282">
        <v>1</v>
      </c>
      <c r="R137" s="282">
        <v>0</v>
      </c>
      <c r="S137" s="282" t="str">
        <f t="shared" si="148"/>
        <v>In-Orbit</v>
      </c>
      <c r="T137" s="282" t="s">
        <v>13</v>
      </c>
      <c r="U137" s="303" t="s">
        <v>472</v>
      </c>
      <c r="V137" s="303" t="s">
        <v>29</v>
      </c>
      <c r="W137" s="303" t="s">
        <v>78</v>
      </c>
      <c r="X137" s="303" t="s">
        <v>278</v>
      </c>
      <c r="Y137" s="303" t="s">
        <v>327</v>
      </c>
      <c r="Z137" s="303" t="s">
        <v>340</v>
      </c>
      <c r="AA137" s="308">
        <v>2164947.8314433</v>
      </c>
      <c r="AC137" s="289">
        <f t="shared" si="145"/>
        <v>7</v>
      </c>
      <c r="AD137" s="88" cm="1">
        <f t="array" ref="AD137">IF(AC137=0,0,INDEX(Summary!$S$4:$S$7,MATCH(AC137,Summary!$R$4:$R$7)+1))</f>
        <v>0.6</v>
      </c>
      <c r="AE137" s="88">
        <f>IFERROR(INDEX(Summary!$Y$4:$Y$6,MATCH('Input Data'!K137,Summary!$U$4:$U$6,0)),0)</f>
        <v>0.4</v>
      </c>
      <c r="AF137" s="88" t="b">
        <f t="shared" si="162"/>
        <v>1</v>
      </c>
      <c r="AG137" s="89">
        <f>IF(AF137,INDEX('IG Equity Share'!$B:$B,MATCH(YEAR(I137),'IG Equity Share'!$A:$A,0)),0)</f>
        <v>7.4999999999999997E-2</v>
      </c>
      <c r="AH137" s="383">
        <f>AJ137*AG137*_xlfn.XLOOKUP(I137,'S3123 Consortium Share'!$A$3:$A$5,'S3123 Consortium Share'!$F$3:$F$5,,-1)</f>
        <v>67654.619732603125</v>
      </c>
      <c r="AI137" s="14">
        <v>1</v>
      </c>
      <c r="AJ137" s="13">
        <f t="shared" si="163"/>
        <v>2164947.8314433</v>
      </c>
      <c r="AK137" s="13">
        <f t="shared" si="164"/>
        <v>2164947.8314433</v>
      </c>
      <c r="AL137" s="13" t="str">
        <f t="shared" si="165"/>
        <v>FUL</v>
      </c>
      <c r="AM137" s="52">
        <f t="shared" si="166"/>
        <v>2025</v>
      </c>
      <c r="AN137" s="4">
        <f>INDEX('[2]Input Data'!$AH:$AH,MATCH(A137,'[2]Input Data'!$A:$A,0),1)-AH137</f>
        <v>0</v>
      </c>
      <c r="AO137" s="13">
        <f t="shared" si="196"/>
        <v>0</v>
      </c>
      <c r="AP137" s="13">
        <f t="shared" si="196"/>
        <v>0</v>
      </c>
      <c r="AQ137" s="13">
        <f t="shared" si="196"/>
        <v>0</v>
      </c>
      <c r="AR137" s="13">
        <f t="shared" si="196"/>
        <v>0</v>
      </c>
      <c r="AS137" s="13">
        <f t="shared" si="196"/>
        <v>0</v>
      </c>
      <c r="AT137" s="13">
        <f t="shared" si="196"/>
        <v>0</v>
      </c>
      <c r="AU137" s="13">
        <f t="shared" si="196"/>
        <v>432989.56628866005</v>
      </c>
      <c r="AV137" s="13">
        <f t="shared" si="192"/>
        <v>0</v>
      </c>
      <c r="AW137" s="13"/>
      <c r="AX137" s="13"/>
      <c r="AY137" s="13">
        <f t="shared" si="147"/>
        <v>432989.56628866005</v>
      </c>
      <c r="AZ137" s="13">
        <f t="shared" si="152"/>
        <v>0</v>
      </c>
      <c r="BA137" s="74"/>
      <c r="BB137" s="25">
        <f t="shared" si="153"/>
        <v>1731958.26515464</v>
      </c>
      <c r="BC137" s="13">
        <f t="shared" si="154"/>
        <v>0</v>
      </c>
      <c r="BD137" s="13" t="b">
        <f>AND(AF137,NOT(ISNUMBER(MATCH(G137,Table1[Excluded Spacecraft ID],0))))</f>
        <v>1</v>
      </c>
      <c r="BE137" s="13">
        <f>BD137*AK137*_xlfn.XLOOKUP(I137,Table2[Date From],Table2[Cession],"Error",-1)*_xlfn.XLOOKUP(I137,'S3123 Consortium Share'!$A$3:$A$5,'S3123 Consortium Share'!$F$3:$F$5,,-1)</f>
        <v>180412.3192869417</v>
      </c>
      <c r="BF137" s="13">
        <f t="shared" si="155"/>
        <v>1731958.26515464</v>
      </c>
      <c r="BG137" s="89" cm="1">
        <f t="array" ref="BG137">IF(V137="FIBL",0,INDEX('IGR QS'!$A$1:$D$570,MATCH('Input Data'!V137&amp;'Input Data'!W137&amp;'Input Data'!AM137,'IGR QS'!A:A&amp;'IGR QS'!B:B&amp;'IGR QS'!C:C,0),4))</f>
        <v>0.5</v>
      </c>
      <c r="BH137" s="13">
        <f t="shared" si="156"/>
        <v>865979.13257731998</v>
      </c>
      <c r="BI137" s="13">
        <f t="shared" si="157"/>
        <v>865979.13257731998</v>
      </c>
      <c r="BJ137" s="13">
        <f t="shared" si="167"/>
        <v>0</v>
      </c>
      <c r="BK137" s="13">
        <f t="shared" si="158"/>
        <v>865979.13257731998</v>
      </c>
      <c r="BL137" s="13">
        <f t="shared" si="159"/>
        <v>865979.13257731998</v>
      </c>
      <c r="BM137" s="21"/>
      <c r="BN137" s="13">
        <f t="shared" si="168"/>
        <v>6556699.5354639189</v>
      </c>
      <c r="BO137" s="13">
        <f t="shared" si="169"/>
        <v>6556699.5354639189</v>
      </c>
      <c r="BP137" s="13">
        <f t="shared" si="170"/>
        <v>0</v>
      </c>
      <c r="BQ137" s="13">
        <f t="shared" si="171"/>
        <v>6556699.5354639189</v>
      </c>
      <c r="BR137" s="13">
        <f t="shared" si="172"/>
        <v>3278349.7677319609</v>
      </c>
      <c r="BT137" s="13">
        <f t="shared" si="173"/>
        <v>1731958.26515464</v>
      </c>
      <c r="BU137" s="13">
        <f t="shared" si="174"/>
        <v>865979.13257731998</v>
      </c>
      <c r="BV137" s="13">
        <f t="shared" si="175"/>
        <v>865979.13257731998</v>
      </c>
      <c r="BW137" s="13">
        <f t="shared" si="176"/>
        <v>432989.56628866005</v>
      </c>
      <c r="BX137" s="13"/>
      <c r="BY137" s="25">
        <f t="shared" si="177"/>
        <v>0</v>
      </c>
      <c r="BZ137" s="25">
        <f t="shared" si="178"/>
        <v>0</v>
      </c>
      <c r="CA137" s="25">
        <f t="shared" si="179"/>
        <v>0</v>
      </c>
      <c r="CB137" s="25">
        <f t="shared" si="180"/>
        <v>0</v>
      </c>
      <c r="CC137" s="25">
        <f t="shared" si="181"/>
        <v>0</v>
      </c>
      <c r="CD137" s="384">
        <f t="shared" si="182"/>
        <v>0</v>
      </c>
      <c r="CR137" s="25">
        <f t="shared" si="183"/>
        <v>0</v>
      </c>
      <c r="CS137" s="25">
        <f t="shared" si="194"/>
        <v>0</v>
      </c>
      <c r="CT137" s="25">
        <f t="shared" si="194"/>
        <v>0</v>
      </c>
      <c r="CU137" s="25">
        <f t="shared" si="184"/>
        <v>0</v>
      </c>
      <c r="CV137" s="25">
        <f t="shared" si="185"/>
        <v>0</v>
      </c>
      <c r="CW137" s="25">
        <f t="shared" si="186"/>
        <v>0</v>
      </c>
      <c r="CY137" s="25">
        <f t="shared" si="187"/>
        <v>0</v>
      </c>
      <c r="CZ137" s="25">
        <f t="shared" si="188"/>
        <v>0</v>
      </c>
      <c r="DA137" s="25">
        <f t="shared" si="195"/>
        <v>0</v>
      </c>
      <c r="DB137" s="25">
        <f t="shared" si="189"/>
        <v>0</v>
      </c>
      <c r="DC137" s="25">
        <f t="shared" si="190"/>
        <v>0</v>
      </c>
      <c r="DD137" s="25">
        <f t="shared" si="191"/>
        <v>0</v>
      </c>
    </row>
    <row r="138" spans="1:108" x14ac:dyDescent="0.35">
      <c r="A138" s="282" t="str">
        <f t="shared" si="143"/>
        <v>366022_503971</v>
      </c>
      <c r="B138" s="303">
        <v>366022</v>
      </c>
      <c r="C138" s="303">
        <v>503971</v>
      </c>
      <c r="D138" s="319" t="str">
        <f>IFERROR(MATCH(C138,'[4]Custom Earning Pattern Not Popu'!$B$5:$B$428,0),"NA")</f>
        <v>NA</v>
      </c>
      <c r="E138" s="303" t="s">
        <v>228</v>
      </c>
      <c r="F138" s="303">
        <v>12</v>
      </c>
      <c r="G138" s="303">
        <v>8529</v>
      </c>
      <c r="H138" s="306">
        <v>40655</v>
      </c>
      <c r="I138" s="306">
        <v>46022</v>
      </c>
      <c r="J138" s="306">
        <v>46387</v>
      </c>
      <c r="K138" s="303" t="s">
        <v>113</v>
      </c>
      <c r="L138" s="306">
        <v>46022</v>
      </c>
      <c r="M138" s="306">
        <v>46387</v>
      </c>
      <c r="N138" s="303" t="s">
        <v>522</v>
      </c>
      <c r="O138" s="303" t="s">
        <v>243</v>
      </c>
      <c r="P138" s="148">
        <f t="shared" si="144"/>
        <v>0.4</v>
      </c>
      <c r="Q138" s="282">
        <v>1</v>
      </c>
      <c r="R138" s="282">
        <v>0</v>
      </c>
      <c r="S138" s="282" t="str">
        <f t="shared" si="148"/>
        <v>In-Orbit</v>
      </c>
      <c r="T138" s="282" t="s">
        <v>13</v>
      </c>
      <c r="U138" s="303" t="s">
        <v>483</v>
      </c>
      <c r="V138" s="303" t="s">
        <v>29</v>
      </c>
      <c r="W138" s="303" t="s">
        <v>78</v>
      </c>
      <c r="X138" s="303" t="s">
        <v>488</v>
      </c>
      <c r="Y138" s="303" t="s">
        <v>315</v>
      </c>
      <c r="Z138" s="303" t="s">
        <v>337</v>
      </c>
      <c r="AA138" s="308">
        <v>9281860.1907157991</v>
      </c>
      <c r="AC138" s="289">
        <f t="shared" si="145"/>
        <v>0</v>
      </c>
      <c r="AD138" s="88" cm="1">
        <f t="array" ref="AD138">IF(AC138=0,0,INDEX(Summary!$S$4:$S$7,MATCH(AC138,Summary!$R$4:$R$7)+1))</f>
        <v>0</v>
      </c>
      <c r="AE138" s="88">
        <f>IFERROR(INDEX(Summary!$Y$4:$Y$6,MATCH('Input Data'!K138,Summary!$U$4:$U$6,0)),0)</f>
        <v>0.05</v>
      </c>
      <c r="AF138" s="88" t="b">
        <f t="shared" si="162"/>
        <v>1</v>
      </c>
      <c r="AG138" s="89">
        <f>IF(AF138,INDEX('IG Equity Share'!$B:$B,MATCH(YEAR(I138),'IG Equity Share'!$A:$A,0)),0)</f>
        <v>7.4999999999999997E-2</v>
      </c>
      <c r="AH138" s="383">
        <f>AJ138*AG138*_xlfn.XLOOKUP(I138,'S3123 Consortium Share'!$A$3:$A$5,'S3123 Consortium Share'!$F$3:$F$5,,-1)</f>
        <v>290058.13095986872</v>
      </c>
      <c r="AI138" s="14">
        <v>1</v>
      </c>
      <c r="AJ138" s="13">
        <f t="shared" si="163"/>
        <v>9281860.1907157991</v>
      </c>
      <c r="AK138" s="13">
        <f t="shared" si="164"/>
        <v>9281860.1907157991</v>
      </c>
      <c r="AL138" s="13" t="str">
        <f t="shared" si="165"/>
        <v>FUL</v>
      </c>
      <c r="AM138" s="52">
        <f t="shared" si="166"/>
        <v>2025</v>
      </c>
      <c r="AN138" s="4">
        <f>INDEX('[2]Input Data'!$AH:$AH,MATCH(A138,'[2]Input Data'!$A:$A,0),1)-AH138</f>
        <v>0</v>
      </c>
      <c r="AO138" s="13">
        <f t="shared" si="196"/>
        <v>0</v>
      </c>
      <c r="AP138" s="13">
        <f t="shared" si="196"/>
        <v>0</v>
      </c>
      <c r="AQ138" s="13">
        <f t="shared" si="196"/>
        <v>0</v>
      </c>
      <c r="AR138" s="13">
        <f t="shared" si="196"/>
        <v>0</v>
      </c>
      <c r="AS138" s="13">
        <f t="shared" si="196"/>
        <v>0</v>
      </c>
      <c r="AT138" s="13">
        <f t="shared" si="196"/>
        <v>0</v>
      </c>
      <c r="AU138" s="13">
        <f t="shared" si="196"/>
        <v>1856372.0381431598</v>
      </c>
      <c r="AV138" s="13">
        <f t="shared" si="192"/>
        <v>0</v>
      </c>
      <c r="AW138" s="13"/>
      <c r="AX138" s="13"/>
      <c r="AY138" s="13">
        <f t="shared" si="147"/>
        <v>1856372.0381431598</v>
      </c>
      <c r="AZ138" s="13">
        <f t="shared" si="152"/>
        <v>0</v>
      </c>
      <c r="BA138" s="74"/>
      <c r="BB138" s="25">
        <f t="shared" si="153"/>
        <v>7425488.1525726393</v>
      </c>
      <c r="BC138" s="13">
        <f t="shared" si="154"/>
        <v>0</v>
      </c>
      <c r="BD138" s="13" t="b">
        <f>AND(AF138,NOT(ISNUMBER(MATCH(G138,Table1[Excluded Spacecraft ID],0))))</f>
        <v>1</v>
      </c>
      <c r="BE138" s="13">
        <f>BD138*AK138*_xlfn.XLOOKUP(I138,Table2[Date From],Table2[Cession],"Error",-1)*_xlfn.XLOOKUP(I138,'S3123 Consortium Share'!$A$3:$A$5,'S3123 Consortium Share'!$F$3:$F$5,,-1)</f>
        <v>773488.34922631667</v>
      </c>
      <c r="BF138" s="13">
        <f t="shared" si="155"/>
        <v>7425488.1525726393</v>
      </c>
      <c r="BG138" s="89" cm="1">
        <f t="array" ref="BG138">IF(V138="FIBL",0,INDEX('IGR QS'!$A$1:$D$570,MATCH('Input Data'!V138&amp;'Input Data'!W138&amp;'Input Data'!AM138,'IGR QS'!A:A&amp;'IGR QS'!B:B&amp;'IGR QS'!C:C,0),4))</f>
        <v>0.5</v>
      </c>
      <c r="BH138" s="13">
        <f t="shared" si="156"/>
        <v>3712744.0762863196</v>
      </c>
      <c r="BI138" s="13">
        <f t="shared" si="157"/>
        <v>3712744.0762863196</v>
      </c>
      <c r="BJ138" s="13">
        <f t="shared" si="167"/>
        <v>0</v>
      </c>
      <c r="BK138" s="13">
        <f t="shared" si="158"/>
        <v>3712744.0762863196</v>
      </c>
      <c r="BL138" s="13">
        <f t="shared" si="159"/>
        <v>3712744.0762863196</v>
      </c>
      <c r="BM138" s="21"/>
      <c r="BN138" s="13">
        <f t="shared" si="168"/>
        <v>10707875.116174154</v>
      </c>
      <c r="BO138" s="13">
        <f t="shared" si="169"/>
        <v>10707875.116174154</v>
      </c>
      <c r="BP138" s="13">
        <f t="shared" si="170"/>
        <v>0</v>
      </c>
      <c r="BQ138" s="13">
        <f t="shared" si="171"/>
        <v>10707875.116174154</v>
      </c>
      <c r="BR138" s="13">
        <f t="shared" si="172"/>
        <v>5353937.558087077</v>
      </c>
      <c r="BT138" s="13">
        <f t="shared" si="173"/>
        <v>7425488.1525726393</v>
      </c>
      <c r="BU138" s="13">
        <f t="shared" si="174"/>
        <v>3712744.0762863196</v>
      </c>
      <c r="BV138" s="13">
        <f t="shared" si="175"/>
        <v>3712744.0762863196</v>
      </c>
      <c r="BW138" s="13">
        <f t="shared" si="176"/>
        <v>1856372.0381431598</v>
      </c>
      <c r="BX138" s="13"/>
      <c r="BY138" s="25">
        <f t="shared" si="177"/>
        <v>464093.00953578996</v>
      </c>
      <c r="BZ138" s="25">
        <f t="shared" si="178"/>
        <v>464093.00953578996</v>
      </c>
      <c r="CA138" s="25">
        <f t="shared" si="179"/>
        <v>0</v>
      </c>
      <c r="CB138" s="25">
        <f t="shared" si="180"/>
        <v>0</v>
      </c>
      <c r="CC138" s="25">
        <f t="shared" si="181"/>
        <v>232046.50476789498</v>
      </c>
      <c r="CD138" s="384">
        <f t="shared" si="182"/>
        <v>0</v>
      </c>
      <c r="CR138" s="25">
        <f t="shared" si="183"/>
        <v>1856372.0381431598</v>
      </c>
      <c r="CS138" s="25">
        <f t="shared" si="194"/>
        <v>1856372.0381431598</v>
      </c>
      <c r="CT138" s="25">
        <f t="shared" si="194"/>
        <v>0</v>
      </c>
      <c r="CU138" s="25">
        <f t="shared" si="184"/>
        <v>0</v>
      </c>
      <c r="CV138" s="25">
        <f t="shared" si="185"/>
        <v>928186.01907157991</v>
      </c>
      <c r="CW138" s="25">
        <f t="shared" si="186"/>
        <v>0</v>
      </c>
      <c r="CY138" s="25">
        <f t="shared" si="187"/>
        <v>464093.00953578996</v>
      </c>
      <c r="CZ138" s="25">
        <f t="shared" si="188"/>
        <v>464093.00953578996</v>
      </c>
      <c r="DA138" s="25">
        <f t="shared" si="195"/>
        <v>0</v>
      </c>
      <c r="DB138" s="25">
        <f t="shared" si="189"/>
        <v>0</v>
      </c>
      <c r="DC138" s="25">
        <f t="shared" si="190"/>
        <v>232046.50476789498</v>
      </c>
      <c r="DD138" s="25">
        <f t="shared" si="191"/>
        <v>0</v>
      </c>
    </row>
    <row r="139" spans="1:108" x14ac:dyDescent="0.35">
      <c r="A139" s="282" t="str">
        <f t="shared" si="143"/>
        <v>366022_503972</v>
      </c>
      <c r="B139" s="303">
        <v>366022</v>
      </c>
      <c r="C139" s="303">
        <v>503972</v>
      </c>
      <c r="D139" s="319" t="str">
        <f>IFERROR(MATCH(C139,'[4]Custom Earning Pattern Not Popu'!$B$5:$B$428,0),"NA")</f>
        <v>NA</v>
      </c>
      <c r="E139" s="303" t="s">
        <v>228</v>
      </c>
      <c r="F139" s="303">
        <v>12</v>
      </c>
      <c r="G139" s="303">
        <v>8375</v>
      </c>
      <c r="H139" s="306">
        <v>41022</v>
      </c>
      <c r="I139" s="306">
        <v>46022</v>
      </c>
      <c r="J139" s="306">
        <v>46387</v>
      </c>
      <c r="K139" s="303" t="s">
        <v>113</v>
      </c>
      <c r="L139" s="306">
        <v>46022</v>
      </c>
      <c r="M139" s="306">
        <v>46387</v>
      </c>
      <c r="N139" s="303" t="s">
        <v>522</v>
      </c>
      <c r="O139" s="303" t="s">
        <v>243</v>
      </c>
      <c r="P139" s="148">
        <f t="shared" si="144"/>
        <v>0.4</v>
      </c>
      <c r="Q139" s="282">
        <v>1</v>
      </c>
      <c r="R139" s="282">
        <v>0</v>
      </c>
      <c r="S139" s="282" t="str">
        <f t="shared" si="148"/>
        <v>In-Orbit</v>
      </c>
      <c r="T139" s="282" t="s">
        <v>13</v>
      </c>
      <c r="U139" s="303" t="s">
        <v>483</v>
      </c>
      <c r="V139" s="303" t="s">
        <v>29</v>
      </c>
      <c r="W139" s="303" t="s">
        <v>78</v>
      </c>
      <c r="X139" s="303" t="s">
        <v>489</v>
      </c>
      <c r="Y139" s="303" t="s">
        <v>315</v>
      </c>
      <c r="Z139" s="303" t="s">
        <v>339</v>
      </c>
      <c r="AA139" s="308">
        <v>11407869.8778941</v>
      </c>
      <c r="AC139" s="289">
        <f t="shared" si="145"/>
        <v>0</v>
      </c>
      <c r="AD139" s="88" cm="1">
        <f t="array" ref="AD139">IF(AC139=0,0,INDEX(Summary!$S$4:$S$7,MATCH(AC139,Summary!$R$4:$R$7)+1))</f>
        <v>0</v>
      </c>
      <c r="AE139" s="88">
        <f>IFERROR(INDEX(Summary!$Y$4:$Y$6,MATCH('Input Data'!K139,Summary!$U$4:$U$6,0)),0)</f>
        <v>0.05</v>
      </c>
      <c r="AF139" s="88" t="b">
        <f t="shared" si="162"/>
        <v>1</v>
      </c>
      <c r="AG139" s="89">
        <f>IF(AF139,INDEX('IG Equity Share'!$B:$B,MATCH(YEAR(I139),'IG Equity Share'!$A:$A,0)),0)</f>
        <v>7.4999999999999997E-2</v>
      </c>
      <c r="AH139" s="383">
        <f>AJ139*AG139*_xlfn.XLOOKUP(I139,'S3123 Consortium Share'!$A$3:$A$5,'S3123 Consortium Share'!$F$3:$F$5,,-1)</f>
        <v>356495.93368419062</v>
      </c>
      <c r="AI139" s="14">
        <v>1</v>
      </c>
      <c r="AJ139" s="13">
        <f t="shared" si="163"/>
        <v>11407869.8778941</v>
      </c>
      <c r="AK139" s="13">
        <f t="shared" si="164"/>
        <v>11407869.8778941</v>
      </c>
      <c r="AL139" s="13" t="str">
        <f t="shared" si="165"/>
        <v>FUL</v>
      </c>
      <c r="AM139" s="52">
        <f t="shared" si="166"/>
        <v>2025</v>
      </c>
      <c r="AN139" s="4"/>
      <c r="AO139" s="13">
        <f t="shared" si="196"/>
        <v>0</v>
      </c>
      <c r="AP139" s="13">
        <f t="shared" si="196"/>
        <v>0</v>
      </c>
      <c r="AQ139" s="13">
        <f t="shared" si="196"/>
        <v>0</v>
      </c>
      <c r="AR139" s="13">
        <f t="shared" si="196"/>
        <v>0</v>
      </c>
      <c r="AS139" s="13">
        <f t="shared" si="196"/>
        <v>0</v>
      </c>
      <c r="AT139" s="13">
        <f t="shared" si="196"/>
        <v>0</v>
      </c>
      <c r="AU139" s="13">
        <f t="shared" si="196"/>
        <v>2281573.9755788199</v>
      </c>
      <c r="AV139" s="13">
        <f t="shared" si="192"/>
        <v>0</v>
      </c>
      <c r="AW139" s="13"/>
      <c r="AX139" s="13"/>
      <c r="AY139" s="13">
        <f t="shared" si="147"/>
        <v>2281573.9755788199</v>
      </c>
      <c r="AZ139" s="13">
        <f t="shared" si="152"/>
        <v>0</v>
      </c>
      <c r="BA139" s="74"/>
      <c r="BB139" s="25">
        <f t="shared" si="153"/>
        <v>9126295.9023152795</v>
      </c>
      <c r="BC139" s="13">
        <f t="shared" si="154"/>
        <v>0</v>
      </c>
      <c r="BD139" s="13" t="b">
        <f>AND(AF139,NOT(ISNUMBER(MATCH(G139,Table1[Excluded Spacecraft ID],0))))</f>
        <v>1</v>
      </c>
      <c r="BE139" s="13">
        <f>BD139*AK139*_xlfn.XLOOKUP(I139,Table2[Date From],Table2[Cession],"Error",-1)*_xlfn.XLOOKUP(I139,'S3123 Consortium Share'!$A$3:$A$5,'S3123 Consortium Share'!$F$3:$F$5,,-1)</f>
        <v>950655.82315784169</v>
      </c>
      <c r="BF139" s="13">
        <f t="shared" si="155"/>
        <v>9126295.9023152795</v>
      </c>
      <c r="BG139" s="89" cm="1">
        <f t="array" ref="BG139">IF(V139="FIBL",0,INDEX('IGR QS'!$A$1:$D$570,MATCH('Input Data'!V139&amp;'Input Data'!W139&amp;'Input Data'!AM139,'IGR QS'!A:A&amp;'IGR QS'!B:B&amp;'IGR QS'!C:C,0),4))</f>
        <v>0.5</v>
      </c>
      <c r="BH139" s="13">
        <f t="shared" si="156"/>
        <v>4563147.9511576397</v>
      </c>
      <c r="BI139" s="13">
        <f t="shared" si="157"/>
        <v>4563147.9511576397</v>
      </c>
      <c r="BJ139" s="13">
        <f t="shared" si="167"/>
        <v>0</v>
      </c>
      <c r="BK139" s="13">
        <f t="shared" si="158"/>
        <v>4563147.9511576397</v>
      </c>
      <c r="BL139" s="13">
        <f t="shared" si="159"/>
        <v>4563147.9511576397</v>
      </c>
      <c r="BM139" s="21"/>
      <c r="BN139" s="13">
        <f t="shared" si="168"/>
        <v>10707875.116174154</v>
      </c>
      <c r="BO139" s="13">
        <f t="shared" si="169"/>
        <v>10707875.116174154</v>
      </c>
      <c r="BP139" s="13">
        <f t="shared" si="170"/>
        <v>0</v>
      </c>
      <c r="BQ139" s="13">
        <f t="shared" si="171"/>
        <v>10707875.116174154</v>
      </c>
      <c r="BR139" s="13">
        <f t="shared" si="172"/>
        <v>5353937.558087077</v>
      </c>
      <c r="BT139" s="13">
        <f t="shared" si="173"/>
        <v>9126295.9023152795</v>
      </c>
      <c r="BU139" s="13">
        <f t="shared" si="174"/>
        <v>4563147.9511576397</v>
      </c>
      <c r="BV139" s="13">
        <f t="shared" si="175"/>
        <v>4563147.9511576397</v>
      </c>
      <c r="BW139" s="13">
        <f t="shared" si="176"/>
        <v>2281573.9755788199</v>
      </c>
      <c r="BX139" s="13"/>
      <c r="BY139" s="25">
        <f t="shared" si="177"/>
        <v>570393.49389470497</v>
      </c>
      <c r="BZ139" s="25">
        <f t="shared" si="178"/>
        <v>570393.49389470497</v>
      </c>
      <c r="CA139" s="25">
        <f t="shared" si="179"/>
        <v>0</v>
      </c>
      <c r="CB139" s="25">
        <f t="shared" si="180"/>
        <v>0</v>
      </c>
      <c r="CC139" s="25">
        <f t="shared" si="181"/>
        <v>285196.74694735248</v>
      </c>
      <c r="CD139" s="384">
        <f t="shared" si="182"/>
        <v>0</v>
      </c>
      <c r="CR139" s="25">
        <f t="shared" si="183"/>
        <v>2281573.9755788199</v>
      </c>
      <c r="CS139" s="25">
        <f t="shared" si="194"/>
        <v>2281573.9755788199</v>
      </c>
      <c r="CT139" s="25">
        <f t="shared" si="194"/>
        <v>0</v>
      </c>
      <c r="CU139" s="25">
        <f t="shared" si="184"/>
        <v>0</v>
      </c>
      <c r="CV139" s="25">
        <f t="shared" si="185"/>
        <v>1140786.9877894099</v>
      </c>
      <c r="CW139" s="25">
        <f t="shared" si="186"/>
        <v>0</v>
      </c>
      <c r="CY139" s="25">
        <f t="shared" si="187"/>
        <v>570393.49389470497</v>
      </c>
      <c r="CZ139" s="25">
        <f t="shared" si="188"/>
        <v>570393.49389470497</v>
      </c>
      <c r="DA139" s="25">
        <f t="shared" si="195"/>
        <v>0</v>
      </c>
      <c r="DB139" s="25">
        <f t="shared" si="189"/>
        <v>0</v>
      </c>
      <c r="DC139" s="25">
        <f t="shared" si="190"/>
        <v>285196.74694735248</v>
      </c>
      <c r="DD139" s="25">
        <f t="shared" si="191"/>
        <v>0</v>
      </c>
    </row>
    <row r="140" spans="1:108" x14ac:dyDescent="0.35">
      <c r="A140" s="282" t="str">
        <f t="shared" si="143"/>
        <v>366022_503987</v>
      </c>
      <c r="B140" s="303">
        <v>366022</v>
      </c>
      <c r="C140" s="303">
        <v>503987</v>
      </c>
      <c r="D140" s="319" t="str">
        <f>IFERROR(MATCH(C140,'[4]Custom Earning Pattern Not Popu'!$B$5:$B$428,0),"NA")</f>
        <v>NA</v>
      </c>
      <c r="E140" s="303" t="s">
        <v>228</v>
      </c>
      <c r="F140" s="303">
        <v>12</v>
      </c>
      <c r="G140" s="303">
        <v>8632</v>
      </c>
      <c r="H140" s="306">
        <v>45661</v>
      </c>
      <c r="I140" s="306">
        <v>46027</v>
      </c>
      <c r="J140" s="306">
        <v>46387</v>
      </c>
      <c r="K140" s="303" t="s">
        <v>113</v>
      </c>
      <c r="L140" s="306">
        <v>46027</v>
      </c>
      <c r="M140" s="306">
        <v>46387</v>
      </c>
      <c r="N140" s="303" t="s">
        <v>230</v>
      </c>
      <c r="O140" s="303" t="s">
        <v>230</v>
      </c>
      <c r="P140" s="148">
        <f t="shared" si="144"/>
        <v>0.4</v>
      </c>
      <c r="Q140" s="282">
        <v>1</v>
      </c>
      <c r="R140" s="282">
        <v>0</v>
      </c>
      <c r="S140" s="282" t="str">
        <f t="shared" si="148"/>
        <v>In-Orbit</v>
      </c>
      <c r="T140" s="282" t="s">
        <v>13</v>
      </c>
      <c r="U140" s="303" t="s">
        <v>483</v>
      </c>
      <c r="V140" s="303" t="s">
        <v>29</v>
      </c>
      <c r="W140" s="303" t="s">
        <v>78</v>
      </c>
      <c r="X140" s="303" t="s">
        <v>563</v>
      </c>
      <c r="Y140" s="303" t="s">
        <v>322</v>
      </c>
      <c r="Z140" s="303" t="s">
        <v>338</v>
      </c>
      <c r="AA140" s="308">
        <v>14323349.8799999</v>
      </c>
      <c r="AC140" s="289">
        <f t="shared" si="145"/>
        <v>0</v>
      </c>
      <c r="AD140" s="88" cm="1">
        <f t="array" ref="AD140">IF(AC140=0,0,INDEX(Summary!$S$4:$S$7,MATCH(AC140,Summary!$R$4:$R$7)+1))</f>
        <v>0</v>
      </c>
      <c r="AE140" s="88">
        <f>IFERROR(INDEX(Summary!$Y$4:$Y$6,MATCH('Input Data'!K140,Summary!$U$4:$U$6,0)),0)</f>
        <v>0.05</v>
      </c>
      <c r="AF140" s="88" t="b">
        <f t="shared" si="162"/>
        <v>1</v>
      </c>
      <c r="AG140" s="89">
        <f>IF(AF140,INDEX('IG Equity Share'!$B:$B,MATCH(YEAR(I140),'IG Equity Share'!$A:$A,0)),0)</f>
        <v>7.4999999999999997E-2</v>
      </c>
      <c r="AH140" s="383">
        <f>AJ140*AG140*_xlfn.XLOOKUP(I140,'S3123 Consortium Share'!$A$3:$A$5,'S3123 Consortium Share'!$F$3:$F$5,,-1)</f>
        <v>537125.62049999624</v>
      </c>
      <c r="AI140" s="14">
        <v>1</v>
      </c>
      <c r="AJ140" s="13">
        <f t="shared" si="163"/>
        <v>14323349.8799999</v>
      </c>
      <c r="AK140" s="13">
        <f t="shared" si="164"/>
        <v>14323349.8799999</v>
      </c>
      <c r="AL140" s="13" t="str">
        <f t="shared" si="165"/>
        <v>FUL</v>
      </c>
      <c r="AM140" s="52">
        <f t="shared" si="166"/>
        <v>2026</v>
      </c>
      <c r="AN140" s="4"/>
      <c r="AO140" s="13">
        <f t="shared" ref="AO140:AU149" si="197">+IF(AND($I140&lt;=AO$8,$I140&gt;=AO$7),$AK140*AO$11,0)</f>
        <v>0</v>
      </c>
      <c r="AP140" s="13">
        <f t="shared" si="197"/>
        <v>0</v>
      </c>
      <c r="AQ140" s="13">
        <f t="shared" si="197"/>
        <v>0</v>
      </c>
      <c r="AR140" s="13">
        <f t="shared" si="197"/>
        <v>0</v>
      </c>
      <c r="AS140" s="13">
        <f t="shared" si="197"/>
        <v>0</v>
      </c>
      <c r="AT140" s="13">
        <f t="shared" si="197"/>
        <v>0</v>
      </c>
      <c r="AU140" s="13">
        <f t="shared" si="197"/>
        <v>0</v>
      </c>
      <c r="AV140" s="13">
        <f t="shared" si="192"/>
        <v>2864669.9759999802</v>
      </c>
      <c r="AW140" s="13"/>
      <c r="AX140" s="13"/>
      <c r="AY140" s="13">
        <f t="shared" si="147"/>
        <v>2864669.9759999802</v>
      </c>
      <c r="AZ140" s="13">
        <f t="shared" si="152"/>
        <v>0</v>
      </c>
      <c r="BA140" s="74"/>
      <c r="BB140" s="25">
        <f t="shared" si="153"/>
        <v>11458679.903999921</v>
      </c>
      <c r="BC140" s="13">
        <f t="shared" si="154"/>
        <v>0</v>
      </c>
      <c r="BD140" s="13" t="b">
        <f>AND(AF140,NOT(ISNUMBER(MATCH(G140,Table1[Excluded Spacecraft ID],0))))</f>
        <v>1</v>
      </c>
      <c r="BE140" s="13">
        <f>BD140*AK140*_xlfn.XLOOKUP(I140,Table2[Date From],Table2[Cession],"Error",-1)*_xlfn.XLOOKUP(I140,'S3123 Consortium Share'!$A$3:$A$5,'S3123 Consortium Share'!$F$3:$F$5,,-1)</f>
        <v>1432334.9879999901</v>
      </c>
      <c r="BF140" s="13">
        <f t="shared" si="155"/>
        <v>11458679.903999921</v>
      </c>
      <c r="BG140" s="89" cm="1">
        <f t="array" ref="BG140">IF(V140="FIBL",0,INDEX('IGR QS'!$A$1:$D$570,MATCH('Input Data'!V140&amp;'Input Data'!W140&amp;'Input Data'!AM140,'IGR QS'!A:A&amp;'IGR QS'!B:B&amp;'IGR QS'!C:C,0),4))</f>
        <v>0.5</v>
      </c>
      <c r="BH140" s="13">
        <f t="shared" si="156"/>
        <v>5729339.9519999605</v>
      </c>
      <c r="BI140" s="13">
        <f t="shared" si="157"/>
        <v>5729339.9519999605</v>
      </c>
      <c r="BJ140" s="13">
        <f t="shared" si="167"/>
        <v>0</v>
      </c>
      <c r="BK140" s="13">
        <f t="shared" si="158"/>
        <v>5729339.9519999605</v>
      </c>
      <c r="BL140" s="13">
        <f t="shared" si="159"/>
        <v>5729339.9519999605</v>
      </c>
      <c r="BM140" s="21"/>
      <c r="BN140" s="13">
        <f t="shared" si="168"/>
        <v>66471396.42403952</v>
      </c>
      <c r="BO140" s="13">
        <f t="shared" si="169"/>
        <v>49043091.716622137</v>
      </c>
      <c r="BP140" s="13">
        <f t="shared" si="170"/>
        <v>17428304.707417384</v>
      </c>
      <c r="BQ140" s="13">
        <f t="shared" si="171"/>
        <v>147803485.05865392</v>
      </c>
      <c r="BR140" s="13">
        <f t="shared" si="172"/>
        <v>53568720.370673373</v>
      </c>
      <c r="BT140" s="13">
        <f t="shared" si="173"/>
        <v>11458679.903999921</v>
      </c>
      <c r="BU140" s="13">
        <f t="shared" si="174"/>
        <v>5729339.9519999605</v>
      </c>
      <c r="BV140" s="13">
        <f t="shared" si="175"/>
        <v>5729339.9519999605</v>
      </c>
      <c r="BW140" s="13">
        <f t="shared" si="176"/>
        <v>2864669.9759999802</v>
      </c>
      <c r="BX140" s="13"/>
      <c r="BY140" s="25">
        <f t="shared" si="177"/>
        <v>716167.49399999506</v>
      </c>
      <c r="BZ140" s="25">
        <f t="shared" si="178"/>
        <v>716167.49399999506</v>
      </c>
      <c r="CA140" s="25">
        <f t="shared" si="179"/>
        <v>0</v>
      </c>
      <c r="CB140" s="25">
        <f t="shared" si="180"/>
        <v>0</v>
      </c>
      <c r="CC140" s="25">
        <f t="shared" si="181"/>
        <v>358083.74699999753</v>
      </c>
      <c r="CD140" s="384">
        <f t="shared" si="182"/>
        <v>0</v>
      </c>
      <c r="CR140" s="25">
        <f t="shared" si="183"/>
        <v>2864669.9759999802</v>
      </c>
      <c r="CS140" s="25">
        <f t="shared" ref="CS140:CT159" si="198">IF(AND(OR($K140="GEO-GSO",$K140="MEO"),$AL140=CS$19),$AK140*Generic_Defect_Loss,0)*$Q140*$P140</f>
        <v>2864669.9759999802</v>
      </c>
      <c r="CT140" s="25">
        <f t="shared" si="198"/>
        <v>0</v>
      </c>
      <c r="CU140" s="25">
        <f t="shared" si="184"/>
        <v>0</v>
      </c>
      <c r="CV140" s="25">
        <f t="shared" si="185"/>
        <v>1432334.9879999901</v>
      </c>
      <c r="CW140" s="25">
        <f t="shared" si="186"/>
        <v>0</v>
      </c>
      <c r="CY140" s="25">
        <f t="shared" si="187"/>
        <v>716167.49399999506</v>
      </c>
      <c r="CZ140" s="25">
        <f t="shared" si="188"/>
        <v>716167.49399999506</v>
      </c>
      <c r="DA140" s="25">
        <f t="shared" si="195"/>
        <v>0</v>
      </c>
      <c r="DB140" s="25">
        <f t="shared" si="189"/>
        <v>0</v>
      </c>
      <c r="DC140" s="25">
        <f t="shared" si="190"/>
        <v>358083.74699999753</v>
      </c>
      <c r="DD140" s="25">
        <f t="shared" si="191"/>
        <v>0</v>
      </c>
    </row>
    <row r="141" spans="1:108" x14ac:dyDescent="0.35">
      <c r="A141" s="282" t="str">
        <f t="shared" si="143"/>
        <v>366029_503996</v>
      </c>
      <c r="B141" s="303">
        <v>366029</v>
      </c>
      <c r="C141" s="303">
        <v>503996</v>
      </c>
      <c r="D141" s="319" t="str">
        <f>IFERROR(MATCH(C141,'[4]Custom Earning Pattern Not Popu'!$B$5:$B$428,0),"NA")</f>
        <v>NA</v>
      </c>
      <c r="E141" s="303" t="s">
        <v>228</v>
      </c>
      <c r="F141" s="303">
        <v>12</v>
      </c>
      <c r="G141" s="303">
        <v>8529</v>
      </c>
      <c r="H141" s="306">
        <v>40655</v>
      </c>
      <c r="I141" s="306">
        <v>46022</v>
      </c>
      <c r="J141" s="306">
        <v>46386</v>
      </c>
      <c r="K141" s="303" t="s">
        <v>113</v>
      </c>
      <c r="L141" s="306">
        <v>46022</v>
      </c>
      <c r="M141" s="306">
        <v>46386</v>
      </c>
      <c r="N141" s="303" t="s">
        <v>522</v>
      </c>
      <c r="O141" s="303" t="s">
        <v>243</v>
      </c>
      <c r="P141" s="148">
        <f t="shared" si="144"/>
        <v>0.4</v>
      </c>
      <c r="Q141" s="282">
        <v>1</v>
      </c>
      <c r="R141" s="282">
        <v>0</v>
      </c>
      <c r="S141" s="282" t="str">
        <f t="shared" si="148"/>
        <v>In-Orbit</v>
      </c>
      <c r="T141" s="282" t="s">
        <v>13</v>
      </c>
      <c r="U141" s="303" t="s">
        <v>484</v>
      </c>
      <c r="V141" s="303" t="s">
        <v>29</v>
      </c>
      <c r="W141" s="303" t="s">
        <v>78</v>
      </c>
      <c r="X141" s="303" t="s">
        <v>488</v>
      </c>
      <c r="Y141" s="303" t="s">
        <v>315</v>
      </c>
      <c r="Z141" s="303" t="s">
        <v>337</v>
      </c>
      <c r="AA141" s="308">
        <v>2727599.9954539998</v>
      </c>
      <c r="AC141" s="289">
        <f t="shared" si="145"/>
        <v>0</v>
      </c>
      <c r="AD141" s="88" cm="1">
        <f t="array" ref="AD141">IF(AC141=0,0,INDEX(Summary!$S$4:$S$7,MATCH(AC141,Summary!$R$4:$R$7)+1))</f>
        <v>0</v>
      </c>
      <c r="AE141" s="88">
        <f>IFERROR(INDEX(Summary!$Y$4:$Y$6,MATCH('Input Data'!K141,Summary!$U$4:$U$6,0)),0)</f>
        <v>0.05</v>
      </c>
      <c r="AF141" s="88" t="b">
        <f t="shared" si="162"/>
        <v>1</v>
      </c>
      <c r="AG141" s="89">
        <f>IF(AF141,INDEX('IG Equity Share'!$B:$B,MATCH(YEAR(I141),'IG Equity Share'!$A:$A,0)),0)</f>
        <v>7.4999999999999997E-2</v>
      </c>
      <c r="AH141" s="383">
        <f>AJ141*AG141*_xlfn.XLOOKUP(I141,'S3123 Consortium Share'!$A$3:$A$5,'S3123 Consortium Share'!$F$3:$F$5,,-1)</f>
        <v>85237.499857937495</v>
      </c>
      <c r="AI141" s="14">
        <v>1</v>
      </c>
      <c r="AJ141" s="13">
        <f t="shared" si="163"/>
        <v>2727599.9954539998</v>
      </c>
      <c r="AK141" s="13">
        <f t="shared" si="164"/>
        <v>2727599.9954539998</v>
      </c>
      <c r="AL141" s="13" t="str">
        <f t="shared" si="165"/>
        <v>FUL</v>
      </c>
      <c r="AM141" s="52">
        <f t="shared" si="166"/>
        <v>2025</v>
      </c>
      <c r="AN141" s="4">
        <f>INDEX('[2]Input Data'!$AH:$AH,MATCH(A141,'[2]Input Data'!$A:$A,0),1)-AH141</f>
        <v>0</v>
      </c>
      <c r="AO141" s="13">
        <f t="shared" si="197"/>
        <v>0</v>
      </c>
      <c r="AP141" s="13">
        <f t="shared" si="197"/>
        <v>0</v>
      </c>
      <c r="AQ141" s="13">
        <f t="shared" si="197"/>
        <v>0</v>
      </c>
      <c r="AR141" s="13">
        <f t="shared" si="197"/>
        <v>0</v>
      </c>
      <c r="AS141" s="13">
        <f t="shared" si="197"/>
        <v>0</v>
      </c>
      <c r="AT141" s="13">
        <f t="shared" si="197"/>
        <v>0</v>
      </c>
      <c r="AU141" s="13">
        <f t="shared" si="197"/>
        <v>545519.99909079995</v>
      </c>
      <c r="AV141" s="13">
        <f t="shared" si="192"/>
        <v>0</v>
      </c>
      <c r="AW141" s="13"/>
      <c r="AX141" s="13"/>
      <c r="AY141" s="13">
        <f t="shared" si="147"/>
        <v>545519.99909079995</v>
      </c>
      <c r="AZ141" s="13">
        <f t="shared" si="152"/>
        <v>0</v>
      </c>
      <c r="BA141" s="74"/>
      <c r="BB141" s="25">
        <f t="shared" si="153"/>
        <v>2182079.9963631998</v>
      </c>
      <c r="BC141" s="13">
        <f t="shared" si="154"/>
        <v>0</v>
      </c>
      <c r="BD141" s="13" t="b">
        <f>AND(AF141,NOT(ISNUMBER(MATCH(G141,Table1[Excluded Spacecraft ID],0))))</f>
        <v>1</v>
      </c>
      <c r="BE141" s="13">
        <f>BD141*AK141*_xlfn.XLOOKUP(I141,Table2[Date From],Table2[Cession],"Error",-1)*_xlfn.XLOOKUP(I141,'S3123 Consortium Share'!$A$3:$A$5,'S3123 Consortium Share'!$F$3:$F$5,,-1)</f>
        <v>227299.99962116664</v>
      </c>
      <c r="BF141" s="13">
        <f t="shared" si="155"/>
        <v>2182079.9963631998</v>
      </c>
      <c r="BG141" s="89" cm="1">
        <f t="array" ref="BG141">IF(V141="FIBL",0,INDEX('IGR QS'!$A$1:$D$570,MATCH('Input Data'!V141&amp;'Input Data'!W141&amp;'Input Data'!AM141,'IGR QS'!A:A&amp;'IGR QS'!B:B&amp;'IGR QS'!C:C,0),4))</f>
        <v>0.5</v>
      </c>
      <c r="BH141" s="13">
        <f t="shared" si="156"/>
        <v>1091039.9981815999</v>
      </c>
      <c r="BI141" s="13">
        <f t="shared" si="157"/>
        <v>1091039.9981815999</v>
      </c>
      <c r="BJ141" s="13">
        <f t="shared" si="167"/>
        <v>0</v>
      </c>
      <c r="BK141" s="13">
        <f t="shared" si="158"/>
        <v>1091039.9981815999</v>
      </c>
      <c r="BL141" s="13">
        <f t="shared" si="159"/>
        <v>1091039.9981815999</v>
      </c>
      <c r="BM141" s="21"/>
      <c r="BN141" s="13">
        <f t="shared" si="168"/>
        <v>10707875.116174154</v>
      </c>
      <c r="BO141" s="13">
        <f t="shared" si="169"/>
        <v>10707875.116174154</v>
      </c>
      <c r="BP141" s="13">
        <f t="shared" si="170"/>
        <v>0</v>
      </c>
      <c r="BQ141" s="13">
        <f t="shared" si="171"/>
        <v>10707875.116174154</v>
      </c>
      <c r="BR141" s="13">
        <f t="shared" si="172"/>
        <v>5353937.558087077</v>
      </c>
      <c r="BT141" s="13">
        <f t="shared" si="173"/>
        <v>2182079.9963631998</v>
      </c>
      <c r="BU141" s="13">
        <f t="shared" si="174"/>
        <v>1091039.9981815999</v>
      </c>
      <c r="BV141" s="13">
        <f t="shared" si="175"/>
        <v>1091039.9981815999</v>
      </c>
      <c r="BW141" s="13">
        <f t="shared" si="176"/>
        <v>545519.99909079995</v>
      </c>
      <c r="BX141" s="13"/>
      <c r="BY141" s="25">
        <f t="shared" si="177"/>
        <v>136379.99977269999</v>
      </c>
      <c r="BZ141" s="25">
        <f t="shared" si="178"/>
        <v>136379.99977269999</v>
      </c>
      <c r="CA141" s="25">
        <f t="shared" si="179"/>
        <v>0</v>
      </c>
      <c r="CB141" s="25">
        <f t="shared" si="180"/>
        <v>0</v>
      </c>
      <c r="CC141" s="25">
        <f t="shared" si="181"/>
        <v>68189.999886349993</v>
      </c>
      <c r="CD141" s="384">
        <f t="shared" si="182"/>
        <v>0</v>
      </c>
      <c r="CR141" s="25">
        <f t="shared" si="183"/>
        <v>545519.99909079995</v>
      </c>
      <c r="CS141" s="25">
        <f t="shared" si="198"/>
        <v>545519.99909079995</v>
      </c>
      <c r="CT141" s="25">
        <f t="shared" si="198"/>
        <v>0</v>
      </c>
      <c r="CU141" s="25">
        <f t="shared" si="184"/>
        <v>0</v>
      </c>
      <c r="CV141" s="25">
        <f t="shared" si="185"/>
        <v>272759.99954539997</v>
      </c>
      <c r="CW141" s="25">
        <f t="shared" si="186"/>
        <v>0</v>
      </c>
      <c r="CY141" s="25">
        <f t="shared" si="187"/>
        <v>136379.99977269999</v>
      </c>
      <c r="CZ141" s="25">
        <f t="shared" si="188"/>
        <v>136379.99977269999</v>
      </c>
      <c r="DA141" s="25">
        <f t="shared" si="195"/>
        <v>0</v>
      </c>
      <c r="DB141" s="25">
        <f t="shared" si="189"/>
        <v>0</v>
      </c>
      <c r="DC141" s="25">
        <f t="shared" si="190"/>
        <v>68189.999886349993</v>
      </c>
      <c r="DD141" s="25">
        <f t="shared" si="191"/>
        <v>0</v>
      </c>
    </row>
    <row r="142" spans="1:108" x14ac:dyDescent="0.35">
      <c r="A142" s="282" t="str">
        <f t="shared" si="143"/>
        <v>366029_503997</v>
      </c>
      <c r="B142" s="303">
        <v>366029</v>
      </c>
      <c r="C142" s="303">
        <v>503997</v>
      </c>
      <c r="D142" s="319" t="str">
        <f>IFERROR(MATCH(C142,'[4]Custom Earning Pattern Not Popu'!$B$5:$B$428,0),"NA")</f>
        <v>NA</v>
      </c>
      <c r="E142" s="303" t="s">
        <v>228</v>
      </c>
      <c r="F142" s="303">
        <v>12</v>
      </c>
      <c r="G142" s="303">
        <v>8375</v>
      </c>
      <c r="H142" s="306">
        <v>41022</v>
      </c>
      <c r="I142" s="306">
        <v>46022</v>
      </c>
      <c r="J142" s="306">
        <v>46386</v>
      </c>
      <c r="K142" s="303" t="s">
        <v>113</v>
      </c>
      <c r="L142" s="306">
        <v>46022</v>
      </c>
      <c r="M142" s="306">
        <v>46386</v>
      </c>
      <c r="N142" s="303" t="s">
        <v>522</v>
      </c>
      <c r="O142" s="303" t="s">
        <v>243</v>
      </c>
      <c r="P142" s="148">
        <f t="shared" si="144"/>
        <v>0.4</v>
      </c>
      <c r="Q142" s="282">
        <v>1</v>
      </c>
      <c r="R142" s="282">
        <v>0</v>
      </c>
      <c r="S142" s="282" t="str">
        <f t="shared" si="148"/>
        <v>In-Orbit</v>
      </c>
      <c r="T142" s="282" t="s">
        <v>13</v>
      </c>
      <c r="U142" s="303" t="s">
        <v>484</v>
      </c>
      <c r="V142" s="303" t="s">
        <v>29</v>
      </c>
      <c r="W142" s="303" t="s">
        <v>78</v>
      </c>
      <c r="X142" s="303" t="s">
        <v>489</v>
      </c>
      <c r="Y142" s="303" t="s">
        <v>315</v>
      </c>
      <c r="Z142" s="303" t="s">
        <v>339</v>
      </c>
      <c r="AA142" s="308">
        <v>3352357.7263714899</v>
      </c>
      <c r="AC142" s="289">
        <f t="shared" si="145"/>
        <v>0</v>
      </c>
      <c r="AD142" s="88" cm="1">
        <f t="array" ref="AD142">IF(AC142=0,0,INDEX(Summary!$S$4:$S$7,MATCH(AC142,Summary!$R$4:$R$7)+1))</f>
        <v>0</v>
      </c>
      <c r="AE142" s="88">
        <f>IFERROR(INDEX(Summary!$Y$4:$Y$6,MATCH('Input Data'!K142,Summary!$U$4:$U$6,0)),0)</f>
        <v>0.05</v>
      </c>
      <c r="AF142" s="88" t="b">
        <f t="shared" si="162"/>
        <v>1</v>
      </c>
      <c r="AG142" s="89">
        <f>IF(AF142,INDEX('IG Equity Share'!$B:$B,MATCH(YEAR(I142),'IG Equity Share'!$A:$A,0)),0)</f>
        <v>7.4999999999999997E-2</v>
      </c>
      <c r="AH142" s="383">
        <f>AJ142*AG142*_xlfn.XLOOKUP(I142,'S3123 Consortium Share'!$A$3:$A$5,'S3123 Consortium Share'!$F$3:$F$5,,-1)</f>
        <v>104761.17894910906</v>
      </c>
      <c r="AI142" s="14">
        <v>1</v>
      </c>
      <c r="AJ142" s="13">
        <f t="shared" si="163"/>
        <v>3352357.7263714899</v>
      </c>
      <c r="AK142" s="13">
        <f t="shared" si="164"/>
        <v>3352357.7263714899</v>
      </c>
      <c r="AL142" s="13" t="str">
        <f t="shared" si="165"/>
        <v>FUL</v>
      </c>
      <c r="AM142" s="52">
        <f t="shared" si="166"/>
        <v>2025</v>
      </c>
      <c r="AN142" s="4"/>
      <c r="AO142" s="13">
        <f t="shared" si="197"/>
        <v>0</v>
      </c>
      <c r="AP142" s="13">
        <f t="shared" si="197"/>
        <v>0</v>
      </c>
      <c r="AQ142" s="13">
        <f t="shared" si="197"/>
        <v>0</v>
      </c>
      <c r="AR142" s="13">
        <f t="shared" si="197"/>
        <v>0</v>
      </c>
      <c r="AS142" s="13">
        <f t="shared" si="197"/>
        <v>0</v>
      </c>
      <c r="AT142" s="13">
        <f t="shared" si="197"/>
        <v>0</v>
      </c>
      <c r="AU142" s="13">
        <f t="shared" si="197"/>
        <v>670471.54527429806</v>
      </c>
      <c r="AV142" s="13">
        <f t="shared" si="192"/>
        <v>0</v>
      </c>
      <c r="AW142" s="13"/>
      <c r="AX142" s="13"/>
      <c r="AY142" s="13">
        <f t="shared" si="147"/>
        <v>670471.54527429806</v>
      </c>
      <c r="AZ142" s="13">
        <f t="shared" si="152"/>
        <v>0</v>
      </c>
      <c r="BA142" s="74"/>
      <c r="BB142" s="25">
        <f t="shared" si="153"/>
        <v>2681886.1810971918</v>
      </c>
      <c r="BC142" s="13">
        <f t="shared" si="154"/>
        <v>0</v>
      </c>
      <c r="BD142" s="13" t="b">
        <f>AND(AF142,NOT(ISNUMBER(MATCH(G142,Table1[Excluded Spacecraft ID],0))))</f>
        <v>1</v>
      </c>
      <c r="BE142" s="13">
        <f>BD142*AK142*_xlfn.XLOOKUP(I142,Table2[Date From],Table2[Cession],"Error",-1)*_xlfn.XLOOKUP(I142,'S3123 Consortium Share'!$A$3:$A$5,'S3123 Consortium Share'!$F$3:$F$5,,-1)</f>
        <v>279363.14386429085</v>
      </c>
      <c r="BF142" s="13">
        <f t="shared" si="155"/>
        <v>2681886.1810971918</v>
      </c>
      <c r="BG142" s="89" cm="1">
        <f t="array" ref="BG142">IF(V142="FIBL",0,INDEX('IGR QS'!$A$1:$D$570,MATCH('Input Data'!V142&amp;'Input Data'!W142&amp;'Input Data'!AM142,'IGR QS'!A:A&amp;'IGR QS'!B:B&amp;'IGR QS'!C:C,0),4))</f>
        <v>0.5</v>
      </c>
      <c r="BH142" s="13">
        <f t="shared" si="156"/>
        <v>1340943.0905485959</v>
      </c>
      <c r="BI142" s="13">
        <f t="shared" si="157"/>
        <v>1340943.0905485959</v>
      </c>
      <c r="BJ142" s="13">
        <f t="shared" si="167"/>
        <v>0</v>
      </c>
      <c r="BK142" s="13">
        <f t="shared" si="158"/>
        <v>1340943.0905485959</v>
      </c>
      <c r="BL142" s="13">
        <f t="shared" si="159"/>
        <v>1340943.0905485959</v>
      </c>
      <c r="BM142" s="21"/>
      <c r="BN142" s="13">
        <f t="shared" si="168"/>
        <v>10707875.116174154</v>
      </c>
      <c r="BO142" s="13">
        <f t="shared" si="169"/>
        <v>10707875.116174154</v>
      </c>
      <c r="BP142" s="13">
        <f t="shared" si="170"/>
        <v>0</v>
      </c>
      <c r="BQ142" s="13">
        <f t="shared" si="171"/>
        <v>10707875.116174154</v>
      </c>
      <c r="BR142" s="13">
        <f t="shared" si="172"/>
        <v>5353937.558087077</v>
      </c>
      <c r="BT142" s="13">
        <f t="shared" si="173"/>
        <v>2681886.1810971918</v>
      </c>
      <c r="BU142" s="13">
        <f t="shared" si="174"/>
        <v>1340943.0905485959</v>
      </c>
      <c r="BV142" s="13">
        <f t="shared" si="175"/>
        <v>1340943.0905485959</v>
      </c>
      <c r="BW142" s="13">
        <f t="shared" si="176"/>
        <v>670471.54527429806</v>
      </c>
      <c r="BX142" s="13"/>
      <c r="BY142" s="25">
        <f t="shared" si="177"/>
        <v>167617.88631857451</v>
      </c>
      <c r="BZ142" s="25">
        <f t="shared" si="178"/>
        <v>167617.88631857451</v>
      </c>
      <c r="CA142" s="25">
        <f t="shared" si="179"/>
        <v>0</v>
      </c>
      <c r="CB142" s="25">
        <f t="shared" si="180"/>
        <v>0</v>
      </c>
      <c r="CC142" s="25">
        <f t="shared" si="181"/>
        <v>83808.943159287257</v>
      </c>
      <c r="CD142" s="384">
        <f t="shared" si="182"/>
        <v>0</v>
      </c>
      <c r="CR142" s="25">
        <f t="shared" si="183"/>
        <v>670471.54527429806</v>
      </c>
      <c r="CS142" s="25">
        <f t="shared" si="198"/>
        <v>670471.54527429806</v>
      </c>
      <c r="CT142" s="25">
        <f t="shared" si="198"/>
        <v>0</v>
      </c>
      <c r="CU142" s="25">
        <f t="shared" si="184"/>
        <v>0</v>
      </c>
      <c r="CV142" s="25">
        <f t="shared" si="185"/>
        <v>335235.77263714903</v>
      </c>
      <c r="CW142" s="25">
        <f t="shared" si="186"/>
        <v>0</v>
      </c>
      <c r="CY142" s="25">
        <f t="shared" si="187"/>
        <v>167617.88631857451</v>
      </c>
      <c r="CZ142" s="25">
        <f t="shared" si="188"/>
        <v>167617.88631857451</v>
      </c>
      <c r="DA142" s="25">
        <f t="shared" si="195"/>
        <v>0</v>
      </c>
      <c r="DB142" s="25">
        <f t="shared" si="189"/>
        <v>0</v>
      </c>
      <c r="DC142" s="25">
        <f t="shared" si="190"/>
        <v>83808.943159287257</v>
      </c>
      <c r="DD142" s="25">
        <f t="shared" si="191"/>
        <v>0</v>
      </c>
    </row>
    <row r="143" spans="1:108" x14ac:dyDescent="0.35">
      <c r="A143" s="282" t="str">
        <f t="shared" si="143"/>
        <v>366029_503999</v>
      </c>
      <c r="B143" s="303">
        <v>366029</v>
      </c>
      <c r="C143" s="303">
        <v>503999</v>
      </c>
      <c r="D143" s="319" t="str">
        <f>IFERROR(MATCH(C143,'[4]Custom Earning Pattern Not Popu'!$B$5:$B$428,0),"NA")</f>
        <v>NA</v>
      </c>
      <c r="E143" s="303" t="s">
        <v>228</v>
      </c>
      <c r="F143" s="303">
        <v>12</v>
      </c>
      <c r="G143" s="303">
        <v>8632</v>
      </c>
      <c r="H143" s="306">
        <v>45661</v>
      </c>
      <c r="I143" s="306">
        <v>46026</v>
      </c>
      <c r="J143" s="306">
        <v>46386</v>
      </c>
      <c r="K143" s="303" t="s">
        <v>113</v>
      </c>
      <c r="L143" s="306">
        <v>46026</v>
      </c>
      <c r="M143" s="306">
        <v>46386</v>
      </c>
      <c r="N143" s="303" t="s">
        <v>230</v>
      </c>
      <c r="O143" s="303" t="s">
        <v>230</v>
      </c>
      <c r="P143" s="148">
        <f t="shared" si="144"/>
        <v>0.4</v>
      </c>
      <c r="Q143" s="282">
        <v>1</v>
      </c>
      <c r="R143" s="282">
        <v>0</v>
      </c>
      <c r="S143" s="282" t="str">
        <f t="shared" si="148"/>
        <v>In-Orbit</v>
      </c>
      <c r="T143" s="282" t="s">
        <v>13</v>
      </c>
      <c r="U143" s="303" t="s">
        <v>484</v>
      </c>
      <c r="V143" s="303" t="s">
        <v>29</v>
      </c>
      <c r="W143" s="303" t="s">
        <v>78</v>
      </c>
      <c r="X143" s="303" t="s">
        <v>563</v>
      </c>
      <c r="Y143" s="303" t="s">
        <v>322</v>
      </c>
      <c r="Z143" s="303" t="s">
        <v>338</v>
      </c>
      <c r="AA143" s="308">
        <v>4206210.12</v>
      </c>
      <c r="AC143" s="289">
        <f t="shared" si="145"/>
        <v>0</v>
      </c>
      <c r="AD143" s="88" cm="1">
        <f t="array" ref="AD143">IF(AC143=0,0,INDEX(Summary!$S$4:$S$7,MATCH(AC143,Summary!$R$4:$R$7)+1))</f>
        <v>0</v>
      </c>
      <c r="AE143" s="88">
        <f>IFERROR(INDEX(Summary!$Y$4:$Y$6,MATCH('Input Data'!K143,Summary!$U$4:$U$6,0)),0)</f>
        <v>0.05</v>
      </c>
      <c r="AF143" s="88" t="b">
        <f t="shared" si="162"/>
        <v>1</v>
      </c>
      <c r="AG143" s="89">
        <f>IF(AF143,INDEX('IG Equity Share'!$B:$B,MATCH(YEAR(I143),'IG Equity Share'!$A:$A,0)),0)</f>
        <v>7.4999999999999997E-2</v>
      </c>
      <c r="AH143" s="383">
        <f>AJ143*AG143*_xlfn.XLOOKUP(I143,'S3123 Consortium Share'!$A$3:$A$5,'S3123 Consortium Share'!$F$3:$F$5,,-1)</f>
        <v>157732.87950000001</v>
      </c>
      <c r="AI143" s="14">
        <v>1</v>
      </c>
      <c r="AJ143" s="13">
        <f t="shared" si="163"/>
        <v>4206210.12</v>
      </c>
      <c r="AK143" s="13">
        <f t="shared" si="164"/>
        <v>4206210.12</v>
      </c>
      <c r="AL143" s="13" t="str">
        <f t="shared" si="165"/>
        <v>FUL</v>
      </c>
      <c r="AM143" s="52">
        <f t="shared" si="166"/>
        <v>2026</v>
      </c>
      <c r="AN143" s="4"/>
      <c r="AO143" s="13">
        <f t="shared" si="197"/>
        <v>0</v>
      </c>
      <c r="AP143" s="13">
        <f t="shared" si="197"/>
        <v>0</v>
      </c>
      <c r="AQ143" s="13">
        <f t="shared" si="197"/>
        <v>0</v>
      </c>
      <c r="AR143" s="13">
        <f t="shared" si="197"/>
        <v>0</v>
      </c>
      <c r="AS143" s="13">
        <f t="shared" si="197"/>
        <v>0</v>
      </c>
      <c r="AT143" s="13">
        <f t="shared" si="197"/>
        <v>0</v>
      </c>
      <c r="AU143" s="13">
        <f t="shared" si="197"/>
        <v>0</v>
      </c>
      <c r="AV143" s="13">
        <f t="shared" si="192"/>
        <v>841242.02400000009</v>
      </c>
      <c r="AW143" s="13"/>
      <c r="AX143" s="13"/>
      <c r="AY143" s="13">
        <f t="shared" si="147"/>
        <v>841242.02400000009</v>
      </c>
      <c r="AZ143" s="13">
        <f t="shared" si="152"/>
        <v>0</v>
      </c>
      <c r="BA143" s="74"/>
      <c r="BB143" s="25">
        <f t="shared" si="153"/>
        <v>3364968.0959999999</v>
      </c>
      <c r="BC143" s="13">
        <f t="shared" si="154"/>
        <v>0</v>
      </c>
      <c r="BD143" s="13" t="b">
        <f>AND(AF143,NOT(ISNUMBER(MATCH(G143,Table1[Excluded Spacecraft ID],0))))</f>
        <v>1</v>
      </c>
      <c r="BE143" s="13">
        <f>BD143*AK143*_xlfn.XLOOKUP(I143,Table2[Date From],Table2[Cession],"Error",-1)*_xlfn.XLOOKUP(I143,'S3123 Consortium Share'!$A$3:$A$5,'S3123 Consortium Share'!$F$3:$F$5,,-1)</f>
        <v>420621.01200000005</v>
      </c>
      <c r="BF143" s="13">
        <f t="shared" si="155"/>
        <v>3364968.0959999999</v>
      </c>
      <c r="BG143" s="89" cm="1">
        <f t="array" ref="BG143">IF(V143="FIBL",0,INDEX('IGR QS'!$A$1:$D$570,MATCH('Input Data'!V143&amp;'Input Data'!W143&amp;'Input Data'!AM143,'IGR QS'!A:A&amp;'IGR QS'!B:B&amp;'IGR QS'!C:C,0),4))</f>
        <v>0.5</v>
      </c>
      <c r="BH143" s="13">
        <f t="shared" si="156"/>
        <v>1682484.048</v>
      </c>
      <c r="BI143" s="13">
        <f t="shared" si="157"/>
        <v>1682484.048</v>
      </c>
      <c r="BJ143" s="13">
        <f t="shared" si="167"/>
        <v>0</v>
      </c>
      <c r="BK143" s="13">
        <f t="shared" si="158"/>
        <v>1682484.048</v>
      </c>
      <c r="BL143" s="13">
        <f t="shared" si="159"/>
        <v>1682484.048</v>
      </c>
      <c r="BM143" s="21"/>
      <c r="BN143" s="13">
        <f t="shared" si="168"/>
        <v>66471396.42403952</v>
      </c>
      <c r="BO143" s="13">
        <f t="shared" si="169"/>
        <v>49043091.716622137</v>
      </c>
      <c r="BP143" s="13">
        <f t="shared" si="170"/>
        <v>17428304.707417384</v>
      </c>
      <c r="BQ143" s="13">
        <f t="shared" si="171"/>
        <v>147803485.05865392</v>
      </c>
      <c r="BR143" s="13">
        <f t="shared" si="172"/>
        <v>53568720.370673373</v>
      </c>
      <c r="BT143" s="13">
        <f t="shared" si="173"/>
        <v>3364968.0959999999</v>
      </c>
      <c r="BU143" s="13">
        <f t="shared" si="174"/>
        <v>1682484.048</v>
      </c>
      <c r="BV143" s="13">
        <f t="shared" si="175"/>
        <v>1682484.048</v>
      </c>
      <c r="BW143" s="13">
        <f t="shared" si="176"/>
        <v>841242.02400000009</v>
      </c>
      <c r="BX143" s="13"/>
      <c r="BY143" s="25">
        <f t="shared" si="177"/>
        <v>210310.50600000002</v>
      </c>
      <c r="BZ143" s="25">
        <f t="shared" si="178"/>
        <v>210310.50600000002</v>
      </c>
      <c r="CA143" s="25">
        <f t="shared" si="179"/>
        <v>0</v>
      </c>
      <c r="CB143" s="25">
        <f t="shared" si="180"/>
        <v>0</v>
      </c>
      <c r="CC143" s="25">
        <f t="shared" si="181"/>
        <v>105155.25300000001</v>
      </c>
      <c r="CD143" s="384">
        <f t="shared" si="182"/>
        <v>0</v>
      </c>
      <c r="CR143" s="25">
        <f t="shared" si="183"/>
        <v>841242.02400000009</v>
      </c>
      <c r="CS143" s="25">
        <f t="shared" si="198"/>
        <v>841242.02400000009</v>
      </c>
      <c r="CT143" s="25">
        <f t="shared" si="198"/>
        <v>0</v>
      </c>
      <c r="CU143" s="25">
        <f t="shared" si="184"/>
        <v>0</v>
      </c>
      <c r="CV143" s="25">
        <f t="shared" si="185"/>
        <v>420621.01200000005</v>
      </c>
      <c r="CW143" s="25">
        <f t="shared" si="186"/>
        <v>0</v>
      </c>
      <c r="CY143" s="25">
        <f t="shared" si="187"/>
        <v>210310.50600000002</v>
      </c>
      <c r="CZ143" s="25">
        <f t="shared" si="188"/>
        <v>210310.50600000002</v>
      </c>
      <c r="DA143" s="25">
        <f t="shared" si="195"/>
        <v>0</v>
      </c>
      <c r="DB143" s="25">
        <f t="shared" si="189"/>
        <v>0</v>
      </c>
      <c r="DC143" s="25">
        <f t="shared" si="190"/>
        <v>105155.25300000001</v>
      </c>
      <c r="DD143" s="25">
        <f t="shared" si="191"/>
        <v>0</v>
      </c>
    </row>
    <row r="144" spans="1:108" x14ac:dyDescent="0.35">
      <c r="A144" s="282" t="str">
        <f t="shared" si="143"/>
        <v>367899_508203</v>
      </c>
      <c r="B144" s="303">
        <v>367899</v>
      </c>
      <c r="C144" s="303">
        <v>508203</v>
      </c>
      <c r="D144" s="319" t="str">
        <f>IFERROR(MATCH(C144,'[4]Custom Earning Pattern Not Popu'!$B$5:$B$428,0),"NA")</f>
        <v>NA</v>
      </c>
      <c r="E144" s="303" t="s">
        <v>228</v>
      </c>
      <c r="F144" s="303">
        <v>12</v>
      </c>
      <c r="G144" s="303">
        <v>17299</v>
      </c>
      <c r="H144" s="306">
        <v>45342</v>
      </c>
      <c r="I144" s="306">
        <v>46074</v>
      </c>
      <c r="J144" s="306">
        <v>46438</v>
      </c>
      <c r="K144" s="303" t="s">
        <v>113</v>
      </c>
      <c r="L144" s="306">
        <v>46074</v>
      </c>
      <c r="M144" s="306">
        <v>46438</v>
      </c>
      <c r="N144" s="303" t="s">
        <v>234</v>
      </c>
      <c r="O144" s="303" t="s">
        <v>234</v>
      </c>
      <c r="P144" s="148">
        <f t="shared" si="144"/>
        <v>0.4</v>
      </c>
      <c r="Q144" s="282">
        <v>1</v>
      </c>
      <c r="R144" s="282">
        <v>0</v>
      </c>
      <c r="S144" s="282" t="str">
        <f t="shared" si="148"/>
        <v>In-Orbit</v>
      </c>
      <c r="T144" s="282" t="s">
        <v>13</v>
      </c>
      <c r="U144" s="303" t="s">
        <v>555</v>
      </c>
      <c r="V144" s="303" t="s">
        <v>29</v>
      </c>
      <c r="W144" s="303" t="s">
        <v>78</v>
      </c>
      <c r="X144" s="303" t="s">
        <v>306</v>
      </c>
      <c r="Y144" s="303" t="s">
        <v>317</v>
      </c>
      <c r="Z144" s="303" t="s">
        <v>338</v>
      </c>
      <c r="AA144" s="308">
        <v>6425215.4311806597</v>
      </c>
      <c r="AC144" s="289">
        <f t="shared" si="145"/>
        <v>0</v>
      </c>
      <c r="AD144" s="88" cm="1">
        <f t="array" ref="AD144">IF(AC144=0,0,INDEX(Summary!$S$4:$S$7,MATCH(AC144,Summary!$R$4:$R$7)+1))</f>
        <v>0</v>
      </c>
      <c r="AE144" s="88">
        <f>IFERROR(INDEX(Summary!$Y$4:$Y$6,MATCH('Input Data'!K144,Summary!$U$4:$U$6,0)),0)</f>
        <v>0.05</v>
      </c>
      <c r="AF144" s="88" t="b">
        <f t="shared" si="162"/>
        <v>1</v>
      </c>
      <c r="AG144" s="89">
        <f>IF(AF144,INDEX('IG Equity Share'!$B:$B,MATCH(YEAR(I144),'IG Equity Share'!$A:$A,0)),0)</f>
        <v>7.4999999999999997E-2</v>
      </c>
      <c r="AH144" s="383">
        <f>AJ144*AG144*_xlfn.XLOOKUP(I144,'S3123 Consortium Share'!$A$3:$A$5,'S3123 Consortium Share'!$F$3:$F$5,,-1)</f>
        <v>240945.57866927472</v>
      </c>
      <c r="AI144" s="14">
        <v>1</v>
      </c>
      <c r="AJ144" s="13">
        <f t="shared" si="163"/>
        <v>6425215.4311806597</v>
      </c>
      <c r="AK144" s="13">
        <f t="shared" si="164"/>
        <v>6425215.4311806597</v>
      </c>
      <c r="AL144" s="13" t="str">
        <f t="shared" si="165"/>
        <v>FUL</v>
      </c>
      <c r="AM144" s="52">
        <f t="shared" si="166"/>
        <v>2026</v>
      </c>
      <c r="AN144" s="4"/>
      <c r="AO144" s="13">
        <f t="shared" si="197"/>
        <v>0</v>
      </c>
      <c r="AP144" s="13">
        <f t="shared" si="197"/>
        <v>0</v>
      </c>
      <c r="AQ144" s="13">
        <f t="shared" si="197"/>
        <v>0</v>
      </c>
      <c r="AR144" s="13">
        <f t="shared" si="197"/>
        <v>0</v>
      </c>
      <c r="AS144" s="13">
        <f t="shared" si="197"/>
        <v>0</v>
      </c>
      <c r="AT144" s="13">
        <f t="shared" si="197"/>
        <v>0</v>
      </c>
      <c r="AU144" s="13">
        <f t="shared" si="197"/>
        <v>0</v>
      </c>
      <c r="AV144" s="13">
        <f t="shared" si="192"/>
        <v>1285043.0862361321</v>
      </c>
      <c r="AW144" s="13"/>
      <c r="AX144" s="13"/>
      <c r="AY144" s="13">
        <f t="shared" si="147"/>
        <v>1285043.0862361321</v>
      </c>
      <c r="AZ144" s="13">
        <f t="shared" ref="AZ144:AZ151" si="199">+AO144+AP144</f>
        <v>0</v>
      </c>
      <c r="BA144" s="74"/>
      <c r="BB144" s="25">
        <f t="shared" ref="BB144:BB151" si="200">+AK144-AY144</f>
        <v>5140172.3449445274</v>
      </c>
      <c r="BC144" s="13">
        <f t="shared" ref="BC144:BC151" si="201">SUM(AO144)</f>
        <v>0</v>
      </c>
      <c r="BD144" s="13" t="b">
        <f>AND(AF144,NOT(ISNUMBER(MATCH(G144,Table1[Excluded Spacecraft ID],0))))</f>
        <v>1</v>
      </c>
      <c r="BE144" s="13">
        <f>BD144*AK144*_xlfn.XLOOKUP(I144,Table2[Date From],Table2[Cession],"Error",-1)*_xlfn.XLOOKUP(I144,'S3123 Consortium Share'!$A$3:$A$5,'S3123 Consortium Share'!$F$3:$F$5,,-1)</f>
        <v>642521.54311806604</v>
      </c>
      <c r="BF144" s="13">
        <f t="shared" ref="BF144:BF151" si="202">+BB144-BC144</f>
        <v>5140172.3449445274</v>
      </c>
      <c r="BG144" s="89" cm="1">
        <f t="array" ref="BG144">IF(V144="FIBL",0,INDEX('IGR QS'!$A$1:$D$570,MATCH('Input Data'!V144&amp;'Input Data'!W144&amp;'Input Data'!AM144,'IGR QS'!A:A&amp;'IGR QS'!B:B&amp;'IGR QS'!C:C,0),4))</f>
        <v>0.5</v>
      </c>
      <c r="BH144" s="13">
        <f t="shared" ref="BH144:BH151" si="203">+BF144*BG144</f>
        <v>2570086.1724722637</v>
      </c>
      <c r="BI144" s="13">
        <f t="shared" ref="BI144:BI151" si="204">+BF144-BH144</f>
        <v>2570086.1724722637</v>
      </c>
      <c r="BJ144" s="13">
        <f t="shared" si="167"/>
        <v>0</v>
      </c>
      <c r="BK144" s="13">
        <f t="shared" ref="BK144:BK151" si="205">BH144+BJ144</f>
        <v>2570086.1724722637</v>
      </c>
      <c r="BL144" s="13">
        <f t="shared" ref="BL144:BL151" si="206">+BI144-BJ144</f>
        <v>2570086.1724722637</v>
      </c>
      <c r="BM144" s="21"/>
      <c r="BN144" s="13">
        <f t="shared" si="168"/>
        <v>33962303.368542388</v>
      </c>
      <c r="BO144" s="13">
        <f t="shared" si="169"/>
        <v>20011429.248113245</v>
      </c>
      <c r="BP144" s="13">
        <f t="shared" si="170"/>
        <v>13950874.12042914</v>
      </c>
      <c r="BQ144" s="13">
        <f t="shared" si="171"/>
        <v>99066382.597211704</v>
      </c>
      <c r="BR144" s="13">
        <f t="shared" si="172"/>
        <v>33257171.491438523</v>
      </c>
      <c r="BT144" s="13">
        <f t="shared" si="173"/>
        <v>5140172.3449445274</v>
      </c>
      <c r="BU144" s="13">
        <f t="shared" si="174"/>
        <v>2570086.1724722637</v>
      </c>
      <c r="BV144" s="13">
        <f t="shared" si="175"/>
        <v>2570086.1724722637</v>
      </c>
      <c r="BW144" s="13">
        <f t="shared" si="176"/>
        <v>1285043.0862361321</v>
      </c>
      <c r="BX144" s="13"/>
      <c r="BY144" s="25">
        <f t="shared" si="177"/>
        <v>321260.77155903302</v>
      </c>
      <c r="BZ144" s="25">
        <f t="shared" si="178"/>
        <v>321260.77155903302</v>
      </c>
      <c r="CA144" s="25">
        <f t="shared" si="179"/>
        <v>0</v>
      </c>
      <c r="CB144" s="25">
        <f t="shared" si="180"/>
        <v>0</v>
      </c>
      <c r="CC144" s="25">
        <f t="shared" si="181"/>
        <v>160630.38577951651</v>
      </c>
      <c r="CD144" s="384">
        <f t="shared" si="182"/>
        <v>0</v>
      </c>
      <c r="CR144" s="25">
        <f t="shared" si="183"/>
        <v>1285043.0862361321</v>
      </c>
      <c r="CS144" s="25">
        <f t="shared" si="198"/>
        <v>1285043.0862361321</v>
      </c>
      <c r="CT144" s="25">
        <f t="shared" si="198"/>
        <v>0</v>
      </c>
      <c r="CU144" s="25">
        <f t="shared" si="184"/>
        <v>0</v>
      </c>
      <c r="CV144" s="25">
        <f t="shared" si="185"/>
        <v>642521.54311806604</v>
      </c>
      <c r="CW144" s="25">
        <f t="shared" si="186"/>
        <v>0</v>
      </c>
      <c r="CY144" s="25">
        <f t="shared" si="187"/>
        <v>321260.77155903302</v>
      </c>
      <c r="CZ144" s="25">
        <f t="shared" si="188"/>
        <v>321260.77155903302</v>
      </c>
      <c r="DA144" s="25">
        <f t="shared" si="195"/>
        <v>0</v>
      </c>
      <c r="DB144" s="25">
        <f t="shared" si="189"/>
        <v>0</v>
      </c>
      <c r="DC144" s="25">
        <f t="shared" si="190"/>
        <v>160630.38577951651</v>
      </c>
      <c r="DD144" s="25">
        <f t="shared" si="191"/>
        <v>0</v>
      </c>
    </row>
    <row r="145" spans="1:108" x14ac:dyDescent="0.35">
      <c r="A145" s="282" t="str">
        <f t="shared" si="143"/>
        <v>368892_509838</v>
      </c>
      <c r="B145" s="303">
        <v>368892</v>
      </c>
      <c r="C145" s="303">
        <v>509838</v>
      </c>
      <c r="D145" s="319" t="str">
        <f>IFERROR(MATCH(C145,'[4]Custom Earning Pattern Not Popu'!$B$5:$B$428,0),"NA")</f>
        <v>NA</v>
      </c>
      <c r="E145" s="303" t="s">
        <v>228</v>
      </c>
      <c r="F145" s="303">
        <v>12</v>
      </c>
      <c r="G145" s="303">
        <v>8898</v>
      </c>
      <c r="H145" s="306">
        <v>41628</v>
      </c>
      <c r="I145" s="306">
        <v>46012</v>
      </c>
      <c r="J145" s="306">
        <v>46386</v>
      </c>
      <c r="K145" s="303" t="s">
        <v>113</v>
      </c>
      <c r="L145" s="306">
        <v>46012</v>
      </c>
      <c r="M145" s="306">
        <v>46386</v>
      </c>
      <c r="N145" s="303" t="s">
        <v>523</v>
      </c>
      <c r="O145" s="303" t="s">
        <v>242</v>
      </c>
      <c r="P145" s="148">
        <f t="shared" si="144"/>
        <v>0.4</v>
      </c>
      <c r="Q145" s="282">
        <v>1</v>
      </c>
      <c r="R145" s="282">
        <v>0</v>
      </c>
      <c r="S145" s="282" t="str">
        <f t="shared" si="148"/>
        <v>In-Orbit</v>
      </c>
      <c r="T145" s="282" t="s">
        <v>13</v>
      </c>
      <c r="U145" s="303" t="s">
        <v>556</v>
      </c>
      <c r="V145" s="303" t="s">
        <v>29</v>
      </c>
      <c r="W145" s="303" t="s">
        <v>78</v>
      </c>
      <c r="X145" s="303" t="s">
        <v>490</v>
      </c>
      <c r="Y145" s="303" t="s">
        <v>330</v>
      </c>
      <c r="Z145" s="303" t="s">
        <v>344</v>
      </c>
      <c r="AA145" s="308">
        <v>3092783.5</v>
      </c>
      <c r="AC145" s="289">
        <f t="shared" si="145"/>
        <v>0</v>
      </c>
      <c r="AD145" s="88" cm="1">
        <f t="array" ref="AD145">IF(AC145=0,0,INDEX(Summary!$S$4:$S$7,MATCH(AC145,Summary!$R$4:$R$7)+1))</f>
        <v>0</v>
      </c>
      <c r="AE145" s="88">
        <f>IFERROR(INDEX(Summary!$Y$4:$Y$6,MATCH('Input Data'!K145,Summary!$U$4:$U$6,0)),0)</f>
        <v>0.05</v>
      </c>
      <c r="AF145" s="88" t="b">
        <f t="shared" si="162"/>
        <v>1</v>
      </c>
      <c r="AG145" s="89">
        <f>IF(AF145,INDEX('IG Equity Share'!$B:$B,MATCH(YEAR(I145),'IG Equity Share'!$A:$A,0)),0)</f>
        <v>7.4999999999999997E-2</v>
      </c>
      <c r="AH145" s="383">
        <f>AJ145*AG145*_xlfn.XLOOKUP(I145,'S3123 Consortium Share'!$A$3:$A$5,'S3123 Consortium Share'!$F$3:$F$5,,-1)</f>
        <v>96649.484375</v>
      </c>
      <c r="AI145" s="14">
        <v>1</v>
      </c>
      <c r="AJ145" s="13">
        <f t="shared" si="163"/>
        <v>3092783.5</v>
      </c>
      <c r="AK145" s="13">
        <f t="shared" si="164"/>
        <v>3092783.5</v>
      </c>
      <c r="AL145" s="13" t="str">
        <f t="shared" si="165"/>
        <v>FUL</v>
      </c>
      <c r="AM145" s="52">
        <f t="shared" si="166"/>
        <v>2025</v>
      </c>
      <c r="AN145" s="4"/>
      <c r="AO145" s="13">
        <f t="shared" si="197"/>
        <v>0</v>
      </c>
      <c r="AP145" s="13">
        <f t="shared" si="197"/>
        <v>0</v>
      </c>
      <c r="AQ145" s="13">
        <f t="shared" si="197"/>
        <v>0</v>
      </c>
      <c r="AR145" s="13">
        <f t="shared" si="197"/>
        <v>0</v>
      </c>
      <c r="AS145" s="13">
        <f t="shared" si="197"/>
        <v>0</v>
      </c>
      <c r="AT145" s="13">
        <f t="shared" si="197"/>
        <v>0</v>
      </c>
      <c r="AU145" s="13">
        <f t="shared" si="197"/>
        <v>618556.70000000007</v>
      </c>
      <c r="AV145" s="13">
        <f t="shared" si="192"/>
        <v>0</v>
      </c>
      <c r="AW145" s="13"/>
      <c r="AX145" s="13"/>
      <c r="AY145" s="13">
        <f t="shared" si="147"/>
        <v>618556.70000000007</v>
      </c>
      <c r="AZ145" s="13">
        <f t="shared" si="199"/>
        <v>0</v>
      </c>
      <c r="BA145" s="74"/>
      <c r="BB145" s="25">
        <f t="shared" si="200"/>
        <v>2474226.7999999998</v>
      </c>
      <c r="BC145" s="13">
        <f t="shared" si="201"/>
        <v>0</v>
      </c>
      <c r="BD145" s="13" t="b">
        <f>AND(AF145,NOT(ISNUMBER(MATCH(G145,Table1[Excluded Spacecraft ID],0))))</f>
        <v>1</v>
      </c>
      <c r="BE145" s="13">
        <f>BD145*AK145*_xlfn.XLOOKUP(I145,Table2[Date From],Table2[Cession],"Error",-1)*_xlfn.XLOOKUP(I145,'S3123 Consortium Share'!$A$3:$A$5,'S3123 Consortium Share'!$F$3:$F$5,,-1)</f>
        <v>257731.95833333337</v>
      </c>
      <c r="BF145" s="13">
        <f t="shared" si="202"/>
        <v>2474226.7999999998</v>
      </c>
      <c r="BG145" s="89" cm="1">
        <f t="array" ref="BG145">IF(V145="FIBL",0,INDEX('IGR QS'!$A$1:$D$570,MATCH('Input Data'!V145&amp;'Input Data'!W145&amp;'Input Data'!AM145,'IGR QS'!A:A&amp;'IGR QS'!B:B&amp;'IGR QS'!C:C,0),4))</f>
        <v>0.5</v>
      </c>
      <c r="BH145" s="13">
        <f t="shared" si="203"/>
        <v>1237113.3999999999</v>
      </c>
      <c r="BI145" s="13">
        <f t="shared" si="204"/>
        <v>1237113.3999999999</v>
      </c>
      <c r="BJ145" s="13">
        <f t="shared" si="167"/>
        <v>0</v>
      </c>
      <c r="BK145" s="13">
        <f t="shared" si="205"/>
        <v>1237113.3999999999</v>
      </c>
      <c r="BL145" s="13">
        <f t="shared" si="206"/>
        <v>1237113.3999999999</v>
      </c>
      <c r="BM145" s="21"/>
      <c r="BN145" s="13">
        <f t="shared" si="168"/>
        <v>1237113.3999999999</v>
      </c>
      <c r="BO145" s="13">
        <f t="shared" si="169"/>
        <v>1237113.3999999999</v>
      </c>
      <c r="BP145" s="13">
        <f t="shared" si="170"/>
        <v>0</v>
      </c>
      <c r="BQ145" s="13">
        <f t="shared" si="171"/>
        <v>1237113.3999999999</v>
      </c>
      <c r="BR145" s="13">
        <f t="shared" si="172"/>
        <v>618556.70000000007</v>
      </c>
      <c r="BT145" s="13">
        <f t="shared" si="173"/>
        <v>2474226.7999999998</v>
      </c>
      <c r="BU145" s="13">
        <f t="shared" si="174"/>
        <v>1237113.3999999999</v>
      </c>
      <c r="BV145" s="13">
        <f t="shared" si="175"/>
        <v>1237113.3999999999</v>
      </c>
      <c r="BW145" s="13">
        <f t="shared" si="176"/>
        <v>618556.70000000007</v>
      </c>
      <c r="BX145" s="13"/>
      <c r="BY145" s="25">
        <f t="shared" si="177"/>
        <v>154639.17500000002</v>
      </c>
      <c r="BZ145" s="25">
        <f t="shared" si="178"/>
        <v>154639.17500000002</v>
      </c>
      <c r="CA145" s="25">
        <f t="shared" si="179"/>
        <v>0</v>
      </c>
      <c r="CB145" s="25">
        <f t="shared" si="180"/>
        <v>0</v>
      </c>
      <c r="CC145" s="25">
        <f t="shared" si="181"/>
        <v>77319.587500000009</v>
      </c>
      <c r="CD145" s="384">
        <f t="shared" si="182"/>
        <v>0</v>
      </c>
      <c r="CR145" s="25">
        <f t="shared" si="183"/>
        <v>618556.70000000007</v>
      </c>
      <c r="CS145" s="25">
        <f t="shared" si="198"/>
        <v>618556.70000000007</v>
      </c>
      <c r="CT145" s="25">
        <f t="shared" si="198"/>
        <v>0</v>
      </c>
      <c r="CU145" s="25">
        <f t="shared" si="184"/>
        <v>0</v>
      </c>
      <c r="CV145" s="25">
        <f t="shared" si="185"/>
        <v>309278.35000000003</v>
      </c>
      <c r="CW145" s="25">
        <f t="shared" si="186"/>
        <v>0</v>
      </c>
      <c r="CY145" s="25">
        <f t="shared" si="187"/>
        <v>154639.17500000002</v>
      </c>
      <c r="CZ145" s="25">
        <f t="shared" si="188"/>
        <v>154639.17500000002</v>
      </c>
      <c r="DA145" s="25">
        <f t="shared" si="195"/>
        <v>0</v>
      </c>
      <c r="DB145" s="25">
        <f t="shared" si="189"/>
        <v>0</v>
      </c>
      <c r="DC145" s="25">
        <f t="shared" si="190"/>
        <v>77319.587500000009</v>
      </c>
      <c r="DD145" s="25">
        <f t="shared" si="191"/>
        <v>0</v>
      </c>
    </row>
    <row r="146" spans="1:108" x14ac:dyDescent="0.35">
      <c r="A146" s="282" t="str">
        <f t="shared" si="143"/>
        <v>369418_510955</v>
      </c>
      <c r="B146" s="303">
        <v>369418</v>
      </c>
      <c r="C146" s="303">
        <v>510955</v>
      </c>
      <c r="D146" s="319" t="str">
        <f>IFERROR(MATCH(C146,'[4]Custom Earning Pattern Not Popu'!$B$5:$B$428,0),"NA")</f>
        <v>NA</v>
      </c>
      <c r="E146" s="303" t="s">
        <v>228</v>
      </c>
      <c r="F146" s="303">
        <v>12</v>
      </c>
      <c r="G146" s="303">
        <v>12485</v>
      </c>
      <c r="H146" s="306">
        <v>45414</v>
      </c>
      <c r="I146" s="306">
        <v>46058</v>
      </c>
      <c r="J146" s="306">
        <v>46422</v>
      </c>
      <c r="K146" s="303" t="s">
        <v>16</v>
      </c>
      <c r="L146" s="306">
        <v>46058</v>
      </c>
      <c r="M146" s="306">
        <v>46422</v>
      </c>
      <c r="N146" s="303" t="s">
        <v>467</v>
      </c>
      <c r="O146" s="303" t="s">
        <v>467</v>
      </c>
      <c r="P146" s="148">
        <f t="shared" si="144"/>
        <v>0.4</v>
      </c>
      <c r="Q146" s="282">
        <v>1</v>
      </c>
      <c r="R146" s="282">
        <v>0</v>
      </c>
      <c r="S146" s="282" t="str">
        <f t="shared" si="148"/>
        <v>In-Orbit</v>
      </c>
      <c r="T146" s="282" t="s">
        <v>13</v>
      </c>
      <c r="U146" s="303" t="s">
        <v>557</v>
      </c>
      <c r="V146" s="303" t="s">
        <v>29</v>
      </c>
      <c r="W146" s="303" t="s">
        <v>78</v>
      </c>
      <c r="X146" s="303" t="s">
        <v>302</v>
      </c>
      <c r="Y146" s="303" t="s">
        <v>334</v>
      </c>
      <c r="Z146" s="303" t="s">
        <v>338</v>
      </c>
      <c r="AA146" s="308">
        <v>4411800</v>
      </c>
      <c r="AC146" s="289">
        <f t="shared" si="145"/>
        <v>11</v>
      </c>
      <c r="AD146" s="88" cm="1">
        <f t="array" ref="AD146">IF(AC146=0,0,INDEX(Summary!$S$4:$S$7,MATCH(AC146,Summary!$R$4:$R$7)+1))</f>
        <v>0.6</v>
      </c>
      <c r="AE146" s="88">
        <f>IFERROR(INDEX(Summary!$Y$4:$Y$6,MATCH('Input Data'!K146,Summary!$U$4:$U$6,0)),0)</f>
        <v>0.4</v>
      </c>
      <c r="AF146" s="88" t="b">
        <f t="shared" si="162"/>
        <v>1</v>
      </c>
      <c r="AG146" s="89">
        <f>IF(AF146,INDEX('IG Equity Share'!$B:$B,MATCH(YEAR(I146),'IG Equity Share'!$A:$A,0)),0)</f>
        <v>7.4999999999999997E-2</v>
      </c>
      <c r="AH146" s="383">
        <f>AJ146*AG146*_xlfn.XLOOKUP(I146,'S3123 Consortium Share'!$A$3:$A$5,'S3123 Consortium Share'!$F$3:$F$5,,-1)</f>
        <v>165442.5</v>
      </c>
      <c r="AI146" s="14">
        <v>1</v>
      </c>
      <c r="AJ146" s="13">
        <f t="shared" si="163"/>
        <v>4411800</v>
      </c>
      <c r="AK146" s="13">
        <f t="shared" si="164"/>
        <v>4411800</v>
      </c>
      <c r="AL146" s="13" t="str">
        <f t="shared" si="165"/>
        <v>FUL</v>
      </c>
      <c r="AM146" s="52">
        <f t="shared" si="166"/>
        <v>2026</v>
      </c>
      <c r="AN146" s="4" t="e">
        <f>INDEX('[2]Input Data'!$AH:$AH,MATCH(A146,'[2]Input Data'!$A:$A,0),1)-AH146</f>
        <v>#N/A</v>
      </c>
      <c r="AO146" s="13">
        <f t="shared" si="197"/>
        <v>0</v>
      </c>
      <c r="AP146" s="13">
        <f t="shared" si="197"/>
        <v>0</v>
      </c>
      <c r="AQ146" s="13">
        <f t="shared" si="197"/>
        <v>0</v>
      </c>
      <c r="AR146" s="13">
        <f t="shared" si="197"/>
        <v>0</v>
      </c>
      <c r="AS146" s="13">
        <f t="shared" si="197"/>
        <v>0</v>
      </c>
      <c r="AT146" s="13">
        <f t="shared" si="197"/>
        <v>0</v>
      </c>
      <c r="AU146" s="13">
        <f t="shared" si="197"/>
        <v>0</v>
      </c>
      <c r="AV146" s="13">
        <f t="shared" si="192"/>
        <v>882360</v>
      </c>
      <c r="AW146" s="13"/>
      <c r="AX146" s="13"/>
      <c r="AY146" s="13">
        <f t="shared" si="147"/>
        <v>882360</v>
      </c>
      <c r="AZ146" s="13">
        <f t="shared" si="199"/>
        <v>0</v>
      </c>
      <c r="BA146" s="74"/>
      <c r="BB146" s="25">
        <f t="shared" si="200"/>
        <v>3529440</v>
      </c>
      <c r="BC146" s="13">
        <f t="shared" si="201"/>
        <v>0</v>
      </c>
      <c r="BD146" s="13" t="b">
        <f>AND(AF146,NOT(ISNUMBER(MATCH(G146,Table1[Excluded Spacecraft ID],0))))</f>
        <v>1</v>
      </c>
      <c r="BE146" s="13">
        <f>BD146*AK146*_xlfn.XLOOKUP(I146,Table2[Date From],Table2[Cession],"Error",-1)*_xlfn.XLOOKUP(I146,'S3123 Consortium Share'!$A$3:$A$5,'S3123 Consortium Share'!$F$3:$F$5,,-1)</f>
        <v>441180</v>
      </c>
      <c r="BF146" s="13">
        <f t="shared" si="202"/>
        <v>3529440</v>
      </c>
      <c r="BG146" s="89" cm="1">
        <f t="array" ref="BG146">IF(V146="FIBL",0,INDEX('IGR QS'!$A$1:$D$570,MATCH('Input Data'!V146&amp;'Input Data'!W146&amp;'Input Data'!AM146,'IGR QS'!A:A&amp;'IGR QS'!B:B&amp;'IGR QS'!C:C,0),4))</f>
        <v>0.5</v>
      </c>
      <c r="BH146" s="13">
        <f t="shared" si="203"/>
        <v>1764720</v>
      </c>
      <c r="BI146" s="13">
        <f t="shared" si="204"/>
        <v>1764720</v>
      </c>
      <c r="BJ146" s="13">
        <f t="shared" si="167"/>
        <v>0</v>
      </c>
      <c r="BK146" s="13">
        <f t="shared" si="205"/>
        <v>1764720</v>
      </c>
      <c r="BL146" s="13">
        <f t="shared" si="206"/>
        <v>1764720</v>
      </c>
      <c r="BM146" s="21"/>
      <c r="BN146" s="13">
        <f t="shared" si="168"/>
        <v>34042623.318762854</v>
      </c>
      <c r="BO146" s="13">
        <f t="shared" si="169"/>
        <v>34042623.318762854</v>
      </c>
      <c r="BP146" s="13">
        <f t="shared" si="170"/>
        <v>0</v>
      </c>
      <c r="BQ146" s="13">
        <f t="shared" si="171"/>
        <v>34042623.318762854</v>
      </c>
      <c r="BR146" s="13">
        <f t="shared" si="172"/>
        <v>17021311.659381427</v>
      </c>
      <c r="BT146" s="13">
        <f t="shared" si="173"/>
        <v>3529440</v>
      </c>
      <c r="BU146" s="13">
        <f t="shared" si="174"/>
        <v>1764720</v>
      </c>
      <c r="BV146" s="13">
        <f t="shared" si="175"/>
        <v>1764720</v>
      </c>
      <c r="BW146" s="13">
        <f t="shared" si="176"/>
        <v>882360</v>
      </c>
      <c r="BX146" s="13"/>
      <c r="BY146" s="25">
        <f t="shared" si="177"/>
        <v>0</v>
      </c>
      <c r="BZ146" s="25">
        <f t="shared" si="178"/>
        <v>0</v>
      </c>
      <c r="CA146" s="25">
        <f t="shared" si="179"/>
        <v>0</v>
      </c>
      <c r="CB146" s="25">
        <f t="shared" si="180"/>
        <v>0</v>
      </c>
      <c r="CC146" s="25">
        <f t="shared" si="181"/>
        <v>0</v>
      </c>
      <c r="CD146" s="384">
        <f t="shared" si="182"/>
        <v>0</v>
      </c>
      <c r="CR146" s="25">
        <f t="shared" si="183"/>
        <v>0</v>
      </c>
      <c r="CS146" s="25">
        <f t="shared" si="198"/>
        <v>0</v>
      </c>
      <c r="CT146" s="25">
        <f t="shared" si="198"/>
        <v>0</v>
      </c>
      <c r="CU146" s="25">
        <f t="shared" si="184"/>
        <v>0</v>
      </c>
      <c r="CV146" s="25">
        <f t="shared" si="185"/>
        <v>0</v>
      </c>
      <c r="CW146" s="25">
        <f t="shared" si="186"/>
        <v>0</v>
      </c>
      <c r="CY146" s="25">
        <f t="shared" si="187"/>
        <v>0</v>
      </c>
      <c r="CZ146" s="25">
        <f t="shared" si="188"/>
        <v>0</v>
      </c>
      <c r="DA146" s="25">
        <f t="shared" si="195"/>
        <v>0</v>
      </c>
      <c r="DB146" s="25">
        <f t="shared" si="189"/>
        <v>0</v>
      </c>
      <c r="DC146" s="25">
        <f t="shared" si="190"/>
        <v>0</v>
      </c>
      <c r="DD146" s="25">
        <f t="shared" si="191"/>
        <v>0</v>
      </c>
    </row>
    <row r="147" spans="1:108" ht="14.25" customHeight="1" x14ac:dyDescent="0.35">
      <c r="A147" s="282" t="str">
        <f t="shared" si="143"/>
        <v>369418_510966</v>
      </c>
      <c r="B147" s="303">
        <v>369418</v>
      </c>
      <c r="C147" s="303">
        <v>510966</v>
      </c>
      <c r="D147" s="319" t="str">
        <f>IFERROR(MATCH(C147,'[4]Custom Earning Pattern Not Popu'!$B$5:$B$428,0),"NA")</f>
        <v>NA</v>
      </c>
      <c r="E147" s="303" t="s">
        <v>228</v>
      </c>
      <c r="F147" s="303">
        <v>12</v>
      </c>
      <c r="G147" s="303">
        <v>12040</v>
      </c>
      <c r="H147" s="306">
        <v>45692</v>
      </c>
      <c r="I147" s="306">
        <v>46058</v>
      </c>
      <c r="J147" s="306">
        <v>46422</v>
      </c>
      <c r="K147" s="303" t="s">
        <v>16</v>
      </c>
      <c r="L147" s="306">
        <v>46058</v>
      </c>
      <c r="M147" s="306">
        <v>46422</v>
      </c>
      <c r="N147" s="303" t="s">
        <v>467</v>
      </c>
      <c r="O147" s="303" t="s">
        <v>467</v>
      </c>
      <c r="P147" s="148">
        <f t="shared" si="144"/>
        <v>0.4</v>
      </c>
      <c r="Q147" s="282">
        <v>1</v>
      </c>
      <c r="R147" s="282">
        <v>0</v>
      </c>
      <c r="S147" s="282" t="str">
        <f t="shared" si="148"/>
        <v>In-Orbit</v>
      </c>
      <c r="T147" s="282" t="s">
        <v>13</v>
      </c>
      <c r="U147" s="303" t="s">
        <v>557</v>
      </c>
      <c r="V147" s="303" t="s">
        <v>29</v>
      </c>
      <c r="W147" s="303" t="s">
        <v>78</v>
      </c>
      <c r="X147" s="303" t="s">
        <v>564</v>
      </c>
      <c r="Y147" s="303" t="s">
        <v>334</v>
      </c>
      <c r="Z147" s="303" t="s">
        <v>338</v>
      </c>
      <c r="AA147" s="308">
        <v>4411800</v>
      </c>
      <c r="AC147" s="289">
        <f t="shared" si="145"/>
        <v>11</v>
      </c>
      <c r="AD147" s="88" cm="1">
        <f t="array" ref="AD147">IF(AC147=0,0,INDEX(Summary!$S$4:$S$7,MATCH(AC147,Summary!$R$4:$R$7)+1))</f>
        <v>0.6</v>
      </c>
      <c r="AE147" s="88">
        <f>IFERROR(INDEX(Summary!$Y$4:$Y$6,MATCH('Input Data'!K147,Summary!$U$4:$U$6,0)),0)</f>
        <v>0.4</v>
      </c>
      <c r="AF147" s="88" t="b">
        <f t="shared" ref="AF147:AF157" si="207">IF(I147&gt;=DATE(2024,7,1),TRUE,FALSE)</f>
        <v>1</v>
      </c>
      <c r="AG147" s="89">
        <f>IF(AF147,INDEX('IG Equity Share'!$B:$B,MATCH(YEAR(I147),'IG Equity Share'!$A:$A,0)),0)</f>
        <v>7.4999999999999997E-2</v>
      </c>
      <c r="AH147" s="383">
        <f>AJ147*AG147*_xlfn.XLOOKUP(I147,'S3123 Consortium Share'!$A$3:$A$5,'S3123 Consortium Share'!$F$3:$F$5,,-1)</f>
        <v>165442.5</v>
      </c>
      <c r="AI147" s="14">
        <v>1</v>
      </c>
      <c r="AJ147" s="13">
        <f t="shared" si="163"/>
        <v>4411800</v>
      </c>
      <c r="AK147" s="13">
        <f t="shared" si="164"/>
        <v>4411800</v>
      </c>
      <c r="AL147" s="13" t="str">
        <f t="shared" si="165"/>
        <v>FUL</v>
      </c>
      <c r="AM147" s="52">
        <f t="shared" si="166"/>
        <v>2026</v>
      </c>
      <c r="AN147" s="4" t="e">
        <f>INDEX('[2]Input Data'!$AH:$AH,MATCH(A147,'[2]Input Data'!$A:$A,0),1)-AH147</f>
        <v>#N/A</v>
      </c>
      <c r="AO147" s="13">
        <f t="shared" si="197"/>
        <v>0</v>
      </c>
      <c r="AP147" s="13">
        <f t="shared" si="197"/>
        <v>0</v>
      </c>
      <c r="AQ147" s="13">
        <f t="shared" si="197"/>
        <v>0</v>
      </c>
      <c r="AR147" s="13">
        <f t="shared" si="197"/>
        <v>0</v>
      </c>
      <c r="AS147" s="13">
        <f t="shared" si="197"/>
        <v>0</v>
      </c>
      <c r="AT147" s="13">
        <f t="shared" si="197"/>
        <v>0</v>
      </c>
      <c r="AU147" s="13">
        <f t="shared" si="197"/>
        <v>0</v>
      </c>
      <c r="AV147" s="13">
        <f t="shared" si="192"/>
        <v>882360</v>
      </c>
      <c r="AW147" s="13"/>
      <c r="AX147" s="13"/>
      <c r="AY147" s="13">
        <f t="shared" si="147"/>
        <v>882360</v>
      </c>
      <c r="AZ147" s="13">
        <f t="shared" si="199"/>
        <v>0</v>
      </c>
      <c r="BA147" s="74"/>
      <c r="BB147" s="25">
        <f t="shared" si="200"/>
        <v>3529440</v>
      </c>
      <c r="BC147" s="13">
        <f t="shared" si="201"/>
        <v>0</v>
      </c>
      <c r="BD147" s="13" t="b">
        <f>AND(AF147,NOT(ISNUMBER(MATCH(G147,Table1[Excluded Spacecraft ID],0))))</f>
        <v>1</v>
      </c>
      <c r="BE147" s="13">
        <f>BD147*AK147*_xlfn.XLOOKUP(I147,Table2[Date From],Table2[Cession],"Error",-1)*_xlfn.XLOOKUP(I147,'S3123 Consortium Share'!$A$3:$A$5,'S3123 Consortium Share'!$F$3:$F$5,,-1)</f>
        <v>441180</v>
      </c>
      <c r="BF147" s="13">
        <f t="shared" si="202"/>
        <v>3529440</v>
      </c>
      <c r="BG147" s="89" cm="1">
        <f t="array" ref="BG147">IF(V147="FIBL",0,INDEX('IGR QS'!$A$1:$D$570,MATCH('Input Data'!V147&amp;'Input Data'!W147&amp;'Input Data'!AM147,'IGR QS'!A:A&amp;'IGR QS'!B:B&amp;'IGR QS'!C:C,0),4))</f>
        <v>0.5</v>
      </c>
      <c r="BH147" s="13">
        <f t="shared" si="203"/>
        <v>1764720</v>
      </c>
      <c r="BI147" s="13">
        <f t="shared" si="204"/>
        <v>1764720</v>
      </c>
      <c r="BJ147" s="13">
        <f t="shared" si="167"/>
        <v>0</v>
      </c>
      <c r="BK147" s="13">
        <f t="shared" si="205"/>
        <v>1764720</v>
      </c>
      <c r="BL147" s="13">
        <f t="shared" si="206"/>
        <v>1764720</v>
      </c>
      <c r="BM147" s="21"/>
      <c r="BN147" s="13">
        <f t="shared" si="168"/>
        <v>34042623.318762854</v>
      </c>
      <c r="BO147" s="13">
        <f t="shared" si="169"/>
        <v>34042623.318762854</v>
      </c>
      <c r="BP147" s="13">
        <f t="shared" si="170"/>
        <v>0</v>
      </c>
      <c r="BQ147" s="13">
        <f t="shared" si="171"/>
        <v>34042623.318762854</v>
      </c>
      <c r="BR147" s="13">
        <f t="shared" si="172"/>
        <v>17021311.659381427</v>
      </c>
      <c r="BT147" s="13">
        <f t="shared" si="173"/>
        <v>3529440</v>
      </c>
      <c r="BU147" s="13">
        <f t="shared" si="174"/>
        <v>1764720</v>
      </c>
      <c r="BV147" s="13">
        <f t="shared" si="175"/>
        <v>1764720</v>
      </c>
      <c r="BW147" s="13">
        <f t="shared" si="176"/>
        <v>882360</v>
      </c>
      <c r="BX147" s="13"/>
      <c r="BY147" s="25">
        <f t="shared" si="177"/>
        <v>0</v>
      </c>
      <c r="BZ147" s="25">
        <f t="shared" si="178"/>
        <v>0</v>
      </c>
      <c r="CA147" s="25">
        <f t="shared" si="179"/>
        <v>0</v>
      </c>
      <c r="CB147" s="25">
        <f t="shared" si="180"/>
        <v>0</v>
      </c>
      <c r="CC147" s="25">
        <f t="shared" si="181"/>
        <v>0</v>
      </c>
      <c r="CD147" s="384">
        <f t="shared" si="182"/>
        <v>0</v>
      </c>
      <c r="CR147" s="25">
        <f t="shared" si="183"/>
        <v>0</v>
      </c>
      <c r="CS147" s="25">
        <f t="shared" si="198"/>
        <v>0</v>
      </c>
      <c r="CT147" s="25">
        <f t="shared" si="198"/>
        <v>0</v>
      </c>
      <c r="CU147" s="25">
        <f t="shared" si="184"/>
        <v>0</v>
      </c>
      <c r="CV147" s="25">
        <f t="shared" si="185"/>
        <v>0</v>
      </c>
      <c r="CW147" s="25">
        <f t="shared" si="186"/>
        <v>0</v>
      </c>
      <c r="CY147" s="25">
        <f t="shared" si="187"/>
        <v>0</v>
      </c>
      <c r="CZ147" s="25">
        <f t="shared" si="188"/>
        <v>0</v>
      </c>
      <c r="DA147" s="25">
        <f t="shared" si="195"/>
        <v>0</v>
      </c>
      <c r="DB147" s="25">
        <f t="shared" si="189"/>
        <v>0</v>
      </c>
      <c r="DC147" s="25">
        <f t="shared" si="190"/>
        <v>0</v>
      </c>
      <c r="DD147" s="25">
        <f t="shared" si="191"/>
        <v>0</v>
      </c>
    </row>
    <row r="148" spans="1:108" x14ac:dyDescent="0.35">
      <c r="A148" s="282" t="str">
        <f t="shared" ref="A148:A188" si="208">B148&amp;"_"&amp;C148</f>
        <v>369418_510967</v>
      </c>
      <c r="B148" s="303">
        <v>369418</v>
      </c>
      <c r="C148" s="303">
        <v>510967</v>
      </c>
      <c r="D148" s="319" t="str">
        <f>IFERROR(MATCH(C148,'[4]Custom Earning Pattern Not Popu'!$B$5:$B$428,0),"NA")</f>
        <v>NA</v>
      </c>
      <c r="E148" s="303" t="s">
        <v>228</v>
      </c>
      <c r="F148" s="303">
        <v>12</v>
      </c>
      <c r="G148" s="303">
        <v>12489</v>
      </c>
      <c r="H148" s="306">
        <v>45692</v>
      </c>
      <c r="I148" s="306">
        <v>46058</v>
      </c>
      <c r="J148" s="306">
        <v>46422</v>
      </c>
      <c r="K148" s="303" t="s">
        <v>16</v>
      </c>
      <c r="L148" s="306">
        <v>46058</v>
      </c>
      <c r="M148" s="306">
        <v>46422</v>
      </c>
      <c r="N148" s="303" t="s">
        <v>467</v>
      </c>
      <c r="O148" s="303" t="s">
        <v>467</v>
      </c>
      <c r="P148" s="148">
        <f t="shared" ref="P148:P161" si="209">IFERROR(INDEX($P$10:$P$14,MATCH(DATEDIF($AC$15,M148,"M"),$O$10:$O$14,1)),0)</f>
        <v>0.4</v>
      </c>
      <c r="Q148" s="282">
        <v>1</v>
      </c>
      <c r="R148" s="282">
        <v>0</v>
      </c>
      <c r="S148" s="282" t="str">
        <f t="shared" si="148"/>
        <v>In-Orbit</v>
      </c>
      <c r="T148" s="282" t="s">
        <v>13</v>
      </c>
      <c r="U148" s="303" t="s">
        <v>557</v>
      </c>
      <c r="V148" s="303" t="s">
        <v>29</v>
      </c>
      <c r="W148" s="303" t="s">
        <v>78</v>
      </c>
      <c r="X148" s="303" t="s">
        <v>565</v>
      </c>
      <c r="Y148" s="303" t="s">
        <v>334</v>
      </c>
      <c r="Z148" s="303" t="s">
        <v>338</v>
      </c>
      <c r="AA148" s="308">
        <v>4411800</v>
      </c>
      <c r="AC148" s="289">
        <f t="shared" ref="AC148:AC161" si="210">IF(IF(K148="LEO",ROUNDUP(((M148-$AC$15)/30.5),0)*Q148,0)&lt;0,0,IF(K148="LEO",ROUNDUP(((M148-$AC$15)/30.5),0)*Q148,0))</f>
        <v>11</v>
      </c>
      <c r="AD148" s="88" cm="1">
        <f t="array" ref="AD148">IF(AC148=0,0,INDEX(Summary!$S$4:$S$7,MATCH(AC148,Summary!$R$4:$R$7)+1))</f>
        <v>0.6</v>
      </c>
      <c r="AE148" s="88">
        <f>IFERROR(INDEX(Summary!$Y$4:$Y$6,MATCH('Input Data'!K148,Summary!$U$4:$U$6,0)),0)</f>
        <v>0.4</v>
      </c>
      <c r="AF148" s="88" t="b">
        <f t="shared" si="207"/>
        <v>1</v>
      </c>
      <c r="AG148" s="89">
        <f>IF(AF148,INDEX('IG Equity Share'!$B:$B,MATCH(YEAR(I148),'IG Equity Share'!$A:$A,0)),0)</f>
        <v>7.4999999999999997E-2</v>
      </c>
      <c r="AH148" s="383">
        <f>AJ148*AG148*_xlfn.XLOOKUP(I148,'S3123 Consortium Share'!$A$3:$A$5,'S3123 Consortium Share'!$F$3:$F$5,,-1)</f>
        <v>165442.5</v>
      </c>
      <c r="AI148" s="14">
        <v>1</v>
      </c>
      <c r="AJ148" s="13">
        <f t="shared" ref="AJ148:AJ179" si="211">AA148</f>
        <v>4411800</v>
      </c>
      <c r="AK148" s="13">
        <f t="shared" ref="AK148:AK179" si="212">AJ148/AI148*Q148</f>
        <v>4411800</v>
      </c>
      <c r="AL148" s="13" t="str">
        <f t="shared" ref="AL148:AL179" si="213">V148</f>
        <v>FUL</v>
      </c>
      <c r="AM148" s="52">
        <f t="shared" ref="AM148:AM179" si="214">YEAR(I148)</f>
        <v>2026</v>
      </c>
      <c r="AN148" s="4" t="e">
        <f>INDEX('[2]Input Data'!$AH:$AH,MATCH(A148,'[2]Input Data'!$A:$A,0),1)-AH148</f>
        <v>#N/A</v>
      </c>
      <c r="AO148" s="13">
        <f t="shared" si="197"/>
        <v>0</v>
      </c>
      <c r="AP148" s="13">
        <f t="shared" si="197"/>
        <v>0</v>
      </c>
      <c r="AQ148" s="13">
        <f t="shared" si="197"/>
        <v>0</v>
      </c>
      <c r="AR148" s="13">
        <f t="shared" si="197"/>
        <v>0</v>
      </c>
      <c r="AS148" s="13">
        <f t="shared" si="197"/>
        <v>0</v>
      </c>
      <c r="AT148" s="13">
        <f t="shared" si="197"/>
        <v>0</v>
      </c>
      <c r="AU148" s="13">
        <f t="shared" si="197"/>
        <v>0</v>
      </c>
      <c r="AV148" s="13">
        <f t="shared" si="192"/>
        <v>882360</v>
      </c>
      <c r="AW148" s="13"/>
      <c r="AX148" s="13"/>
      <c r="AY148" s="13">
        <f t="shared" si="147"/>
        <v>882360</v>
      </c>
      <c r="AZ148" s="13">
        <f t="shared" si="199"/>
        <v>0</v>
      </c>
      <c r="BA148" s="74"/>
      <c r="BB148" s="25">
        <f t="shared" si="200"/>
        <v>3529440</v>
      </c>
      <c r="BC148" s="13">
        <f t="shared" si="201"/>
        <v>0</v>
      </c>
      <c r="BD148" s="13" t="b">
        <f>AND(AF148,NOT(ISNUMBER(MATCH(G148,Table1[Excluded Spacecraft ID],0))))</f>
        <v>1</v>
      </c>
      <c r="BE148" s="13">
        <f>BD148*AK148*_xlfn.XLOOKUP(I148,Table2[Date From],Table2[Cession],"Error",-1)*_xlfn.XLOOKUP(I148,'S3123 Consortium Share'!$A$3:$A$5,'S3123 Consortium Share'!$F$3:$F$5,,-1)</f>
        <v>441180</v>
      </c>
      <c r="BF148" s="13">
        <f t="shared" si="202"/>
        <v>3529440</v>
      </c>
      <c r="BG148" s="89" cm="1">
        <f t="array" ref="BG148">IF(V148="FIBL",0,INDEX('IGR QS'!$A$1:$D$570,MATCH('Input Data'!V148&amp;'Input Data'!W148&amp;'Input Data'!AM148,'IGR QS'!A:A&amp;'IGR QS'!B:B&amp;'IGR QS'!C:C,0),4))</f>
        <v>0.5</v>
      </c>
      <c r="BH148" s="13">
        <f t="shared" si="203"/>
        <v>1764720</v>
      </c>
      <c r="BI148" s="13">
        <f t="shared" si="204"/>
        <v>1764720</v>
      </c>
      <c r="BJ148" s="13">
        <f t="shared" ref="BJ148:BJ179" si="215">IF(AND(V148=FIID,(BI148&gt;FIID_Deductible)),MIN(BI148-FIID_Deductible,FIID_Limit),IF(AND(V148=FUL,(BI148&gt;FUL_Deductible)),MIN(BI148-FUL_Deductible,FUL_Limit),0))</f>
        <v>0</v>
      </c>
      <c r="BK148" s="13">
        <f t="shared" si="205"/>
        <v>1764720</v>
      </c>
      <c r="BL148" s="13">
        <f t="shared" si="206"/>
        <v>1764720</v>
      </c>
      <c r="BM148" s="21"/>
      <c r="BN148" s="13">
        <f t="shared" ref="BN148:BN179" si="216">SUMIFS($BL:$BL,$N:$N,$N148,$Q:$Q,1)</f>
        <v>34042623.318762854</v>
      </c>
      <c r="BO148" s="13">
        <f t="shared" ref="BO148:BO179" si="217">SUMIFS($BL:$BL,$N:$N,$N148,$Q:$Q,1,$AL:$AL,$BO$18)</f>
        <v>34042623.318762854</v>
      </c>
      <c r="BP148" s="13">
        <f t="shared" ref="BP148:BP179" si="218">SUMIFS($BL:$BL,$N:$N,$N148,$V:$V,BP$18)</f>
        <v>0</v>
      </c>
      <c r="BQ148" s="13">
        <f t="shared" ref="BQ148:BQ179" si="219">SUMIFS($BK:$BK,$N:$N,$N148)</f>
        <v>34042623.318762854</v>
      </c>
      <c r="BR148" s="13">
        <f t="shared" ref="BR148:BR179" si="220">SUMIFS($AY:$AY,$N:$N,$N148)</f>
        <v>17021311.659381427</v>
      </c>
      <c r="BT148" s="13">
        <f t="shared" ref="BT148:BT179" si="221">SUMIFS($BF:$BF,$C:$C,$C148)</f>
        <v>3529440</v>
      </c>
      <c r="BU148" s="13">
        <f t="shared" ref="BU148:BU179" si="222">SUMIFS($BL:$BL,$C:$C,$C148)</f>
        <v>1764720</v>
      </c>
      <c r="BV148" s="13">
        <f t="shared" ref="BV148:BV179" si="223">SUMIFS($BK:$BK,$C:$C,$C148)</f>
        <v>1764720</v>
      </c>
      <c r="BW148" s="13">
        <f t="shared" ref="BW148:BW179" si="224">SUMIFS($AY:$AY,$C:$C,$C148)</f>
        <v>882360</v>
      </c>
      <c r="BX148" s="13"/>
      <c r="BY148" s="25">
        <f t="shared" ref="BY148:BY179" si="225">IF($K148="GEO-GSO",$AK148*Proton_Flare_InsLoss,0)*Q148</f>
        <v>0</v>
      </c>
      <c r="BZ148" s="25">
        <f t="shared" ref="BZ148:BZ179" si="226">IF(AND($K148="GEO-GSO",AL148="FUL"),$AK148*Proton_Flare_InsLoss,0)*$Q148</f>
        <v>0</v>
      </c>
      <c r="CA148" s="25">
        <f t="shared" ref="CA148:CA179" si="227">IF(AND($K148="GEO-GSO",AL148="FIID"),$AK148*Proton_Flare_InsLoss,0)*$Q148</f>
        <v>0</v>
      </c>
      <c r="CB148" s="25">
        <f t="shared" ref="CB148:CB179" si="228">IF(AND($K148="GEO-GSO",AL148="FIBL"),$AK148*Proton_Flare_InsLoss,0)*$Q148</f>
        <v>0</v>
      </c>
      <c r="CC148" s="25">
        <f t="shared" ref="CC148:CC179" si="229">IF($K148="GEO-GSO",(AK148*BG148-BJ148)*Proton_Flare_InsLoss,0)*Q148</f>
        <v>0</v>
      </c>
      <c r="CD148" s="384">
        <f t="shared" ref="CD148:CD179" si="230">IF($K148="GEO-GSO",$AK148*Proton_Flare_InsLoss,0)*$Q148*$R148*0.2</f>
        <v>0</v>
      </c>
      <c r="CR148" s="25">
        <f t="shared" ref="CR148:CR179" si="231">IF(OR($K148="GEO-GSO",$K148="MEO"),$AK148*Generic_Defect_Loss,0)*$Q148*$P148</f>
        <v>0</v>
      </c>
      <c r="CS148" s="25">
        <f t="shared" si="198"/>
        <v>0</v>
      </c>
      <c r="CT148" s="25">
        <f t="shared" si="198"/>
        <v>0</v>
      </c>
      <c r="CU148" s="25">
        <f t="shared" ref="CU148:CU179" si="232">IF(AND(OR($K148="GEO-GSO",$K148="MEO"),$AL148="FIBL"),$AK148*Generic_Defect_Loss,0)*$Q148*$P148</f>
        <v>0</v>
      </c>
      <c r="CV148" s="25">
        <f t="shared" ref="CV148:CV179" si="233">IF(OR($K148="GEO-GSO",$K148="MEO"),($AK148*BG148-BJ148)*Generic_Defect_Loss,0)*$Q148*$P148</f>
        <v>0</v>
      </c>
      <c r="CW148" s="25">
        <f t="shared" ref="CW148:CW179" si="234">IF(OR($K148="GEO-GSO",$K148="MEO"),$AK148*Generic_Defect_Loss,0)*$Q148*$P148*$R148*0.2</f>
        <v>0</v>
      </c>
      <c r="CY148" s="25">
        <f t="shared" ref="CY148:CY179" si="235">IF(OR($K148="GEO-GSO",$K148="MEO"),$AK148*Space_Debris_Loss,0)*$Q148*$AE148</f>
        <v>0</v>
      </c>
      <c r="CZ148" s="25">
        <f t="shared" ref="CZ148:CZ179" si="236">IF(AND(OR($K148="GEO-GSO",$K148="MEO"),$AL148=CZ$19),$AK148*Space_Debris_Loss,0)*$Q148*$AE148</f>
        <v>0</v>
      </c>
      <c r="DA148" s="25">
        <f t="shared" si="195"/>
        <v>0</v>
      </c>
      <c r="DB148" s="25">
        <f t="shared" ref="DB148:DB179" si="237">IF(AND(OR($K148="GEO-GSO",$K148="MEO"),$AL148="FIBL"),$AK148*Space_Debris_Loss,0)*$Q148*$AE148</f>
        <v>0</v>
      </c>
      <c r="DC148" s="25">
        <f t="shared" ref="DC148:DC179" si="238">IF(OR($K148="GEO-GSO",$K148="MEO"),($AK148*BG148-BJ148)*Space_Debris_Loss,0)*$Q148*$AE148</f>
        <v>0</v>
      </c>
      <c r="DD148" s="25">
        <f t="shared" ref="DD148:DD179" si="239">IF(OR($K148="GEO-GSO",$K148="MEO"),$AK148*1,0)*$Q148*$AE148*$R148*0.2</f>
        <v>0</v>
      </c>
    </row>
    <row r="149" spans="1:108" x14ac:dyDescent="0.35">
      <c r="A149" s="282" t="str">
        <f t="shared" si="208"/>
        <v>369418_510968</v>
      </c>
      <c r="B149" s="303">
        <v>369418</v>
      </c>
      <c r="C149" s="303">
        <v>510968</v>
      </c>
      <c r="D149" s="319" t="str">
        <f>IFERROR(MATCH(C149,'[4]Custom Earning Pattern Not Popu'!$B$5:$B$428,0),"NA")</f>
        <v>NA</v>
      </c>
      <c r="E149" s="303" t="s">
        <v>228</v>
      </c>
      <c r="F149" s="303">
        <v>12</v>
      </c>
      <c r="G149" s="303">
        <v>12488</v>
      </c>
      <c r="H149" s="306">
        <v>45519</v>
      </c>
      <c r="I149" s="306">
        <v>46058</v>
      </c>
      <c r="J149" s="306">
        <v>46422</v>
      </c>
      <c r="K149" s="303" t="s">
        <v>16</v>
      </c>
      <c r="L149" s="306">
        <v>46058</v>
      </c>
      <c r="M149" s="306">
        <v>46422</v>
      </c>
      <c r="N149" s="303" t="s">
        <v>467</v>
      </c>
      <c r="O149" s="303" t="s">
        <v>467</v>
      </c>
      <c r="P149" s="148">
        <f t="shared" si="209"/>
        <v>0.4</v>
      </c>
      <c r="Q149" s="282">
        <v>1</v>
      </c>
      <c r="R149" s="282">
        <v>0</v>
      </c>
      <c r="S149" s="282" t="str">
        <f t="shared" ref="S149:S161" si="240">E149</f>
        <v>In-Orbit</v>
      </c>
      <c r="T149" s="282" t="s">
        <v>13</v>
      </c>
      <c r="U149" s="303" t="s">
        <v>557</v>
      </c>
      <c r="V149" s="303" t="s">
        <v>29</v>
      </c>
      <c r="W149" s="303" t="s">
        <v>78</v>
      </c>
      <c r="X149" s="303" t="s">
        <v>304</v>
      </c>
      <c r="Y149" s="303" t="s">
        <v>334</v>
      </c>
      <c r="Z149" s="303" t="s">
        <v>338</v>
      </c>
      <c r="AA149" s="308">
        <v>4411800</v>
      </c>
      <c r="AC149" s="289">
        <f t="shared" si="210"/>
        <v>11</v>
      </c>
      <c r="AD149" s="88" cm="1">
        <f t="array" ref="AD149">IF(AC149=0,0,INDEX(Summary!$S$4:$S$7,MATCH(AC149,Summary!$R$4:$R$7)+1))</f>
        <v>0.6</v>
      </c>
      <c r="AE149" s="88">
        <f>IFERROR(INDEX(Summary!$Y$4:$Y$6,MATCH('Input Data'!K149,Summary!$U$4:$U$6,0)),0)</f>
        <v>0.4</v>
      </c>
      <c r="AF149" s="88" t="b">
        <f t="shared" si="207"/>
        <v>1</v>
      </c>
      <c r="AG149" s="89">
        <f>IF(AF149,INDEX('IG Equity Share'!$B:$B,MATCH(YEAR(I149),'IG Equity Share'!$A:$A,0)),0)</f>
        <v>7.4999999999999997E-2</v>
      </c>
      <c r="AH149" s="383">
        <f>AJ149*AG149*_xlfn.XLOOKUP(I149,'S3123 Consortium Share'!$A$3:$A$5,'S3123 Consortium Share'!$F$3:$F$5,,-1)</f>
        <v>165442.5</v>
      </c>
      <c r="AI149" s="14">
        <v>1</v>
      </c>
      <c r="AJ149" s="13">
        <f t="shared" si="211"/>
        <v>4411800</v>
      </c>
      <c r="AK149" s="13">
        <f t="shared" si="212"/>
        <v>4411800</v>
      </c>
      <c r="AL149" s="13" t="str">
        <f t="shared" si="213"/>
        <v>FUL</v>
      </c>
      <c r="AM149" s="52">
        <f t="shared" si="214"/>
        <v>2026</v>
      </c>
      <c r="AN149" s="4" t="e">
        <f>INDEX('[2]Input Data'!$AH:$AH,MATCH(A149,'[2]Input Data'!$A:$A,0),1)-AH149</f>
        <v>#N/A</v>
      </c>
      <c r="AO149" s="13">
        <f t="shared" si="197"/>
        <v>0</v>
      </c>
      <c r="AP149" s="13">
        <f t="shared" si="197"/>
        <v>0</v>
      </c>
      <c r="AQ149" s="13">
        <f t="shared" si="197"/>
        <v>0</v>
      </c>
      <c r="AR149" s="13">
        <f t="shared" si="197"/>
        <v>0</v>
      </c>
      <c r="AS149" s="13">
        <f t="shared" si="197"/>
        <v>0</v>
      </c>
      <c r="AT149" s="13">
        <f t="shared" si="197"/>
        <v>0</v>
      </c>
      <c r="AU149" s="13">
        <f t="shared" si="197"/>
        <v>0</v>
      </c>
      <c r="AV149" s="13">
        <f t="shared" ref="AV149:AV180" si="241">+IF(AND($I149&lt;=AV$8,$I149&gt;=AV$7),$AK149*AV$11,0)</f>
        <v>882360</v>
      </c>
      <c r="AW149" s="13"/>
      <c r="AX149" s="13"/>
      <c r="AY149" s="13">
        <f t="shared" ref="AY149:AY188" si="242">SUM(AO149:AX149)</f>
        <v>882360</v>
      </c>
      <c r="AZ149" s="13">
        <f t="shared" si="199"/>
        <v>0</v>
      </c>
      <c r="BA149" s="74"/>
      <c r="BB149" s="25">
        <f t="shared" si="200"/>
        <v>3529440</v>
      </c>
      <c r="BC149" s="13">
        <f t="shared" si="201"/>
        <v>0</v>
      </c>
      <c r="BD149" s="13" t="b">
        <f>AND(AF149,NOT(ISNUMBER(MATCH(G149,Table1[Excluded Spacecraft ID],0))))</f>
        <v>1</v>
      </c>
      <c r="BE149" s="13">
        <f>BD149*AK149*_xlfn.XLOOKUP(I149,Table2[Date From],Table2[Cession],"Error",-1)*_xlfn.XLOOKUP(I149,'S3123 Consortium Share'!$A$3:$A$5,'S3123 Consortium Share'!$F$3:$F$5,,-1)</f>
        <v>441180</v>
      </c>
      <c r="BF149" s="13">
        <f t="shared" si="202"/>
        <v>3529440</v>
      </c>
      <c r="BG149" s="89" cm="1">
        <f t="array" ref="BG149">IF(V149="FIBL",0,INDEX('IGR QS'!$A$1:$D$570,MATCH('Input Data'!V149&amp;'Input Data'!W149&amp;'Input Data'!AM149,'IGR QS'!A:A&amp;'IGR QS'!B:B&amp;'IGR QS'!C:C,0),4))</f>
        <v>0.5</v>
      </c>
      <c r="BH149" s="13">
        <f t="shared" si="203"/>
        <v>1764720</v>
      </c>
      <c r="BI149" s="13">
        <f t="shared" si="204"/>
        <v>1764720</v>
      </c>
      <c r="BJ149" s="13">
        <f t="shared" si="215"/>
        <v>0</v>
      </c>
      <c r="BK149" s="13">
        <f t="shared" si="205"/>
        <v>1764720</v>
      </c>
      <c r="BL149" s="13">
        <f t="shared" si="206"/>
        <v>1764720</v>
      </c>
      <c r="BM149" s="21"/>
      <c r="BN149" s="13">
        <f t="shared" si="216"/>
        <v>34042623.318762854</v>
      </c>
      <c r="BO149" s="13">
        <f t="shared" si="217"/>
        <v>34042623.318762854</v>
      </c>
      <c r="BP149" s="13">
        <f t="shared" si="218"/>
        <v>0</v>
      </c>
      <c r="BQ149" s="13">
        <f t="shared" si="219"/>
        <v>34042623.318762854</v>
      </c>
      <c r="BR149" s="13">
        <f t="shared" si="220"/>
        <v>17021311.659381427</v>
      </c>
      <c r="BT149" s="13">
        <f t="shared" si="221"/>
        <v>3529440</v>
      </c>
      <c r="BU149" s="13">
        <f t="shared" si="222"/>
        <v>1764720</v>
      </c>
      <c r="BV149" s="13">
        <f t="shared" si="223"/>
        <v>1764720</v>
      </c>
      <c r="BW149" s="13">
        <f t="shared" si="224"/>
        <v>882360</v>
      </c>
      <c r="BX149" s="13"/>
      <c r="BY149" s="25">
        <f t="shared" si="225"/>
        <v>0</v>
      </c>
      <c r="BZ149" s="25">
        <f t="shared" si="226"/>
        <v>0</v>
      </c>
      <c r="CA149" s="25">
        <f t="shared" si="227"/>
        <v>0</v>
      </c>
      <c r="CB149" s="25">
        <f t="shared" si="228"/>
        <v>0</v>
      </c>
      <c r="CC149" s="25">
        <f t="shared" si="229"/>
        <v>0</v>
      </c>
      <c r="CD149" s="384">
        <f t="shared" si="230"/>
        <v>0</v>
      </c>
      <c r="CR149" s="25">
        <f t="shared" si="231"/>
        <v>0</v>
      </c>
      <c r="CS149" s="25">
        <f t="shared" si="198"/>
        <v>0</v>
      </c>
      <c r="CT149" s="25">
        <f t="shared" si="198"/>
        <v>0</v>
      </c>
      <c r="CU149" s="25">
        <f t="shared" si="232"/>
        <v>0</v>
      </c>
      <c r="CV149" s="25">
        <f t="shared" si="233"/>
        <v>0</v>
      </c>
      <c r="CW149" s="25">
        <f t="shared" si="234"/>
        <v>0</v>
      </c>
      <c r="CY149" s="25">
        <f t="shared" si="235"/>
        <v>0</v>
      </c>
      <c r="CZ149" s="25">
        <f t="shared" si="236"/>
        <v>0</v>
      </c>
      <c r="DA149" s="25">
        <f t="shared" si="195"/>
        <v>0</v>
      </c>
      <c r="DB149" s="25">
        <f t="shared" si="237"/>
        <v>0</v>
      </c>
      <c r="DC149" s="25">
        <f t="shared" si="238"/>
        <v>0</v>
      </c>
      <c r="DD149" s="25">
        <f t="shared" si="239"/>
        <v>0</v>
      </c>
    </row>
    <row r="150" spans="1:108" x14ac:dyDescent="0.35">
      <c r="A150" s="282" t="str">
        <f t="shared" si="208"/>
        <v>369418_510969</v>
      </c>
      <c r="B150" s="303">
        <v>369418</v>
      </c>
      <c r="C150" s="303">
        <v>510969</v>
      </c>
      <c r="D150" s="319" t="str">
        <f>IFERROR(MATCH(C150,'[4]Custom Earning Pattern Not Popu'!$B$5:$B$428,0),"NA")</f>
        <v>NA</v>
      </c>
      <c r="E150" s="303" t="s">
        <v>228</v>
      </c>
      <c r="F150" s="303">
        <v>12</v>
      </c>
      <c r="G150" s="303">
        <v>12487</v>
      </c>
      <c r="H150" s="306">
        <v>45519</v>
      </c>
      <c r="I150" s="306">
        <v>46058</v>
      </c>
      <c r="J150" s="306">
        <v>46422</v>
      </c>
      <c r="K150" s="303" t="s">
        <v>16</v>
      </c>
      <c r="L150" s="306">
        <v>46058</v>
      </c>
      <c r="M150" s="306">
        <v>46422</v>
      </c>
      <c r="N150" s="303" t="s">
        <v>467</v>
      </c>
      <c r="O150" s="303" t="s">
        <v>467</v>
      </c>
      <c r="P150" s="148">
        <f t="shared" si="209"/>
        <v>0.4</v>
      </c>
      <c r="Q150" s="282">
        <v>1</v>
      </c>
      <c r="R150" s="282">
        <v>0</v>
      </c>
      <c r="S150" s="282" t="str">
        <f t="shared" si="240"/>
        <v>In-Orbit</v>
      </c>
      <c r="T150" s="282" t="s">
        <v>13</v>
      </c>
      <c r="U150" s="303" t="s">
        <v>557</v>
      </c>
      <c r="V150" s="303" t="s">
        <v>29</v>
      </c>
      <c r="W150" s="303" t="s">
        <v>78</v>
      </c>
      <c r="X150" s="303" t="s">
        <v>303</v>
      </c>
      <c r="Y150" s="303" t="s">
        <v>334</v>
      </c>
      <c r="Z150" s="303" t="s">
        <v>338</v>
      </c>
      <c r="AA150" s="308">
        <v>4411800</v>
      </c>
      <c r="AC150" s="289">
        <f t="shared" si="210"/>
        <v>11</v>
      </c>
      <c r="AD150" s="88" cm="1">
        <f t="array" ref="AD150">IF(AC150=0,0,INDEX(Summary!$S$4:$S$7,MATCH(AC150,Summary!$R$4:$R$7)+1))</f>
        <v>0.6</v>
      </c>
      <c r="AE150" s="88">
        <f>IFERROR(INDEX(Summary!$Y$4:$Y$6,MATCH('Input Data'!K150,Summary!$U$4:$U$6,0)),0)</f>
        <v>0.4</v>
      </c>
      <c r="AF150" s="88" t="b">
        <f t="shared" si="207"/>
        <v>1</v>
      </c>
      <c r="AG150" s="89">
        <f>IF(AF150,INDEX('IG Equity Share'!$B:$B,MATCH(YEAR(I150),'IG Equity Share'!$A:$A,0)),0)</f>
        <v>7.4999999999999997E-2</v>
      </c>
      <c r="AH150" s="383">
        <f>AJ150*AG150*_xlfn.XLOOKUP(I150,'S3123 Consortium Share'!$A$3:$A$5,'S3123 Consortium Share'!$F$3:$F$5,,-1)</f>
        <v>165442.5</v>
      </c>
      <c r="AI150" s="14">
        <v>1</v>
      </c>
      <c r="AJ150" s="13">
        <f t="shared" si="211"/>
        <v>4411800</v>
      </c>
      <c r="AK150" s="13">
        <f t="shared" si="212"/>
        <v>4411800</v>
      </c>
      <c r="AL150" s="13" t="str">
        <f t="shared" si="213"/>
        <v>FUL</v>
      </c>
      <c r="AM150" s="52">
        <f t="shared" si="214"/>
        <v>2026</v>
      </c>
      <c r="AN150" s="4" t="e">
        <f>INDEX('[2]Input Data'!$AH:$AH,MATCH(A150,'[2]Input Data'!$A:$A,0),1)-AH150</f>
        <v>#N/A</v>
      </c>
      <c r="AO150" s="13">
        <f t="shared" ref="AO150:AU159" si="243">+IF(AND($I150&lt;=AO$8,$I150&gt;=AO$7),$AK150*AO$11,0)</f>
        <v>0</v>
      </c>
      <c r="AP150" s="13">
        <f t="shared" si="243"/>
        <v>0</v>
      </c>
      <c r="AQ150" s="13">
        <f t="shared" si="243"/>
        <v>0</v>
      </c>
      <c r="AR150" s="13">
        <f t="shared" si="243"/>
        <v>0</v>
      </c>
      <c r="AS150" s="13">
        <f t="shared" si="243"/>
        <v>0</v>
      </c>
      <c r="AT150" s="13">
        <f t="shared" si="243"/>
        <v>0</v>
      </c>
      <c r="AU150" s="13">
        <f t="shared" si="243"/>
        <v>0</v>
      </c>
      <c r="AV150" s="13">
        <f t="shared" si="241"/>
        <v>882360</v>
      </c>
      <c r="AW150" s="13"/>
      <c r="AX150" s="13"/>
      <c r="AY150" s="13">
        <f t="shared" si="242"/>
        <v>882360</v>
      </c>
      <c r="AZ150" s="13">
        <f t="shared" si="199"/>
        <v>0</v>
      </c>
      <c r="BA150" s="74"/>
      <c r="BB150" s="25">
        <f t="shared" si="200"/>
        <v>3529440</v>
      </c>
      <c r="BC150" s="13">
        <f t="shared" si="201"/>
        <v>0</v>
      </c>
      <c r="BD150" s="13" t="b">
        <f>AND(AF150,NOT(ISNUMBER(MATCH(G150,Table1[Excluded Spacecraft ID],0))))</f>
        <v>1</v>
      </c>
      <c r="BE150" s="13">
        <f>BD150*AK150*_xlfn.XLOOKUP(I150,Table2[Date From],Table2[Cession],"Error",-1)*_xlfn.XLOOKUP(I150,'S3123 Consortium Share'!$A$3:$A$5,'S3123 Consortium Share'!$F$3:$F$5,,-1)</f>
        <v>441180</v>
      </c>
      <c r="BF150" s="13">
        <f t="shared" si="202"/>
        <v>3529440</v>
      </c>
      <c r="BG150" s="89" cm="1">
        <f t="array" ref="BG150">IF(V150="FIBL",0,INDEX('IGR QS'!$A$1:$D$570,MATCH('Input Data'!V150&amp;'Input Data'!W150&amp;'Input Data'!AM150,'IGR QS'!A:A&amp;'IGR QS'!B:B&amp;'IGR QS'!C:C,0),4))</f>
        <v>0.5</v>
      </c>
      <c r="BH150" s="13">
        <f t="shared" si="203"/>
        <v>1764720</v>
      </c>
      <c r="BI150" s="13">
        <f t="shared" si="204"/>
        <v>1764720</v>
      </c>
      <c r="BJ150" s="13">
        <f t="shared" si="215"/>
        <v>0</v>
      </c>
      <c r="BK150" s="13">
        <f t="shared" si="205"/>
        <v>1764720</v>
      </c>
      <c r="BL150" s="13">
        <f t="shared" si="206"/>
        <v>1764720</v>
      </c>
      <c r="BM150" s="21"/>
      <c r="BN150" s="13">
        <f t="shared" si="216"/>
        <v>34042623.318762854</v>
      </c>
      <c r="BO150" s="13">
        <f t="shared" si="217"/>
        <v>34042623.318762854</v>
      </c>
      <c r="BP150" s="13">
        <f t="shared" si="218"/>
        <v>0</v>
      </c>
      <c r="BQ150" s="13">
        <f t="shared" si="219"/>
        <v>34042623.318762854</v>
      </c>
      <c r="BR150" s="13">
        <f t="shared" si="220"/>
        <v>17021311.659381427</v>
      </c>
      <c r="BT150" s="13">
        <f t="shared" si="221"/>
        <v>3529440</v>
      </c>
      <c r="BU150" s="13">
        <f t="shared" si="222"/>
        <v>1764720</v>
      </c>
      <c r="BV150" s="13">
        <f t="shared" si="223"/>
        <v>1764720</v>
      </c>
      <c r="BW150" s="13">
        <f t="shared" si="224"/>
        <v>882360</v>
      </c>
      <c r="BX150" s="13"/>
      <c r="BY150" s="25">
        <f t="shared" si="225"/>
        <v>0</v>
      </c>
      <c r="BZ150" s="25">
        <f t="shared" si="226"/>
        <v>0</v>
      </c>
      <c r="CA150" s="25">
        <f t="shared" si="227"/>
        <v>0</v>
      </c>
      <c r="CB150" s="25">
        <f t="shared" si="228"/>
        <v>0</v>
      </c>
      <c r="CC150" s="25">
        <f t="shared" si="229"/>
        <v>0</v>
      </c>
      <c r="CD150" s="384">
        <f t="shared" si="230"/>
        <v>0</v>
      </c>
      <c r="CR150" s="25">
        <f t="shared" si="231"/>
        <v>0</v>
      </c>
      <c r="CS150" s="25">
        <f t="shared" si="198"/>
        <v>0</v>
      </c>
      <c r="CT150" s="25">
        <f t="shared" si="198"/>
        <v>0</v>
      </c>
      <c r="CU150" s="25">
        <f t="shared" si="232"/>
        <v>0</v>
      </c>
      <c r="CV150" s="25">
        <f t="shared" si="233"/>
        <v>0</v>
      </c>
      <c r="CW150" s="25">
        <f t="shared" si="234"/>
        <v>0</v>
      </c>
      <c r="CY150" s="25">
        <f t="shared" si="235"/>
        <v>0</v>
      </c>
      <c r="CZ150" s="25">
        <f t="shared" si="236"/>
        <v>0</v>
      </c>
      <c r="DA150" s="25">
        <f t="shared" si="195"/>
        <v>0</v>
      </c>
      <c r="DB150" s="25">
        <f t="shared" si="237"/>
        <v>0</v>
      </c>
      <c r="DC150" s="25">
        <f t="shared" si="238"/>
        <v>0</v>
      </c>
      <c r="DD150" s="25">
        <f t="shared" si="239"/>
        <v>0</v>
      </c>
    </row>
    <row r="151" spans="1:108" x14ac:dyDescent="0.35">
      <c r="A151" s="282" t="str">
        <f t="shared" si="208"/>
        <v>369418_510970</v>
      </c>
      <c r="B151" s="303">
        <v>369418</v>
      </c>
      <c r="C151" s="303">
        <v>510970</v>
      </c>
      <c r="D151" s="319" t="str">
        <f>IFERROR(MATCH(C151,'[4]Custom Earning Pattern Not Popu'!$B$5:$B$428,0),"NA")</f>
        <v>NA</v>
      </c>
      <c r="E151" s="303" t="s">
        <v>228</v>
      </c>
      <c r="F151" s="303">
        <v>12</v>
      </c>
      <c r="G151" s="303">
        <v>12486</v>
      </c>
      <c r="H151" s="306">
        <v>45414</v>
      </c>
      <c r="I151" s="306">
        <v>46058</v>
      </c>
      <c r="J151" s="306">
        <v>46422</v>
      </c>
      <c r="K151" s="303" t="s">
        <v>16</v>
      </c>
      <c r="L151" s="306">
        <v>46058</v>
      </c>
      <c r="M151" s="306">
        <v>46422</v>
      </c>
      <c r="N151" s="303" t="s">
        <v>467</v>
      </c>
      <c r="O151" s="303" t="s">
        <v>467</v>
      </c>
      <c r="P151" s="148">
        <f t="shared" si="209"/>
        <v>0.4</v>
      </c>
      <c r="Q151" s="282">
        <v>1</v>
      </c>
      <c r="R151" s="282">
        <v>0</v>
      </c>
      <c r="S151" s="282" t="str">
        <f t="shared" si="240"/>
        <v>In-Orbit</v>
      </c>
      <c r="T151" s="282" t="s">
        <v>13</v>
      </c>
      <c r="U151" s="303" t="s">
        <v>557</v>
      </c>
      <c r="V151" s="303" t="s">
        <v>29</v>
      </c>
      <c r="W151" s="303" t="s">
        <v>78</v>
      </c>
      <c r="X151" s="303" t="s">
        <v>415</v>
      </c>
      <c r="Y151" s="303" t="s">
        <v>334</v>
      </c>
      <c r="Z151" s="303" t="s">
        <v>338</v>
      </c>
      <c r="AA151" s="308">
        <v>4411800</v>
      </c>
      <c r="AC151" s="289">
        <f t="shared" si="210"/>
        <v>11</v>
      </c>
      <c r="AD151" s="88" cm="1">
        <f t="array" ref="AD151">IF(AC151=0,0,INDEX(Summary!$S$4:$S$7,MATCH(AC151,Summary!$R$4:$R$7)+1))</f>
        <v>0.6</v>
      </c>
      <c r="AE151" s="88">
        <f>IFERROR(INDEX(Summary!$Y$4:$Y$6,MATCH('Input Data'!K151,Summary!$U$4:$U$6,0)),0)</f>
        <v>0.4</v>
      </c>
      <c r="AF151" s="88" t="b">
        <f t="shared" si="207"/>
        <v>1</v>
      </c>
      <c r="AG151" s="89">
        <f>IF(AF151,INDEX('IG Equity Share'!$B:$B,MATCH(YEAR(I151),'IG Equity Share'!$A:$A,0)),0)</f>
        <v>7.4999999999999997E-2</v>
      </c>
      <c r="AH151" s="383">
        <f>AJ151*AG151*_xlfn.XLOOKUP(I151,'S3123 Consortium Share'!$A$3:$A$5,'S3123 Consortium Share'!$F$3:$F$5,,-1)</f>
        <v>165442.5</v>
      </c>
      <c r="AI151" s="14">
        <v>1</v>
      </c>
      <c r="AJ151" s="13">
        <f t="shared" si="211"/>
        <v>4411800</v>
      </c>
      <c r="AK151" s="13">
        <f t="shared" si="212"/>
        <v>4411800</v>
      </c>
      <c r="AL151" s="13" t="str">
        <f t="shared" si="213"/>
        <v>FUL</v>
      </c>
      <c r="AM151" s="52">
        <f t="shared" si="214"/>
        <v>2026</v>
      </c>
      <c r="AN151" s="4" t="e">
        <f>INDEX('[2]Input Data'!$AH:$AH,MATCH(A151,'[2]Input Data'!$A:$A,0),1)-AH151</f>
        <v>#N/A</v>
      </c>
      <c r="AO151" s="13">
        <f t="shared" si="243"/>
        <v>0</v>
      </c>
      <c r="AP151" s="13">
        <f t="shared" si="243"/>
        <v>0</v>
      </c>
      <c r="AQ151" s="13">
        <f t="shared" si="243"/>
        <v>0</v>
      </c>
      <c r="AR151" s="13">
        <f t="shared" si="243"/>
        <v>0</v>
      </c>
      <c r="AS151" s="13">
        <f t="shared" si="243"/>
        <v>0</v>
      </c>
      <c r="AT151" s="13">
        <f t="shared" si="243"/>
        <v>0</v>
      </c>
      <c r="AU151" s="13">
        <f t="shared" si="243"/>
        <v>0</v>
      </c>
      <c r="AV151" s="13">
        <f t="shared" si="241"/>
        <v>882360</v>
      </c>
      <c r="AW151" s="13"/>
      <c r="AX151" s="13"/>
      <c r="AY151" s="13">
        <f t="shared" si="242"/>
        <v>882360</v>
      </c>
      <c r="AZ151" s="13">
        <f t="shared" si="199"/>
        <v>0</v>
      </c>
      <c r="BA151" s="74"/>
      <c r="BB151" s="25">
        <f t="shared" si="200"/>
        <v>3529440</v>
      </c>
      <c r="BC151" s="13">
        <f t="shared" si="201"/>
        <v>0</v>
      </c>
      <c r="BD151" s="13" t="b">
        <f>AND(AF151,NOT(ISNUMBER(MATCH(G151,Table1[Excluded Spacecraft ID],0))))</f>
        <v>1</v>
      </c>
      <c r="BE151" s="13">
        <f>BD151*AK151*_xlfn.XLOOKUP(I151,Table2[Date From],Table2[Cession],"Error",-1)*_xlfn.XLOOKUP(I151,'S3123 Consortium Share'!$A$3:$A$5,'S3123 Consortium Share'!$F$3:$F$5,,-1)</f>
        <v>441180</v>
      </c>
      <c r="BF151" s="13">
        <f t="shared" si="202"/>
        <v>3529440</v>
      </c>
      <c r="BG151" s="89" cm="1">
        <f t="array" ref="BG151">IF(V151="FIBL",0,INDEX('IGR QS'!$A$1:$D$570,MATCH('Input Data'!V151&amp;'Input Data'!W151&amp;'Input Data'!AM151,'IGR QS'!A:A&amp;'IGR QS'!B:B&amp;'IGR QS'!C:C,0),4))</f>
        <v>0.5</v>
      </c>
      <c r="BH151" s="13">
        <f t="shared" si="203"/>
        <v>1764720</v>
      </c>
      <c r="BI151" s="13">
        <f t="shared" si="204"/>
        <v>1764720</v>
      </c>
      <c r="BJ151" s="13">
        <f t="shared" si="215"/>
        <v>0</v>
      </c>
      <c r="BK151" s="13">
        <f t="shared" si="205"/>
        <v>1764720</v>
      </c>
      <c r="BL151" s="13">
        <f t="shared" si="206"/>
        <v>1764720</v>
      </c>
      <c r="BM151" s="21"/>
      <c r="BN151" s="13">
        <f t="shared" si="216"/>
        <v>34042623.318762854</v>
      </c>
      <c r="BO151" s="13">
        <f t="shared" si="217"/>
        <v>34042623.318762854</v>
      </c>
      <c r="BP151" s="13">
        <f t="shared" si="218"/>
        <v>0</v>
      </c>
      <c r="BQ151" s="13">
        <f t="shared" si="219"/>
        <v>34042623.318762854</v>
      </c>
      <c r="BR151" s="13">
        <f t="shared" si="220"/>
        <v>17021311.659381427</v>
      </c>
      <c r="BT151" s="13">
        <f t="shared" si="221"/>
        <v>3529440</v>
      </c>
      <c r="BU151" s="13">
        <f t="shared" si="222"/>
        <v>1764720</v>
      </c>
      <c r="BV151" s="13">
        <f t="shared" si="223"/>
        <v>1764720</v>
      </c>
      <c r="BW151" s="13">
        <f t="shared" si="224"/>
        <v>882360</v>
      </c>
      <c r="BX151" s="13"/>
      <c r="BY151" s="25">
        <f t="shared" si="225"/>
        <v>0</v>
      </c>
      <c r="BZ151" s="25">
        <f t="shared" si="226"/>
        <v>0</v>
      </c>
      <c r="CA151" s="25">
        <f t="shared" si="227"/>
        <v>0</v>
      </c>
      <c r="CB151" s="25">
        <f t="shared" si="228"/>
        <v>0</v>
      </c>
      <c r="CC151" s="25">
        <f t="shared" si="229"/>
        <v>0</v>
      </c>
      <c r="CD151" s="384">
        <f t="shared" si="230"/>
        <v>0</v>
      </c>
      <c r="CR151" s="25">
        <f t="shared" si="231"/>
        <v>0</v>
      </c>
      <c r="CS151" s="25">
        <f t="shared" si="198"/>
        <v>0</v>
      </c>
      <c r="CT151" s="25">
        <f t="shared" si="198"/>
        <v>0</v>
      </c>
      <c r="CU151" s="25">
        <f t="shared" si="232"/>
        <v>0</v>
      </c>
      <c r="CV151" s="25">
        <f t="shared" si="233"/>
        <v>0</v>
      </c>
      <c r="CW151" s="25">
        <f t="shared" si="234"/>
        <v>0</v>
      </c>
      <c r="CY151" s="25">
        <f t="shared" si="235"/>
        <v>0</v>
      </c>
      <c r="CZ151" s="25">
        <f t="shared" si="236"/>
        <v>0</v>
      </c>
      <c r="DA151" s="25">
        <f t="shared" si="195"/>
        <v>0</v>
      </c>
      <c r="DB151" s="25">
        <f t="shared" si="237"/>
        <v>0</v>
      </c>
      <c r="DC151" s="25">
        <f t="shared" si="238"/>
        <v>0</v>
      </c>
      <c r="DD151" s="25">
        <f t="shared" si="239"/>
        <v>0</v>
      </c>
    </row>
    <row r="152" spans="1:108" x14ac:dyDescent="0.35">
      <c r="A152" s="282" t="str">
        <f t="shared" si="208"/>
        <v>360737_516619</v>
      </c>
      <c r="B152" s="303">
        <v>360737</v>
      </c>
      <c r="C152" s="303">
        <v>516619</v>
      </c>
      <c r="D152" s="319" t="str">
        <f>IFERROR(MATCH(C152,'[4]Custom Earning Pattern Not Popu'!$B$5:$B$428,0),"NA")</f>
        <v>NA</v>
      </c>
      <c r="E152" s="303" t="s">
        <v>228</v>
      </c>
      <c r="F152" s="303">
        <v>12</v>
      </c>
      <c r="G152" s="303">
        <v>4142</v>
      </c>
      <c r="H152" s="306">
        <v>39985</v>
      </c>
      <c r="I152" s="306">
        <v>46022</v>
      </c>
      <c r="J152" s="306">
        <v>46386</v>
      </c>
      <c r="K152" s="303" t="s">
        <v>113</v>
      </c>
      <c r="L152" s="306">
        <v>46022</v>
      </c>
      <c r="M152" s="306">
        <v>46386</v>
      </c>
      <c r="N152" s="303" t="s">
        <v>238</v>
      </c>
      <c r="O152" s="303" t="s">
        <v>238</v>
      </c>
      <c r="P152" s="148">
        <f t="shared" si="209"/>
        <v>0.4</v>
      </c>
      <c r="Q152" s="282">
        <v>1</v>
      </c>
      <c r="R152" s="282">
        <v>0</v>
      </c>
      <c r="S152" s="282" t="str">
        <f t="shared" si="240"/>
        <v>In-Orbit</v>
      </c>
      <c r="T152" s="282" t="s">
        <v>13</v>
      </c>
      <c r="U152" s="303" t="s">
        <v>476</v>
      </c>
      <c r="V152" s="303" t="s">
        <v>29</v>
      </c>
      <c r="W152" s="303" t="s">
        <v>78</v>
      </c>
      <c r="X152" s="303" t="s">
        <v>294</v>
      </c>
      <c r="Y152" s="303" t="s">
        <v>329</v>
      </c>
      <c r="Z152" s="303" t="s">
        <v>343</v>
      </c>
      <c r="AA152" s="308">
        <v>494845.36</v>
      </c>
      <c r="AC152" s="289">
        <f t="shared" si="210"/>
        <v>0</v>
      </c>
      <c r="AD152" s="88" cm="1">
        <f t="array" ref="AD152">IF(AC152=0,0,INDEX(Summary!$S$4:$S$7,MATCH(AC152,Summary!$R$4:$R$7)+1))</f>
        <v>0</v>
      </c>
      <c r="AE152" s="88">
        <f>IFERROR(INDEX(Summary!$Y$4:$Y$6,MATCH('Input Data'!K152,Summary!$U$4:$U$6,0)),0)</f>
        <v>0.05</v>
      </c>
      <c r="AF152" s="88" t="b">
        <f t="shared" si="207"/>
        <v>1</v>
      </c>
      <c r="AG152" s="89">
        <f>IF(AF152,INDEX('IG Equity Share'!$B:$B,MATCH(YEAR(I152),'IG Equity Share'!$A:$A,0)),0)</f>
        <v>7.4999999999999997E-2</v>
      </c>
      <c r="AH152" s="383">
        <f>AJ152*AG152*_xlfn.XLOOKUP(I152,'S3123 Consortium Share'!$A$3:$A$5,'S3123 Consortium Share'!$F$3:$F$5,,-1)</f>
        <v>15463.917499999998</v>
      </c>
      <c r="AI152" s="14">
        <v>1</v>
      </c>
      <c r="AJ152" s="13">
        <f t="shared" si="211"/>
        <v>494845.36</v>
      </c>
      <c r="AK152" s="13">
        <f t="shared" si="212"/>
        <v>494845.36</v>
      </c>
      <c r="AL152" s="13" t="str">
        <f t="shared" si="213"/>
        <v>FUL</v>
      </c>
      <c r="AM152" s="52">
        <f t="shared" si="214"/>
        <v>2025</v>
      </c>
      <c r="AN152" s="4">
        <f>INDEX('[2]Input Data'!$AH:$AH,MATCH(A152,'[2]Input Data'!$A:$A,0),1)-AH152</f>
        <v>0</v>
      </c>
      <c r="AO152" s="13">
        <f t="shared" si="243"/>
        <v>0</v>
      </c>
      <c r="AP152" s="13">
        <f t="shared" si="243"/>
        <v>0</v>
      </c>
      <c r="AQ152" s="13">
        <f t="shared" si="243"/>
        <v>0</v>
      </c>
      <c r="AR152" s="13">
        <f t="shared" si="243"/>
        <v>0</v>
      </c>
      <c r="AS152" s="13">
        <f t="shared" si="243"/>
        <v>0</v>
      </c>
      <c r="AT152" s="13">
        <f t="shared" si="243"/>
        <v>0</v>
      </c>
      <c r="AU152" s="13">
        <f t="shared" si="243"/>
        <v>98969.072</v>
      </c>
      <c r="AV152" s="13">
        <f t="shared" si="241"/>
        <v>0</v>
      </c>
      <c r="AW152" s="13"/>
      <c r="AX152" s="13"/>
      <c r="AY152" s="13">
        <f t="shared" si="242"/>
        <v>98969.072</v>
      </c>
      <c r="AZ152" s="13">
        <f t="shared" ref="AZ152" si="244">+AO152+AP152</f>
        <v>0</v>
      </c>
      <c r="BA152" s="74"/>
      <c r="BB152" s="25">
        <f t="shared" ref="BB152" si="245">+AK152-AY152</f>
        <v>395876.288</v>
      </c>
      <c r="BC152" s="13">
        <f t="shared" ref="BC152" si="246">SUM(AO152)</f>
        <v>0</v>
      </c>
      <c r="BD152" s="13" t="b">
        <f>AND(AF152,NOT(ISNUMBER(MATCH(G152,Table1[Excluded Spacecraft ID],0))))</f>
        <v>1</v>
      </c>
      <c r="BE152" s="13">
        <f>BD152*AK152*_xlfn.XLOOKUP(I152,Table2[Date From],Table2[Cession],"Error",-1)*_xlfn.XLOOKUP(I152,'S3123 Consortium Share'!$A$3:$A$5,'S3123 Consortium Share'!$F$3:$F$5,,-1)</f>
        <v>41237.113333333335</v>
      </c>
      <c r="BF152" s="13">
        <f t="shared" ref="BF152" si="247">+BB152-BC152</f>
        <v>395876.288</v>
      </c>
      <c r="BG152" s="89" cm="1">
        <f t="array" ref="BG152">IF(V152="FIBL",0,INDEX('IGR QS'!$A$1:$D$570,MATCH('Input Data'!V152&amp;'Input Data'!W152&amp;'Input Data'!AM152,'IGR QS'!A:A&amp;'IGR QS'!B:B&amp;'IGR QS'!C:C,0),4))</f>
        <v>0.5</v>
      </c>
      <c r="BH152" s="13">
        <f t="shared" ref="BH152" si="248">+BF152*BG152</f>
        <v>197938.144</v>
      </c>
      <c r="BI152" s="13">
        <f t="shared" ref="BI152" si="249">+BF152-BH152</f>
        <v>197938.144</v>
      </c>
      <c r="BJ152" s="13">
        <f t="shared" si="215"/>
        <v>0</v>
      </c>
      <c r="BK152" s="13">
        <f t="shared" ref="BK152" si="250">BH152+BJ152</f>
        <v>197938.144</v>
      </c>
      <c r="BL152" s="13">
        <f t="shared" ref="BL152" si="251">+BI152-BJ152</f>
        <v>197938.144</v>
      </c>
      <c r="BM152" s="21"/>
      <c r="BN152" s="13">
        <f t="shared" si="216"/>
        <v>3308663.1195200002</v>
      </c>
      <c r="BO152" s="13">
        <f t="shared" si="217"/>
        <v>3026307.91952</v>
      </c>
      <c r="BP152" s="13">
        <f t="shared" si="218"/>
        <v>282355.19999999995</v>
      </c>
      <c r="BQ152" s="13">
        <f t="shared" si="219"/>
        <v>4626320.7195199998</v>
      </c>
      <c r="BR152" s="13">
        <f t="shared" si="220"/>
        <v>1983745.95976</v>
      </c>
      <c r="BT152" s="13">
        <f t="shared" si="221"/>
        <v>395876.288</v>
      </c>
      <c r="BU152" s="13">
        <f t="shared" si="222"/>
        <v>197938.144</v>
      </c>
      <c r="BV152" s="13">
        <f t="shared" si="223"/>
        <v>197938.144</v>
      </c>
      <c r="BW152" s="13">
        <f t="shared" si="224"/>
        <v>98969.072</v>
      </c>
      <c r="BX152" s="13"/>
      <c r="BY152" s="25">
        <f t="shared" si="225"/>
        <v>24742.268</v>
      </c>
      <c r="BZ152" s="25">
        <f t="shared" si="226"/>
        <v>24742.268</v>
      </c>
      <c r="CA152" s="25">
        <f t="shared" si="227"/>
        <v>0</v>
      </c>
      <c r="CB152" s="25">
        <f t="shared" si="228"/>
        <v>0</v>
      </c>
      <c r="CC152" s="25">
        <f t="shared" si="229"/>
        <v>12371.134</v>
      </c>
      <c r="CD152" s="384">
        <f t="shared" si="230"/>
        <v>0</v>
      </c>
      <c r="CR152" s="25">
        <f t="shared" si="231"/>
        <v>98969.072</v>
      </c>
      <c r="CS152" s="25">
        <f t="shared" si="198"/>
        <v>98969.072</v>
      </c>
      <c r="CT152" s="25">
        <f t="shared" si="198"/>
        <v>0</v>
      </c>
      <c r="CU152" s="25">
        <f t="shared" si="232"/>
        <v>0</v>
      </c>
      <c r="CV152" s="25">
        <f t="shared" si="233"/>
        <v>49484.536</v>
      </c>
      <c r="CW152" s="25">
        <f t="shared" si="234"/>
        <v>0</v>
      </c>
      <c r="CY152" s="25">
        <f t="shared" si="235"/>
        <v>24742.268</v>
      </c>
      <c r="CZ152" s="25">
        <f t="shared" si="236"/>
        <v>24742.268</v>
      </c>
      <c r="DA152" s="25">
        <f t="shared" si="195"/>
        <v>0</v>
      </c>
      <c r="DB152" s="25">
        <f t="shared" si="237"/>
        <v>0</v>
      </c>
      <c r="DC152" s="25">
        <f t="shared" si="238"/>
        <v>12371.134</v>
      </c>
      <c r="DD152" s="25">
        <f t="shared" si="239"/>
        <v>0</v>
      </c>
    </row>
    <row r="153" spans="1:108" x14ac:dyDescent="0.35">
      <c r="A153" s="282" t="str">
        <f t="shared" si="208"/>
        <v>360737_516620</v>
      </c>
      <c r="B153" s="303">
        <v>360737</v>
      </c>
      <c r="C153" s="303">
        <v>516620</v>
      </c>
      <c r="D153" s="319" t="str">
        <f>IFERROR(MATCH(C153,'[4]Custom Earning Pattern Not Popu'!$B$5:$B$428,0),"NA")</f>
        <v>NA</v>
      </c>
      <c r="E153" s="303" t="s">
        <v>228</v>
      </c>
      <c r="F153" s="303">
        <v>12</v>
      </c>
      <c r="G153" s="303">
        <v>9181</v>
      </c>
      <c r="H153" s="306">
        <v>41893</v>
      </c>
      <c r="I153" s="306">
        <v>46022</v>
      </c>
      <c r="J153" s="306">
        <v>46386</v>
      </c>
      <c r="K153" s="303" t="s">
        <v>113</v>
      </c>
      <c r="L153" s="306">
        <v>46022</v>
      </c>
      <c r="M153" s="306">
        <v>46386</v>
      </c>
      <c r="N153" s="303" t="s">
        <v>230</v>
      </c>
      <c r="O153" s="303" t="s">
        <v>230</v>
      </c>
      <c r="P153" s="148">
        <f t="shared" si="209"/>
        <v>0.4</v>
      </c>
      <c r="Q153" s="282">
        <v>1</v>
      </c>
      <c r="R153" s="282">
        <v>0</v>
      </c>
      <c r="S153" s="282" t="str">
        <f t="shared" si="240"/>
        <v>In-Orbit</v>
      </c>
      <c r="T153" s="282" t="s">
        <v>13</v>
      </c>
      <c r="U153" s="303" t="s">
        <v>476</v>
      </c>
      <c r="V153" s="303" t="s">
        <v>29</v>
      </c>
      <c r="W153" s="303" t="s">
        <v>78</v>
      </c>
      <c r="X153" s="303" t="s">
        <v>295</v>
      </c>
      <c r="Y153" s="303" t="s">
        <v>315</v>
      </c>
      <c r="Z153" s="303" t="s">
        <v>337</v>
      </c>
      <c r="AA153" s="308">
        <v>2628865.9749999898</v>
      </c>
      <c r="AC153" s="289">
        <f t="shared" si="210"/>
        <v>0</v>
      </c>
      <c r="AD153" s="88" cm="1">
        <f t="array" ref="AD153">IF(AC153=0,0,INDEX(Summary!$S$4:$S$7,MATCH(AC153,Summary!$R$4:$R$7)+1))</f>
        <v>0</v>
      </c>
      <c r="AE153" s="88">
        <f>IFERROR(INDEX(Summary!$Y$4:$Y$6,MATCH('Input Data'!K153,Summary!$U$4:$U$6,0)),0)</f>
        <v>0.05</v>
      </c>
      <c r="AF153" s="88" t="b">
        <f t="shared" si="207"/>
        <v>1</v>
      </c>
      <c r="AG153" s="89">
        <f>IF(AF153,INDEX('IG Equity Share'!$B:$B,MATCH(YEAR(I153),'IG Equity Share'!$A:$A,0)),0)</f>
        <v>7.4999999999999997E-2</v>
      </c>
      <c r="AH153" s="383">
        <f>AJ153*AG153*_xlfn.XLOOKUP(I153,'S3123 Consortium Share'!$A$3:$A$5,'S3123 Consortium Share'!$F$3:$F$5,,-1)</f>
        <v>82152.061718749683</v>
      </c>
      <c r="AI153" s="14">
        <v>1</v>
      </c>
      <c r="AJ153" s="13">
        <f t="shared" si="211"/>
        <v>2628865.9749999898</v>
      </c>
      <c r="AK153" s="13">
        <f t="shared" si="212"/>
        <v>2628865.9749999898</v>
      </c>
      <c r="AL153" s="13" t="str">
        <f t="shared" si="213"/>
        <v>FUL</v>
      </c>
      <c r="AM153" s="52">
        <f t="shared" si="214"/>
        <v>2025</v>
      </c>
      <c r="AN153" s="4">
        <f>INDEX('[2]Input Data'!$AH:$AH,MATCH(A153,'[2]Input Data'!$A:$A,0),1)-AH153</f>
        <v>0</v>
      </c>
      <c r="AO153" s="13">
        <f t="shared" si="243"/>
        <v>0</v>
      </c>
      <c r="AP153" s="13">
        <f t="shared" si="243"/>
        <v>0</v>
      </c>
      <c r="AQ153" s="13">
        <f t="shared" si="243"/>
        <v>0</v>
      </c>
      <c r="AR153" s="13">
        <f t="shared" si="243"/>
        <v>0</v>
      </c>
      <c r="AS153" s="13">
        <f t="shared" si="243"/>
        <v>0</v>
      </c>
      <c r="AT153" s="13">
        <f t="shared" si="243"/>
        <v>0</v>
      </c>
      <c r="AU153" s="13">
        <f t="shared" si="243"/>
        <v>525773.19499999797</v>
      </c>
      <c r="AV153" s="13">
        <f t="shared" si="241"/>
        <v>0</v>
      </c>
      <c r="AW153" s="13"/>
      <c r="AX153" s="13"/>
      <c r="AY153" s="13">
        <f t="shared" si="242"/>
        <v>525773.19499999797</v>
      </c>
      <c r="AZ153" s="13">
        <f t="shared" ref="AZ153:AZ155" si="252">+AO153+AP153</f>
        <v>0</v>
      </c>
      <c r="BA153" s="74"/>
      <c r="BB153" s="25">
        <f t="shared" ref="BB153:BB155" si="253">+AK153-AY153</f>
        <v>2103092.7799999919</v>
      </c>
      <c r="BC153" s="13">
        <f t="shared" ref="BC153:BC155" si="254">SUM(AO153)</f>
        <v>0</v>
      </c>
      <c r="BD153" s="13" t="b">
        <f>AND(AF153,NOT(ISNUMBER(MATCH(G153,Table1[Excluded Spacecraft ID],0))))</f>
        <v>1</v>
      </c>
      <c r="BE153" s="13">
        <f>BD153*AK153*_xlfn.XLOOKUP(I153,Table2[Date From],Table2[Cession],"Error",-1)*_xlfn.XLOOKUP(I153,'S3123 Consortium Share'!$A$3:$A$5,'S3123 Consortium Share'!$F$3:$F$5,,-1)</f>
        <v>219072.16458333249</v>
      </c>
      <c r="BF153" s="13">
        <f t="shared" ref="BF153:BF155" si="255">+BB153-BC153</f>
        <v>2103092.7799999919</v>
      </c>
      <c r="BG153" s="89" cm="1">
        <f t="array" ref="BG153">IF(V153="FIBL",0,INDEX('IGR QS'!$A$1:$D$570,MATCH('Input Data'!V153&amp;'Input Data'!W153&amp;'Input Data'!AM153,'IGR QS'!A:A&amp;'IGR QS'!B:B&amp;'IGR QS'!C:C,0),4))</f>
        <v>0.5</v>
      </c>
      <c r="BH153" s="13">
        <f t="shared" ref="BH153:BH155" si="256">+BF153*BG153</f>
        <v>1051546.3899999959</v>
      </c>
      <c r="BI153" s="13">
        <f t="shared" ref="BI153:BI155" si="257">+BF153-BH153</f>
        <v>1051546.3899999959</v>
      </c>
      <c r="BJ153" s="13">
        <f t="shared" si="215"/>
        <v>0</v>
      </c>
      <c r="BK153" s="13">
        <f t="shared" ref="BK153:BK155" si="258">BH153+BJ153</f>
        <v>1051546.3899999959</v>
      </c>
      <c r="BL153" s="13">
        <f t="shared" ref="BL153:BL155" si="259">+BI153-BJ153</f>
        <v>1051546.3899999959</v>
      </c>
      <c r="BM153" s="21"/>
      <c r="BN153" s="13">
        <f t="shared" si="216"/>
        <v>66471396.42403952</v>
      </c>
      <c r="BO153" s="13">
        <f t="shared" si="217"/>
        <v>49043091.716622137</v>
      </c>
      <c r="BP153" s="13">
        <f t="shared" si="218"/>
        <v>17428304.707417384</v>
      </c>
      <c r="BQ153" s="13">
        <f t="shared" si="219"/>
        <v>147803485.05865392</v>
      </c>
      <c r="BR153" s="13">
        <f t="shared" si="220"/>
        <v>53568720.370673373</v>
      </c>
      <c r="BT153" s="13">
        <f t="shared" si="221"/>
        <v>2103092.7799999919</v>
      </c>
      <c r="BU153" s="13">
        <f t="shared" si="222"/>
        <v>1051546.3899999959</v>
      </c>
      <c r="BV153" s="13">
        <f t="shared" si="223"/>
        <v>1051546.3899999959</v>
      </c>
      <c r="BW153" s="13">
        <f t="shared" si="224"/>
        <v>525773.19499999797</v>
      </c>
      <c r="BX153" s="13"/>
      <c r="BY153" s="25">
        <f t="shared" si="225"/>
        <v>131443.29874999949</v>
      </c>
      <c r="BZ153" s="25">
        <f t="shared" si="226"/>
        <v>131443.29874999949</v>
      </c>
      <c r="CA153" s="25">
        <f t="shared" si="227"/>
        <v>0</v>
      </c>
      <c r="CB153" s="25">
        <f t="shared" si="228"/>
        <v>0</v>
      </c>
      <c r="CC153" s="25">
        <f t="shared" si="229"/>
        <v>65721.649374999746</v>
      </c>
      <c r="CD153" s="384">
        <f t="shared" si="230"/>
        <v>0</v>
      </c>
      <c r="CR153" s="25">
        <f t="shared" si="231"/>
        <v>525773.19499999797</v>
      </c>
      <c r="CS153" s="25">
        <f t="shared" si="198"/>
        <v>525773.19499999797</v>
      </c>
      <c r="CT153" s="25">
        <f t="shared" si="198"/>
        <v>0</v>
      </c>
      <c r="CU153" s="25">
        <f t="shared" si="232"/>
        <v>0</v>
      </c>
      <c r="CV153" s="25">
        <f t="shared" si="233"/>
        <v>262886.59749999898</v>
      </c>
      <c r="CW153" s="25">
        <f t="shared" si="234"/>
        <v>0</v>
      </c>
      <c r="CY153" s="25">
        <f t="shared" si="235"/>
        <v>131443.29874999949</v>
      </c>
      <c r="CZ153" s="25">
        <f t="shared" si="236"/>
        <v>131443.29874999949</v>
      </c>
      <c r="DA153" s="25">
        <f t="shared" si="195"/>
        <v>0</v>
      </c>
      <c r="DB153" s="25">
        <f t="shared" si="237"/>
        <v>0</v>
      </c>
      <c r="DC153" s="25">
        <f t="shared" si="238"/>
        <v>65721.649374999746</v>
      </c>
      <c r="DD153" s="25">
        <f t="shared" si="239"/>
        <v>0</v>
      </c>
    </row>
    <row r="154" spans="1:108" x14ac:dyDescent="0.35">
      <c r="A154" s="282" t="str">
        <f t="shared" si="208"/>
        <v>373994_519791</v>
      </c>
      <c r="B154" s="303">
        <v>373994</v>
      </c>
      <c r="C154" s="303">
        <v>519791</v>
      </c>
      <c r="D154" s="319" t="str">
        <f>IFERROR(MATCH(C154,'[4]Custom Earning Pattern Not Popu'!$B$5:$B$428,0),"NA")</f>
        <v>NA</v>
      </c>
      <c r="E154" s="303" t="s">
        <v>228</v>
      </c>
      <c r="F154" s="303">
        <v>12</v>
      </c>
      <c r="G154" s="303">
        <v>10620</v>
      </c>
      <c r="H154" s="306">
        <v>43879</v>
      </c>
      <c r="I154" s="306">
        <v>46073</v>
      </c>
      <c r="J154" s="306">
        <v>46437</v>
      </c>
      <c r="K154" s="303" t="s">
        <v>113</v>
      </c>
      <c r="L154" s="306">
        <v>46073</v>
      </c>
      <c r="M154" s="306">
        <v>46437</v>
      </c>
      <c r="N154" s="303" t="s">
        <v>232</v>
      </c>
      <c r="O154" s="303" t="s">
        <v>244</v>
      </c>
      <c r="P154" s="148">
        <f t="shared" si="209"/>
        <v>0.4</v>
      </c>
      <c r="Q154" s="282">
        <v>1</v>
      </c>
      <c r="R154" s="282">
        <v>0</v>
      </c>
      <c r="S154" s="282" t="str">
        <f t="shared" si="240"/>
        <v>In-Orbit</v>
      </c>
      <c r="T154" s="282" t="s">
        <v>13</v>
      </c>
      <c r="U154" s="303" t="s">
        <v>558</v>
      </c>
      <c r="V154" s="303" t="s">
        <v>29</v>
      </c>
      <c r="W154" s="303" t="s">
        <v>78</v>
      </c>
      <c r="X154" s="303" t="s">
        <v>312</v>
      </c>
      <c r="Y154" s="303" t="s">
        <v>323</v>
      </c>
      <c r="Z154" s="303" t="s">
        <v>337</v>
      </c>
      <c r="AA154" s="308">
        <v>7234907.1660548197</v>
      </c>
      <c r="AC154" s="289">
        <f t="shared" si="210"/>
        <v>0</v>
      </c>
      <c r="AD154" s="88" cm="1">
        <f t="array" ref="AD154">IF(AC154=0,0,INDEX(Summary!$S$4:$S$7,MATCH(AC154,Summary!$R$4:$R$7)+1))</f>
        <v>0</v>
      </c>
      <c r="AE154" s="88">
        <f>IFERROR(INDEX(Summary!$Y$4:$Y$6,MATCH('Input Data'!K154,Summary!$U$4:$U$6,0)),0)</f>
        <v>0.05</v>
      </c>
      <c r="AF154" s="88" t="b">
        <f t="shared" si="207"/>
        <v>1</v>
      </c>
      <c r="AG154" s="89">
        <f>IF(AF154,INDEX('IG Equity Share'!$B:$B,MATCH(YEAR(I154),'IG Equity Share'!$A:$A,0)),0)</f>
        <v>7.4999999999999997E-2</v>
      </c>
      <c r="AH154" s="383">
        <f>AJ154*AG154*_xlfn.XLOOKUP(I154,'S3123 Consortium Share'!$A$3:$A$5,'S3123 Consortium Share'!$F$3:$F$5,,-1)</f>
        <v>271309.01872705575</v>
      </c>
      <c r="AI154" s="14">
        <v>1</v>
      </c>
      <c r="AJ154" s="13">
        <f t="shared" si="211"/>
        <v>7234907.1660548197</v>
      </c>
      <c r="AK154" s="13">
        <f t="shared" si="212"/>
        <v>7234907.1660548197</v>
      </c>
      <c r="AL154" s="13" t="str">
        <f t="shared" si="213"/>
        <v>FUL</v>
      </c>
      <c r="AM154" s="52">
        <f t="shared" si="214"/>
        <v>2026</v>
      </c>
      <c r="AN154" s="4"/>
      <c r="AO154" s="13">
        <f t="shared" si="243"/>
        <v>0</v>
      </c>
      <c r="AP154" s="13">
        <f t="shared" si="243"/>
        <v>0</v>
      </c>
      <c r="AQ154" s="13">
        <f t="shared" si="243"/>
        <v>0</v>
      </c>
      <c r="AR154" s="13">
        <f t="shared" si="243"/>
        <v>0</v>
      </c>
      <c r="AS154" s="13">
        <f t="shared" si="243"/>
        <v>0</v>
      </c>
      <c r="AT154" s="13">
        <f t="shared" si="243"/>
        <v>0</v>
      </c>
      <c r="AU154" s="13">
        <f t="shared" si="243"/>
        <v>0</v>
      </c>
      <c r="AV154" s="13">
        <f t="shared" si="241"/>
        <v>1446981.4332109641</v>
      </c>
      <c r="AW154" s="13"/>
      <c r="AX154" s="13"/>
      <c r="AY154" s="13">
        <f t="shared" si="242"/>
        <v>1446981.4332109641</v>
      </c>
      <c r="AZ154" s="13">
        <f t="shared" si="252"/>
        <v>0</v>
      </c>
      <c r="BA154" s="74"/>
      <c r="BB154" s="25">
        <f t="shared" si="253"/>
        <v>5787925.7328438554</v>
      </c>
      <c r="BC154" s="13">
        <f t="shared" si="254"/>
        <v>0</v>
      </c>
      <c r="BD154" s="13" t="b">
        <f>AND(AF154,NOT(ISNUMBER(MATCH(G154,Table1[Excluded Spacecraft ID],0))))</f>
        <v>1</v>
      </c>
      <c r="BE154" s="13">
        <f>BD154*AK154*_xlfn.XLOOKUP(I154,Table2[Date From],Table2[Cession],"Error",-1)*_xlfn.XLOOKUP(I154,'S3123 Consortium Share'!$A$3:$A$5,'S3123 Consortium Share'!$F$3:$F$5,,-1)</f>
        <v>723490.71660548204</v>
      </c>
      <c r="BF154" s="13">
        <f t="shared" si="255"/>
        <v>5787925.7328438554</v>
      </c>
      <c r="BG154" s="89" cm="1">
        <f t="array" ref="BG154">IF(V154="FIBL",0,INDEX('IGR QS'!$A$1:$D$570,MATCH('Input Data'!V154&amp;'Input Data'!W154&amp;'Input Data'!AM154,'IGR QS'!A:A&amp;'IGR QS'!B:B&amp;'IGR QS'!C:C,0),4))</f>
        <v>0.5</v>
      </c>
      <c r="BH154" s="13">
        <f t="shared" si="256"/>
        <v>2893962.8664219277</v>
      </c>
      <c r="BI154" s="13">
        <f t="shared" si="257"/>
        <v>2893962.8664219277</v>
      </c>
      <c r="BJ154" s="13">
        <f t="shared" si="215"/>
        <v>0</v>
      </c>
      <c r="BK154" s="13">
        <f t="shared" si="258"/>
        <v>2893962.8664219277</v>
      </c>
      <c r="BL154" s="13">
        <f t="shared" si="259"/>
        <v>2893962.8664219277</v>
      </c>
      <c r="BM154" s="21"/>
      <c r="BN154" s="13">
        <f t="shared" si="216"/>
        <v>14714682.880661048</v>
      </c>
      <c r="BO154" s="13">
        <f t="shared" si="217"/>
        <v>14714682.880661048</v>
      </c>
      <c r="BP154" s="13">
        <f t="shared" si="218"/>
        <v>0</v>
      </c>
      <c r="BQ154" s="13">
        <f t="shared" si="219"/>
        <v>14714682.880661048</v>
      </c>
      <c r="BR154" s="13">
        <f t="shared" si="220"/>
        <v>7357341.440330524</v>
      </c>
      <c r="BT154" s="13">
        <f t="shared" si="221"/>
        <v>5787925.7328438554</v>
      </c>
      <c r="BU154" s="13">
        <f t="shared" si="222"/>
        <v>2893962.8664219277</v>
      </c>
      <c r="BV154" s="13">
        <f t="shared" si="223"/>
        <v>2893962.8664219277</v>
      </c>
      <c r="BW154" s="13">
        <f t="shared" si="224"/>
        <v>1446981.4332109641</v>
      </c>
      <c r="BX154" s="13"/>
      <c r="BY154" s="25">
        <f t="shared" si="225"/>
        <v>361745.35830274102</v>
      </c>
      <c r="BZ154" s="25">
        <f t="shared" si="226"/>
        <v>361745.35830274102</v>
      </c>
      <c r="CA154" s="25">
        <f t="shared" si="227"/>
        <v>0</v>
      </c>
      <c r="CB154" s="25">
        <f t="shared" si="228"/>
        <v>0</v>
      </c>
      <c r="CC154" s="25">
        <f t="shared" si="229"/>
        <v>180872.67915137051</v>
      </c>
      <c r="CD154" s="384">
        <f t="shared" si="230"/>
        <v>0</v>
      </c>
      <c r="CR154" s="25">
        <f t="shared" si="231"/>
        <v>1446981.4332109641</v>
      </c>
      <c r="CS154" s="25">
        <f t="shared" si="198"/>
        <v>1446981.4332109641</v>
      </c>
      <c r="CT154" s="25">
        <f t="shared" si="198"/>
        <v>0</v>
      </c>
      <c r="CU154" s="25">
        <f t="shared" si="232"/>
        <v>0</v>
      </c>
      <c r="CV154" s="25">
        <f t="shared" si="233"/>
        <v>723490.71660548204</v>
      </c>
      <c r="CW154" s="25">
        <f t="shared" si="234"/>
        <v>0</v>
      </c>
      <c r="CY154" s="25">
        <f t="shared" si="235"/>
        <v>361745.35830274102</v>
      </c>
      <c r="CZ154" s="25">
        <f t="shared" si="236"/>
        <v>361745.35830274102</v>
      </c>
      <c r="DA154" s="25">
        <f t="shared" ref="DA154:DA188" si="260">IF(AND(OR($K154="GEO-GSO",$K154="MEO"),$AL154=DA$19),$AK154*Space_Debris_Loss,0)*$Q154*$AE154</f>
        <v>0</v>
      </c>
      <c r="DB154" s="25">
        <f t="shared" si="237"/>
        <v>0</v>
      </c>
      <c r="DC154" s="25">
        <f t="shared" si="238"/>
        <v>180872.67915137051</v>
      </c>
      <c r="DD154" s="25">
        <f t="shared" si="239"/>
        <v>0</v>
      </c>
    </row>
    <row r="155" spans="1:108" x14ac:dyDescent="0.35">
      <c r="A155" s="282" t="str">
        <f t="shared" si="208"/>
        <v>374038_519865</v>
      </c>
      <c r="B155" s="303">
        <v>374038</v>
      </c>
      <c r="C155" s="303">
        <v>519865</v>
      </c>
      <c r="D155" s="319" t="str">
        <f>IFERROR(MATCH(C155,'[4]Custom Earning Pattern Not Popu'!$B$5:$B$428,0),"NA")</f>
        <v>NA</v>
      </c>
      <c r="E155" s="303" t="s">
        <v>228</v>
      </c>
      <c r="F155" s="303">
        <v>12</v>
      </c>
      <c r="G155" s="303">
        <v>10620</v>
      </c>
      <c r="H155" s="306">
        <v>43879</v>
      </c>
      <c r="I155" s="306">
        <v>46073</v>
      </c>
      <c r="J155" s="306">
        <v>46437</v>
      </c>
      <c r="K155" s="303" t="s">
        <v>113</v>
      </c>
      <c r="L155" s="306">
        <v>46073</v>
      </c>
      <c r="M155" s="306">
        <v>46437</v>
      </c>
      <c r="N155" s="303" t="s">
        <v>232</v>
      </c>
      <c r="O155" s="303" t="s">
        <v>244</v>
      </c>
      <c r="P155" s="148">
        <f t="shared" si="209"/>
        <v>0.4</v>
      </c>
      <c r="Q155" s="282">
        <v>1</v>
      </c>
      <c r="R155" s="282">
        <v>0</v>
      </c>
      <c r="S155" s="282" t="str">
        <f t="shared" si="240"/>
        <v>In-Orbit</v>
      </c>
      <c r="T155" s="282" t="s">
        <v>13</v>
      </c>
      <c r="U155" s="303" t="s">
        <v>559</v>
      </c>
      <c r="V155" s="303" t="s">
        <v>29</v>
      </c>
      <c r="W155" s="303" t="s">
        <v>78</v>
      </c>
      <c r="X155" s="303" t="s">
        <v>312</v>
      </c>
      <c r="Y155" s="303" t="s">
        <v>323</v>
      </c>
      <c r="Z155" s="303" t="s">
        <v>337</v>
      </c>
      <c r="AA155" s="308">
        <v>15023710.145138299</v>
      </c>
      <c r="AC155" s="289">
        <f t="shared" si="210"/>
        <v>0</v>
      </c>
      <c r="AD155" s="88" cm="1">
        <f t="array" ref="AD155">IF(AC155=0,0,INDEX(Summary!$S$4:$S$7,MATCH(AC155,Summary!$R$4:$R$7)+1))</f>
        <v>0</v>
      </c>
      <c r="AE155" s="88">
        <f>IFERROR(INDEX(Summary!$Y$4:$Y$6,MATCH('Input Data'!K155,Summary!$U$4:$U$6,0)),0)</f>
        <v>0.05</v>
      </c>
      <c r="AF155" s="88" t="b">
        <f t="shared" si="207"/>
        <v>1</v>
      </c>
      <c r="AG155" s="89">
        <f>IF(AF155,INDEX('IG Equity Share'!$B:$B,MATCH(YEAR(I155),'IG Equity Share'!$A:$A,0)),0)</f>
        <v>7.4999999999999997E-2</v>
      </c>
      <c r="AH155" s="383">
        <f>AJ155*AG155*_xlfn.XLOOKUP(I155,'S3123 Consortium Share'!$A$3:$A$5,'S3123 Consortium Share'!$F$3:$F$5,,-1)</f>
        <v>563389.13044268615</v>
      </c>
      <c r="AI155" s="14">
        <v>1</v>
      </c>
      <c r="AJ155" s="13">
        <f t="shared" si="211"/>
        <v>15023710.145138299</v>
      </c>
      <c r="AK155" s="13">
        <f t="shared" si="212"/>
        <v>15023710.145138299</v>
      </c>
      <c r="AL155" s="13" t="str">
        <f t="shared" si="213"/>
        <v>FUL</v>
      </c>
      <c r="AM155" s="52">
        <f t="shared" si="214"/>
        <v>2026</v>
      </c>
      <c r="AN155" s="4"/>
      <c r="AO155" s="13">
        <f t="shared" si="243"/>
        <v>0</v>
      </c>
      <c r="AP155" s="13">
        <f t="shared" si="243"/>
        <v>0</v>
      </c>
      <c r="AQ155" s="13">
        <f t="shared" si="243"/>
        <v>0</v>
      </c>
      <c r="AR155" s="13">
        <f t="shared" si="243"/>
        <v>0</v>
      </c>
      <c r="AS155" s="13">
        <f t="shared" si="243"/>
        <v>0</v>
      </c>
      <c r="AT155" s="13">
        <f t="shared" si="243"/>
        <v>0</v>
      </c>
      <c r="AU155" s="13">
        <f t="shared" si="243"/>
        <v>0</v>
      </c>
      <c r="AV155" s="13">
        <f t="shared" si="241"/>
        <v>3004742.0290276599</v>
      </c>
      <c r="AW155" s="13"/>
      <c r="AX155" s="13"/>
      <c r="AY155" s="13">
        <f t="shared" si="242"/>
        <v>3004742.0290276599</v>
      </c>
      <c r="AZ155" s="13">
        <f t="shared" si="252"/>
        <v>0</v>
      </c>
      <c r="BA155" s="74"/>
      <c r="BB155" s="25">
        <f t="shared" si="253"/>
        <v>12018968.11611064</v>
      </c>
      <c r="BC155" s="13">
        <f t="shared" si="254"/>
        <v>0</v>
      </c>
      <c r="BD155" s="13" t="b">
        <f>AND(AF155,NOT(ISNUMBER(MATCH(G155,Table1[Excluded Spacecraft ID],0))))</f>
        <v>1</v>
      </c>
      <c r="BE155" s="13">
        <f>BD155*AK155*_xlfn.XLOOKUP(I155,Table2[Date From],Table2[Cession],"Error",-1)*_xlfn.XLOOKUP(I155,'S3123 Consortium Share'!$A$3:$A$5,'S3123 Consortium Share'!$F$3:$F$5,,-1)</f>
        <v>1502371.01451383</v>
      </c>
      <c r="BF155" s="13">
        <f t="shared" si="255"/>
        <v>12018968.11611064</v>
      </c>
      <c r="BG155" s="89" cm="1">
        <f t="array" ref="BG155">IF(V155="FIBL",0,INDEX('IGR QS'!$A$1:$D$570,MATCH('Input Data'!V155&amp;'Input Data'!W155&amp;'Input Data'!AM155,'IGR QS'!A:A&amp;'IGR QS'!B:B&amp;'IGR QS'!C:C,0),4))</f>
        <v>0.5</v>
      </c>
      <c r="BH155" s="13">
        <f t="shared" si="256"/>
        <v>6009484.0580553198</v>
      </c>
      <c r="BI155" s="13">
        <f t="shared" si="257"/>
        <v>6009484.0580553198</v>
      </c>
      <c r="BJ155" s="13">
        <f t="shared" si="215"/>
        <v>0</v>
      </c>
      <c r="BK155" s="13">
        <f t="shared" si="258"/>
        <v>6009484.0580553198</v>
      </c>
      <c r="BL155" s="13">
        <f t="shared" si="259"/>
        <v>6009484.0580553198</v>
      </c>
      <c r="BM155" s="21"/>
      <c r="BN155" s="13">
        <f t="shared" si="216"/>
        <v>14714682.880661048</v>
      </c>
      <c r="BO155" s="13">
        <f t="shared" si="217"/>
        <v>14714682.880661048</v>
      </c>
      <c r="BP155" s="13">
        <f t="shared" si="218"/>
        <v>0</v>
      </c>
      <c r="BQ155" s="13">
        <f t="shared" si="219"/>
        <v>14714682.880661048</v>
      </c>
      <c r="BR155" s="13">
        <f t="shared" si="220"/>
        <v>7357341.440330524</v>
      </c>
      <c r="BT155" s="13">
        <f t="shared" si="221"/>
        <v>12018968.11611064</v>
      </c>
      <c r="BU155" s="13">
        <f t="shared" si="222"/>
        <v>6009484.0580553198</v>
      </c>
      <c r="BV155" s="13">
        <f t="shared" si="223"/>
        <v>6009484.0580553198</v>
      </c>
      <c r="BW155" s="13">
        <f t="shared" si="224"/>
        <v>3004742.0290276599</v>
      </c>
      <c r="BX155" s="13"/>
      <c r="BY155" s="25">
        <f t="shared" si="225"/>
        <v>751185.50725691498</v>
      </c>
      <c r="BZ155" s="25">
        <f t="shared" si="226"/>
        <v>751185.50725691498</v>
      </c>
      <c r="CA155" s="25">
        <f t="shared" si="227"/>
        <v>0</v>
      </c>
      <c r="CB155" s="25">
        <f t="shared" si="228"/>
        <v>0</v>
      </c>
      <c r="CC155" s="25">
        <f t="shared" si="229"/>
        <v>375592.75362845749</v>
      </c>
      <c r="CD155" s="384">
        <f t="shared" si="230"/>
        <v>0</v>
      </c>
      <c r="CR155" s="25">
        <f t="shared" si="231"/>
        <v>3004742.0290276599</v>
      </c>
      <c r="CS155" s="25">
        <f t="shared" si="198"/>
        <v>3004742.0290276599</v>
      </c>
      <c r="CT155" s="25">
        <f t="shared" si="198"/>
        <v>0</v>
      </c>
      <c r="CU155" s="25">
        <f t="shared" si="232"/>
        <v>0</v>
      </c>
      <c r="CV155" s="25">
        <f t="shared" si="233"/>
        <v>1502371.01451383</v>
      </c>
      <c r="CW155" s="25">
        <f t="shared" si="234"/>
        <v>0</v>
      </c>
      <c r="CY155" s="25">
        <f t="shared" si="235"/>
        <v>751185.50725691498</v>
      </c>
      <c r="CZ155" s="25">
        <f t="shared" si="236"/>
        <v>751185.50725691498</v>
      </c>
      <c r="DA155" s="25">
        <f t="shared" si="260"/>
        <v>0</v>
      </c>
      <c r="DB155" s="25">
        <f t="shared" si="237"/>
        <v>0</v>
      </c>
      <c r="DC155" s="25">
        <f t="shared" si="238"/>
        <v>375592.75362845749</v>
      </c>
      <c r="DD155" s="25">
        <f t="shared" si="239"/>
        <v>0</v>
      </c>
    </row>
    <row r="156" spans="1:108" x14ac:dyDescent="0.35">
      <c r="A156" s="335" t="str">
        <f t="shared" si="208"/>
        <v>333725_521619</v>
      </c>
      <c r="B156" s="303">
        <v>333725</v>
      </c>
      <c r="C156" s="371">
        <v>521619</v>
      </c>
      <c r="D156" s="319">
        <f>IFERROR(MATCH(C156,'[4]Custom Earning Pattern Not Popu'!$B$5:$B$428,0),"NA")</f>
        <v>367</v>
      </c>
      <c r="E156" s="303" t="s">
        <v>13</v>
      </c>
      <c r="F156" s="303" t="s">
        <v>13</v>
      </c>
      <c r="G156" s="303" t="s">
        <v>13</v>
      </c>
      <c r="H156" s="306" t="s">
        <v>13</v>
      </c>
      <c r="I156" s="306">
        <v>46023</v>
      </c>
      <c r="J156" s="306">
        <v>46387</v>
      </c>
      <c r="K156" s="303" t="s">
        <v>13</v>
      </c>
      <c r="L156" s="306">
        <v>46023</v>
      </c>
      <c r="M156" s="306">
        <v>46387</v>
      </c>
      <c r="N156" s="303" t="s">
        <v>13</v>
      </c>
      <c r="O156" s="303" t="s">
        <v>13</v>
      </c>
      <c r="P156" s="148">
        <f t="shared" si="209"/>
        <v>0.4</v>
      </c>
      <c r="Q156" s="282">
        <v>1</v>
      </c>
      <c r="R156" s="282">
        <v>0</v>
      </c>
      <c r="S156" s="282" t="str">
        <f t="shared" si="240"/>
        <v>NULL</v>
      </c>
      <c r="T156" s="282" t="s">
        <v>13</v>
      </c>
      <c r="U156" s="318" t="s">
        <v>560</v>
      </c>
      <c r="V156" s="303" t="s">
        <v>29</v>
      </c>
      <c r="W156" s="303" t="s">
        <v>80</v>
      </c>
      <c r="X156" s="303" t="s">
        <v>13</v>
      </c>
      <c r="Y156" s="303" t="s">
        <v>13</v>
      </c>
      <c r="Z156" s="303" t="s">
        <v>13</v>
      </c>
      <c r="AA156" s="334">
        <f>3529438.23528*0</f>
        <v>0</v>
      </c>
      <c r="AC156" s="289">
        <f t="shared" si="210"/>
        <v>0</v>
      </c>
      <c r="AD156" s="88" cm="1">
        <f t="array" ref="AD156">IF(AC156=0,0,INDEX(Summary!$S$4:$S$7,MATCH(AC156,Summary!$R$4:$R$7)+1))</f>
        <v>0</v>
      </c>
      <c r="AE156" s="88">
        <f>IFERROR(INDEX(Summary!$Y$4:$Y$6,MATCH('Input Data'!K156,Summary!$U$4:$U$6,0)),0)</f>
        <v>0</v>
      </c>
      <c r="AF156" s="88" t="b">
        <f t="shared" si="207"/>
        <v>1</v>
      </c>
      <c r="AG156" s="89">
        <f>IF(AF156,INDEX('IG Equity Share'!$B:$B,MATCH(YEAR(I156),'IG Equity Share'!$A:$A,0)),0)</f>
        <v>7.4999999999999997E-2</v>
      </c>
      <c r="AH156" s="383">
        <f>AJ156*AG156*_xlfn.XLOOKUP(I156,'S3123 Consortium Share'!$A$3:$A$5,'S3123 Consortium Share'!$F$3:$F$5,,-1)</f>
        <v>0</v>
      </c>
      <c r="AI156" s="14">
        <v>1</v>
      </c>
      <c r="AJ156" s="13">
        <f t="shared" si="211"/>
        <v>0</v>
      </c>
      <c r="AK156" s="13">
        <f t="shared" si="212"/>
        <v>0</v>
      </c>
      <c r="AL156" s="13" t="str">
        <f t="shared" si="213"/>
        <v>FUL</v>
      </c>
      <c r="AM156" s="52">
        <f t="shared" si="214"/>
        <v>2026</v>
      </c>
      <c r="AN156" s="4" t="e">
        <f>INDEX('[2]Input Data'!$AH:$AH,MATCH(A156,'[2]Input Data'!$A:$A,0),1)-AH156</f>
        <v>#N/A</v>
      </c>
      <c r="AO156" s="13">
        <f t="shared" si="243"/>
        <v>0</v>
      </c>
      <c r="AP156" s="13">
        <f t="shared" si="243"/>
        <v>0</v>
      </c>
      <c r="AQ156" s="13">
        <f t="shared" si="243"/>
        <v>0</v>
      </c>
      <c r="AR156" s="13">
        <f t="shared" si="243"/>
        <v>0</v>
      </c>
      <c r="AS156" s="13">
        <f t="shared" si="243"/>
        <v>0</v>
      </c>
      <c r="AT156" s="13">
        <f t="shared" si="243"/>
        <v>0</v>
      </c>
      <c r="AU156" s="13">
        <f t="shared" si="243"/>
        <v>0</v>
      </c>
      <c r="AV156" s="13">
        <f t="shared" si="241"/>
        <v>0</v>
      </c>
      <c r="AW156" s="13"/>
      <c r="AX156" s="13"/>
      <c r="AY156" s="13">
        <f t="shared" si="242"/>
        <v>0</v>
      </c>
      <c r="AZ156" s="13">
        <f t="shared" ref="AZ156" si="261">+AO156+AP156</f>
        <v>0</v>
      </c>
      <c r="BA156" s="74"/>
      <c r="BB156" s="25">
        <f t="shared" ref="BB156" si="262">+AK156-AY156</f>
        <v>0</v>
      </c>
      <c r="BC156" s="13">
        <f t="shared" ref="BC156" si="263">SUM(AO156)</f>
        <v>0</v>
      </c>
      <c r="BD156" s="13" t="b">
        <f>AND(AF156,NOT(ISNUMBER(MATCH(G156,Table1[Excluded Spacecraft ID],0))))</f>
        <v>1</v>
      </c>
      <c r="BE156" s="13">
        <f>BD156*AK156*_xlfn.XLOOKUP(I156,Table2[Date From],Table2[Cession],"Error",-1)*_xlfn.XLOOKUP(I156,'S3123 Consortium Share'!$A$3:$A$5,'S3123 Consortium Share'!$F$3:$F$5,,-1)</f>
        <v>0</v>
      </c>
      <c r="BF156" s="13">
        <f t="shared" ref="BF156" si="264">+BB156-BC156</f>
        <v>0</v>
      </c>
      <c r="BG156" s="89" cm="1">
        <f t="array" ref="BG156">IF(V156="FIBL",0,INDEX('IGR QS'!$A$1:$D$570,MATCH('Input Data'!V156&amp;'Input Data'!W156&amp;'Input Data'!AM156,'IGR QS'!A:A&amp;'IGR QS'!B:B&amp;'IGR QS'!C:C,0),4))</f>
        <v>0.5</v>
      </c>
      <c r="BH156" s="13">
        <f t="shared" ref="BH156" si="265">+BF156*BG156</f>
        <v>0</v>
      </c>
      <c r="BI156" s="13">
        <f t="shared" ref="BI156" si="266">+BF156-BH156</f>
        <v>0</v>
      </c>
      <c r="BJ156" s="13">
        <f t="shared" si="215"/>
        <v>0</v>
      </c>
      <c r="BK156" s="13">
        <f t="shared" ref="BK156" si="267">BH156+BJ156</f>
        <v>0</v>
      </c>
      <c r="BL156" s="13">
        <f t="shared" ref="BL156" si="268">+BI156-BJ156</f>
        <v>0</v>
      </c>
      <c r="BM156" s="21"/>
      <c r="BN156" s="13">
        <f t="shared" si="216"/>
        <v>0</v>
      </c>
      <c r="BO156" s="13">
        <f t="shared" si="217"/>
        <v>0</v>
      </c>
      <c r="BP156" s="13">
        <f t="shared" si="218"/>
        <v>0</v>
      </c>
      <c r="BQ156" s="13">
        <f t="shared" si="219"/>
        <v>0</v>
      </c>
      <c r="BR156" s="13">
        <f t="shared" si="220"/>
        <v>0</v>
      </c>
      <c r="BT156" s="13">
        <f t="shared" si="221"/>
        <v>0</v>
      </c>
      <c r="BU156" s="13">
        <f t="shared" si="222"/>
        <v>0</v>
      </c>
      <c r="BV156" s="13">
        <f t="shared" si="223"/>
        <v>0</v>
      </c>
      <c r="BW156" s="13">
        <f t="shared" si="224"/>
        <v>0</v>
      </c>
      <c r="BX156" s="13"/>
      <c r="BY156" s="25">
        <f t="shared" si="225"/>
        <v>0</v>
      </c>
      <c r="BZ156" s="25">
        <f t="shared" si="226"/>
        <v>0</v>
      </c>
      <c r="CA156" s="25">
        <f t="shared" si="227"/>
        <v>0</v>
      </c>
      <c r="CB156" s="25">
        <f t="shared" si="228"/>
        <v>0</v>
      </c>
      <c r="CC156" s="25">
        <f t="shared" si="229"/>
        <v>0</v>
      </c>
      <c r="CD156" s="384">
        <f t="shared" si="230"/>
        <v>0</v>
      </c>
      <c r="CR156" s="25">
        <f t="shared" si="231"/>
        <v>0</v>
      </c>
      <c r="CS156" s="25">
        <f t="shared" si="198"/>
        <v>0</v>
      </c>
      <c r="CT156" s="25">
        <f t="shared" si="198"/>
        <v>0</v>
      </c>
      <c r="CU156" s="25">
        <f t="shared" si="232"/>
        <v>0</v>
      </c>
      <c r="CV156" s="25">
        <f t="shared" si="233"/>
        <v>0</v>
      </c>
      <c r="CW156" s="25">
        <f t="shared" si="234"/>
        <v>0</v>
      </c>
      <c r="CY156" s="25">
        <f t="shared" si="235"/>
        <v>0</v>
      </c>
      <c r="CZ156" s="25">
        <f t="shared" si="236"/>
        <v>0</v>
      </c>
      <c r="DA156" s="25">
        <f t="shared" si="260"/>
        <v>0</v>
      </c>
      <c r="DB156" s="25">
        <f t="shared" si="237"/>
        <v>0</v>
      </c>
      <c r="DC156" s="25">
        <f t="shared" si="238"/>
        <v>0</v>
      </c>
      <c r="DD156" s="25">
        <f t="shared" si="239"/>
        <v>0</v>
      </c>
    </row>
    <row r="157" spans="1:108" x14ac:dyDescent="0.35">
      <c r="A157" s="282" t="str">
        <f t="shared" si="208"/>
        <v>351333_526693</v>
      </c>
      <c r="B157" s="303">
        <v>351333</v>
      </c>
      <c r="C157" s="371">
        <v>526693</v>
      </c>
      <c r="D157" s="319">
        <f>IFERROR(MATCH(C157,'[4]Custom Earning Pattern Not Popu'!$B$5:$B$428,0),"NA")</f>
        <v>372</v>
      </c>
      <c r="E157" s="303" t="s">
        <v>13</v>
      </c>
      <c r="F157" s="303" t="s">
        <v>13</v>
      </c>
      <c r="G157" s="303" t="s">
        <v>13</v>
      </c>
      <c r="H157" s="306" t="s">
        <v>13</v>
      </c>
      <c r="I157" s="306">
        <v>46023</v>
      </c>
      <c r="J157" s="306">
        <v>47118</v>
      </c>
      <c r="K157" s="303" t="s">
        <v>13</v>
      </c>
      <c r="L157" s="306">
        <v>46023</v>
      </c>
      <c r="M157" s="306">
        <v>47118</v>
      </c>
      <c r="N157" s="303" t="s">
        <v>13</v>
      </c>
      <c r="O157" s="303" t="s">
        <v>13</v>
      </c>
      <c r="P157" s="148">
        <f t="shared" si="209"/>
        <v>0.8</v>
      </c>
      <c r="Q157" s="282">
        <v>1</v>
      </c>
      <c r="R157" s="282">
        <v>0</v>
      </c>
      <c r="S157" s="282" t="str">
        <f t="shared" si="240"/>
        <v>NULL</v>
      </c>
      <c r="T157" s="282" t="s">
        <v>13</v>
      </c>
      <c r="U157" s="303" t="s">
        <v>552</v>
      </c>
      <c r="V157" s="303" t="s">
        <v>29</v>
      </c>
      <c r="W157" s="303" t="s">
        <v>80</v>
      </c>
      <c r="X157" s="303" t="s">
        <v>13</v>
      </c>
      <c r="Y157" s="303" t="s">
        <v>13</v>
      </c>
      <c r="Z157" s="303" t="s">
        <v>13</v>
      </c>
      <c r="AA157" s="334">
        <f>1891945.72368*0</f>
        <v>0</v>
      </c>
      <c r="AC157" s="289">
        <f t="shared" si="210"/>
        <v>0</v>
      </c>
      <c r="AD157" s="88" cm="1">
        <f t="array" ref="AD157">IF(AC157=0,0,INDEX(Summary!$S$4:$S$7,MATCH(AC157,Summary!$R$4:$R$7)+1))</f>
        <v>0</v>
      </c>
      <c r="AE157" s="88">
        <f>IFERROR(INDEX(Summary!$Y$4:$Y$6,MATCH('Input Data'!K157,Summary!$U$4:$U$6,0)),0)</f>
        <v>0</v>
      </c>
      <c r="AF157" s="88" t="b">
        <f t="shared" si="207"/>
        <v>1</v>
      </c>
      <c r="AG157" s="89">
        <f>IF(AF157,INDEX('IG Equity Share'!$B:$B,MATCH(YEAR(I157),'IG Equity Share'!$A:$A,0)),0)</f>
        <v>7.4999999999999997E-2</v>
      </c>
      <c r="AH157" s="383">
        <f>AJ157*AG157*_xlfn.XLOOKUP(I157,'S3123 Consortium Share'!$A$3:$A$5,'S3123 Consortium Share'!$F$3:$F$5,,-1)</f>
        <v>0</v>
      </c>
      <c r="AI157" s="14">
        <v>1</v>
      </c>
      <c r="AJ157" s="13">
        <f t="shared" si="211"/>
        <v>0</v>
      </c>
      <c r="AK157" s="13">
        <f t="shared" si="212"/>
        <v>0</v>
      </c>
      <c r="AL157" s="13" t="str">
        <f t="shared" si="213"/>
        <v>FUL</v>
      </c>
      <c r="AM157" s="52">
        <f t="shared" si="214"/>
        <v>2026</v>
      </c>
      <c r="AN157" s="4" t="e">
        <f>INDEX('[2]Input Data'!$AH:$AH,MATCH(A157,'[2]Input Data'!$A:$A,0),1)-AH157</f>
        <v>#N/A</v>
      </c>
      <c r="AO157" s="13">
        <f t="shared" si="243"/>
        <v>0</v>
      </c>
      <c r="AP157" s="13">
        <f t="shared" si="243"/>
        <v>0</v>
      </c>
      <c r="AQ157" s="13">
        <f t="shared" si="243"/>
        <v>0</v>
      </c>
      <c r="AR157" s="13">
        <f t="shared" si="243"/>
        <v>0</v>
      </c>
      <c r="AS157" s="13">
        <f t="shared" si="243"/>
        <v>0</v>
      </c>
      <c r="AT157" s="13">
        <f t="shared" si="243"/>
        <v>0</v>
      </c>
      <c r="AU157" s="13">
        <f t="shared" si="243"/>
        <v>0</v>
      </c>
      <c r="AV157" s="13">
        <f t="shared" si="241"/>
        <v>0</v>
      </c>
      <c r="AW157" s="13"/>
      <c r="AX157" s="13"/>
      <c r="AY157" s="13">
        <f t="shared" si="242"/>
        <v>0</v>
      </c>
      <c r="AZ157" s="13">
        <f t="shared" ref="AZ157" si="269">+AO157+AP157</f>
        <v>0</v>
      </c>
      <c r="BA157" s="74"/>
      <c r="BB157" s="25">
        <f t="shared" ref="BB157" si="270">+AK157-AY157</f>
        <v>0</v>
      </c>
      <c r="BC157" s="13">
        <f t="shared" ref="BC157" si="271">SUM(AO157)</f>
        <v>0</v>
      </c>
      <c r="BD157" s="13" t="b">
        <f>AND(AF157,NOT(ISNUMBER(MATCH(G157,Table1[Excluded Spacecraft ID],0))))</f>
        <v>1</v>
      </c>
      <c r="BE157" s="13">
        <f>BD157*AK157*_xlfn.XLOOKUP(I157,Table2[Date From],Table2[Cession],"Error",-1)*_xlfn.XLOOKUP(I157,'S3123 Consortium Share'!$A$3:$A$5,'S3123 Consortium Share'!$F$3:$F$5,,-1)</f>
        <v>0</v>
      </c>
      <c r="BF157" s="13">
        <f t="shared" ref="BF157" si="272">+BB157-BC157</f>
        <v>0</v>
      </c>
      <c r="BG157" s="89" cm="1">
        <f t="array" ref="BG157">IF(V157="FIBL",0,INDEX('IGR QS'!$A$1:$D$570,MATCH('Input Data'!V157&amp;'Input Data'!W157&amp;'Input Data'!AM157,'IGR QS'!A:A&amp;'IGR QS'!B:B&amp;'IGR QS'!C:C,0),4))</f>
        <v>0.5</v>
      </c>
      <c r="BH157" s="13">
        <f t="shared" ref="BH157" si="273">+BF157*BG157</f>
        <v>0</v>
      </c>
      <c r="BI157" s="13">
        <f t="shared" ref="BI157" si="274">+BF157-BH157</f>
        <v>0</v>
      </c>
      <c r="BJ157" s="13">
        <f t="shared" si="215"/>
        <v>0</v>
      </c>
      <c r="BK157" s="13">
        <f t="shared" ref="BK157" si="275">BH157+BJ157</f>
        <v>0</v>
      </c>
      <c r="BL157" s="13">
        <f t="shared" ref="BL157" si="276">+BI157-BJ157</f>
        <v>0</v>
      </c>
      <c r="BM157" s="21"/>
      <c r="BN157" s="13">
        <f t="shared" si="216"/>
        <v>0</v>
      </c>
      <c r="BO157" s="13">
        <f t="shared" si="217"/>
        <v>0</v>
      </c>
      <c r="BP157" s="13">
        <f t="shared" si="218"/>
        <v>0</v>
      </c>
      <c r="BQ157" s="13">
        <f t="shared" si="219"/>
        <v>0</v>
      </c>
      <c r="BR157" s="13">
        <f t="shared" si="220"/>
        <v>0</v>
      </c>
      <c r="BT157" s="13">
        <f t="shared" si="221"/>
        <v>0</v>
      </c>
      <c r="BU157" s="13">
        <f t="shared" si="222"/>
        <v>0</v>
      </c>
      <c r="BV157" s="13">
        <f t="shared" si="223"/>
        <v>0</v>
      </c>
      <c r="BW157" s="13">
        <f t="shared" si="224"/>
        <v>0</v>
      </c>
      <c r="BX157" s="13"/>
      <c r="BY157" s="25">
        <f t="shared" si="225"/>
        <v>0</v>
      </c>
      <c r="BZ157" s="25">
        <f t="shared" si="226"/>
        <v>0</v>
      </c>
      <c r="CA157" s="25">
        <f t="shared" si="227"/>
        <v>0</v>
      </c>
      <c r="CB157" s="25">
        <f t="shared" si="228"/>
        <v>0</v>
      </c>
      <c r="CC157" s="25">
        <f t="shared" si="229"/>
        <v>0</v>
      </c>
      <c r="CD157" s="384">
        <f t="shared" si="230"/>
        <v>0</v>
      </c>
      <c r="CR157" s="25">
        <f t="shared" si="231"/>
        <v>0</v>
      </c>
      <c r="CS157" s="25">
        <f t="shared" si="198"/>
        <v>0</v>
      </c>
      <c r="CT157" s="25">
        <f t="shared" si="198"/>
        <v>0</v>
      </c>
      <c r="CU157" s="25">
        <f t="shared" si="232"/>
        <v>0</v>
      </c>
      <c r="CV157" s="25">
        <f t="shared" si="233"/>
        <v>0</v>
      </c>
      <c r="CW157" s="25">
        <f t="shared" si="234"/>
        <v>0</v>
      </c>
      <c r="CY157" s="25">
        <f t="shared" si="235"/>
        <v>0</v>
      </c>
      <c r="CZ157" s="25">
        <f t="shared" si="236"/>
        <v>0</v>
      </c>
      <c r="DA157" s="25">
        <f t="shared" si="260"/>
        <v>0</v>
      </c>
      <c r="DB157" s="25">
        <f t="shared" si="237"/>
        <v>0</v>
      </c>
      <c r="DC157" s="25">
        <f t="shared" si="238"/>
        <v>0</v>
      </c>
      <c r="DD157" s="25">
        <f t="shared" si="239"/>
        <v>0</v>
      </c>
    </row>
    <row r="158" spans="1:108" x14ac:dyDescent="0.35">
      <c r="A158" s="282" t="str">
        <f t="shared" si="208"/>
        <v>369418_527399</v>
      </c>
      <c r="B158" s="303">
        <v>369418</v>
      </c>
      <c r="C158" s="303">
        <v>527399</v>
      </c>
      <c r="D158" s="319" t="str">
        <f>IFERROR(MATCH(C158,'[4]Custom Earning Pattern Not Popu'!$B$5:$B$428,0),"NA")</f>
        <v>NA</v>
      </c>
      <c r="E158" s="303" t="s">
        <v>228</v>
      </c>
      <c r="F158" s="303">
        <v>12</v>
      </c>
      <c r="G158" s="303">
        <v>12040</v>
      </c>
      <c r="H158" s="306">
        <v>45692</v>
      </c>
      <c r="I158" s="306">
        <v>46058</v>
      </c>
      <c r="J158" s="306">
        <v>46422</v>
      </c>
      <c r="K158" s="303" t="s">
        <v>16</v>
      </c>
      <c r="L158" s="306">
        <v>46058</v>
      </c>
      <c r="M158" s="306">
        <v>46422</v>
      </c>
      <c r="N158" s="303" t="s">
        <v>467</v>
      </c>
      <c r="O158" s="303" t="s">
        <v>467</v>
      </c>
      <c r="P158" s="148">
        <f t="shared" si="209"/>
        <v>0.4</v>
      </c>
      <c r="Q158" s="282">
        <v>1</v>
      </c>
      <c r="R158" s="282">
        <v>0</v>
      </c>
      <c r="S158" s="282" t="str">
        <f t="shared" si="240"/>
        <v>In-Orbit</v>
      </c>
      <c r="T158" s="282" t="s">
        <v>13</v>
      </c>
      <c r="U158" s="303" t="s">
        <v>557</v>
      </c>
      <c r="V158" s="303" t="s">
        <v>29</v>
      </c>
      <c r="W158" s="303" t="s">
        <v>78</v>
      </c>
      <c r="X158" s="303" t="s">
        <v>564</v>
      </c>
      <c r="Y158" s="303" t="s">
        <v>334</v>
      </c>
      <c r="Z158" s="303" t="s">
        <v>338</v>
      </c>
      <c r="AA158" s="308">
        <v>4411800</v>
      </c>
      <c r="AC158" s="289">
        <f t="shared" si="210"/>
        <v>11</v>
      </c>
      <c r="AD158" s="88" cm="1">
        <f t="array" ref="AD158">IF(AC158=0,0,INDEX(Summary!$S$4:$S$7,MATCH(AC158,Summary!$R$4:$R$7)+1))</f>
        <v>0.6</v>
      </c>
      <c r="AE158" s="88">
        <f>IFERROR(INDEX(Summary!$Y$4:$Y$6,MATCH('Input Data'!K158,Summary!$U$4:$U$6,0)),0)</f>
        <v>0.4</v>
      </c>
      <c r="AF158" s="88" t="b">
        <f t="shared" ref="AF158:AF161" si="277">IF(I158&gt;=DATE(2024,7,1),TRUE,FALSE)</f>
        <v>1</v>
      </c>
      <c r="AG158" s="89">
        <f>IF(AF158,INDEX('IG Equity Share'!$B:$B,MATCH(YEAR(I158),'IG Equity Share'!$A:$A,0)),0)</f>
        <v>7.4999999999999997E-2</v>
      </c>
      <c r="AH158" s="383">
        <f>AJ158*AG158*_xlfn.XLOOKUP(I158,'S3123 Consortium Share'!$A$3:$A$5,'S3123 Consortium Share'!$F$3:$F$5,,-1)</f>
        <v>165442.5</v>
      </c>
      <c r="AI158" s="14">
        <v>1</v>
      </c>
      <c r="AJ158" s="13">
        <f t="shared" si="211"/>
        <v>4411800</v>
      </c>
      <c r="AK158" s="13">
        <f t="shared" si="212"/>
        <v>4411800</v>
      </c>
      <c r="AL158" s="13" t="str">
        <f t="shared" si="213"/>
        <v>FUL</v>
      </c>
      <c r="AM158" s="52">
        <f t="shared" si="214"/>
        <v>2026</v>
      </c>
      <c r="AN158" s="4" t="e">
        <f>INDEX('[2]Input Data'!$AH:$AH,MATCH(A158,'[2]Input Data'!$A:$A,0),1)-AH158</f>
        <v>#N/A</v>
      </c>
      <c r="AO158" s="13">
        <f t="shared" si="243"/>
        <v>0</v>
      </c>
      <c r="AP158" s="13">
        <f t="shared" si="243"/>
        <v>0</v>
      </c>
      <c r="AQ158" s="13">
        <f t="shared" si="243"/>
        <v>0</v>
      </c>
      <c r="AR158" s="13">
        <f t="shared" si="243"/>
        <v>0</v>
      </c>
      <c r="AS158" s="13">
        <f t="shared" si="243"/>
        <v>0</v>
      </c>
      <c r="AT158" s="13">
        <f t="shared" si="243"/>
        <v>0</v>
      </c>
      <c r="AU158" s="13">
        <f t="shared" si="243"/>
        <v>0</v>
      </c>
      <c r="AV158" s="13">
        <f t="shared" si="241"/>
        <v>882360</v>
      </c>
      <c r="AW158" s="13"/>
      <c r="AX158" s="13"/>
      <c r="AY158" s="13">
        <f>SUM(AO158:AX158)</f>
        <v>882360</v>
      </c>
      <c r="AZ158" s="13">
        <f t="shared" ref="AZ158:AZ161" si="278">+AO158+AP158</f>
        <v>0</v>
      </c>
      <c r="BA158" s="74"/>
      <c r="BB158" s="25">
        <f t="shared" ref="BB158:BB161" si="279">+AK158-AY158</f>
        <v>3529440</v>
      </c>
      <c r="BC158" s="13">
        <f t="shared" ref="BC158:BC161" si="280">SUM(AO158)</f>
        <v>0</v>
      </c>
      <c r="BD158" s="13" t="b">
        <f>AND(AF158,NOT(ISNUMBER(MATCH(G158,Table1[Excluded Spacecraft ID],0))))</f>
        <v>1</v>
      </c>
      <c r="BE158" s="13">
        <f>BD158*AK158*_xlfn.XLOOKUP(I158,Table2[Date From],Table2[Cession],"Error",-1)*_xlfn.XLOOKUP(I158,'S3123 Consortium Share'!$A$3:$A$5,'S3123 Consortium Share'!$F$3:$F$5,,-1)</f>
        <v>441180</v>
      </c>
      <c r="BF158" s="13">
        <f t="shared" ref="BF158:BF161" si="281">+BB158-BC158</f>
        <v>3529440</v>
      </c>
      <c r="BG158" s="89" cm="1">
        <f t="array" ref="BG158">IF(V158="FIBL",0,INDEX('IGR QS'!$A$1:$D$570,MATCH('Input Data'!V158&amp;'Input Data'!W158&amp;'Input Data'!AM158,'IGR QS'!A:A&amp;'IGR QS'!B:B&amp;'IGR QS'!C:C,0),4))</f>
        <v>0.5</v>
      </c>
      <c r="BH158" s="13">
        <f t="shared" ref="BH158:BH160" si="282">+BF158*BG158</f>
        <v>1764720</v>
      </c>
      <c r="BI158" s="13">
        <f t="shared" ref="BI158:BI161" si="283">+BF158-BH158</f>
        <v>1764720</v>
      </c>
      <c r="BJ158" s="13">
        <f t="shared" si="215"/>
        <v>0</v>
      </c>
      <c r="BK158" s="13">
        <f t="shared" ref="BK158:BK161" si="284">BH158+BJ158</f>
        <v>1764720</v>
      </c>
      <c r="BL158" s="13">
        <f t="shared" ref="BL158:BL161" si="285">+BI158-BJ158</f>
        <v>1764720</v>
      </c>
      <c r="BM158" s="21"/>
      <c r="BN158" s="13">
        <f t="shared" si="216"/>
        <v>34042623.318762854</v>
      </c>
      <c r="BO158" s="13">
        <f t="shared" si="217"/>
        <v>34042623.318762854</v>
      </c>
      <c r="BP158" s="13">
        <f t="shared" si="218"/>
        <v>0</v>
      </c>
      <c r="BQ158" s="13">
        <f t="shared" si="219"/>
        <v>34042623.318762854</v>
      </c>
      <c r="BR158" s="13">
        <f t="shared" si="220"/>
        <v>17021311.659381427</v>
      </c>
      <c r="BT158" s="13">
        <f t="shared" si="221"/>
        <v>3529440</v>
      </c>
      <c r="BU158" s="13">
        <f t="shared" si="222"/>
        <v>1764720</v>
      </c>
      <c r="BV158" s="13">
        <f t="shared" si="223"/>
        <v>1764720</v>
      </c>
      <c r="BW158" s="13">
        <f t="shared" si="224"/>
        <v>882360</v>
      </c>
      <c r="BX158" s="13"/>
      <c r="BY158" s="25">
        <f t="shared" si="225"/>
        <v>0</v>
      </c>
      <c r="BZ158" s="25">
        <f t="shared" si="226"/>
        <v>0</v>
      </c>
      <c r="CA158" s="25">
        <f t="shared" si="227"/>
        <v>0</v>
      </c>
      <c r="CB158" s="25">
        <f t="shared" si="228"/>
        <v>0</v>
      </c>
      <c r="CC158" s="25">
        <f t="shared" si="229"/>
        <v>0</v>
      </c>
      <c r="CD158" s="384">
        <f t="shared" si="230"/>
        <v>0</v>
      </c>
      <c r="CR158" s="25">
        <f t="shared" si="231"/>
        <v>0</v>
      </c>
      <c r="CS158" s="25">
        <f t="shared" si="198"/>
        <v>0</v>
      </c>
      <c r="CT158" s="25">
        <f t="shared" si="198"/>
        <v>0</v>
      </c>
      <c r="CU158" s="25">
        <f t="shared" si="232"/>
        <v>0</v>
      </c>
      <c r="CV158" s="25">
        <f t="shared" si="233"/>
        <v>0</v>
      </c>
      <c r="CW158" s="25">
        <f t="shared" si="234"/>
        <v>0</v>
      </c>
      <c r="CY158" s="25">
        <f t="shared" si="235"/>
        <v>0</v>
      </c>
      <c r="CZ158" s="25">
        <f t="shared" si="236"/>
        <v>0</v>
      </c>
      <c r="DA158" s="25">
        <f t="shared" si="260"/>
        <v>0</v>
      </c>
      <c r="DB158" s="25">
        <f t="shared" si="237"/>
        <v>0</v>
      </c>
      <c r="DC158" s="25">
        <f t="shared" si="238"/>
        <v>0</v>
      </c>
      <c r="DD158" s="25">
        <f t="shared" si="239"/>
        <v>0</v>
      </c>
    </row>
    <row r="159" spans="1:108" x14ac:dyDescent="0.35">
      <c r="A159" s="282" t="str">
        <f t="shared" si="208"/>
        <v>369418_527400</v>
      </c>
      <c r="B159" s="303">
        <v>369418</v>
      </c>
      <c r="C159" s="303">
        <v>527400</v>
      </c>
      <c r="D159" s="319" t="str">
        <f>IFERROR(MATCH(C159,'[4]Custom Earning Pattern Not Popu'!$B$5:$B$428,0),"NA")</f>
        <v>NA</v>
      </c>
      <c r="E159" s="303" t="s">
        <v>228</v>
      </c>
      <c r="F159" s="303">
        <v>12</v>
      </c>
      <c r="G159" s="303">
        <v>12489</v>
      </c>
      <c r="H159" s="306">
        <v>45692</v>
      </c>
      <c r="I159" s="306">
        <v>46058</v>
      </c>
      <c r="J159" s="306">
        <v>46422</v>
      </c>
      <c r="K159" s="303" t="s">
        <v>16</v>
      </c>
      <c r="L159" s="306">
        <v>46058</v>
      </c>
      <c r="M159" s="306">
        <v>46422</v>
      </c>
      <c r="N159" s="303" t="s">
        <v>467</v>
      </c>
      <c r="O159" s="303" t="s">
        <v>467</v>
      </c>
      <c r="P159" s="148">
        <f t="shared" si="209"/>
        <v>0.4</v>
      </c>
      <c r="Q159" s="282">
        <v>1</v>
      </c>
      <c r="R159" s="282">
        <v>0</v>
      </c>
      <c r="S159" s="282" t="str">
        <f t="shared" si="240"/>
        <v>In-Orbit</v>
      </c>
      <c r="T159" s="282" t="s">
        <v>13</v>
      </c>
      <c r="U159" s="303" t="s">
        <v>557</v>
      </c>
      <c r="V159" s="303" t="s">
        <v>29</v>
      </c>
      <c r="W159" s="303" t="s">
        <v>78</v>
      </c>
      <c r="X159" s="303" t="s">
        <v>565</v>
      </c>
      <c r="Y159" s="303" t="s">
        <v>334</v>
      </c>
      <c r="Z159" s="303" t="s">
        <v>338</v>
      </c>
      <c r="AA159" s="308">
        <v>4411800</v>
      </c>
      <c r="AC159" s="289">
        <f t="shared" si="210"/>
        <v>11</v>
      </c>
      <c r="AD159" s="88" cm="1">
        <f t="array" ref="AD159">IF(AC159=0,0,INDEX(Summary!$S$4:$S$7,MATCH(AC159,Summary!$R$4:$R$7)+1))</f>
        <v>0.6</v>
      </c>
      <c r="AE159" s="88">
        <f>IFERROR(INDEX(Summary!$Y$4:$Y$6,MATCH('Input Data'!K159,Summary!$U$4:$U$6,0)),0)</f>
        <v>0.4</v>
      </c>
      <c r="AF159" s="88" t="b">
        <f t="shared" si="277"/>
        <v>1</v>
      </c>
      <c r="AG159" s="89">
        <f>IF(AF159,INDEX('IG Equity Share'!$B:$B,MATCH(YEAR(I159),'IG Equity Share'!$A:$A,0)),0)</f>
        <v>7.4999999999999997E-2</v>
      </c>
      <c r="AH159" s="383">
        <f>AJ159*AG159*_xlfn.XLOOKUP(I159,'S3123 Consortium Share'!$A$3:$A$5,'S3123 Consortium Share'!$F$3:$F$5,,-1)</f>
        <v>165442.5</v>
      </c>
      <c r="AI159" s="14">
        <v>1</v>
      </c>
      <c r="AJ159" s="13">
        <f t="shared" si="211"/>
        <v>4411800</v>
      </c>
      <c r="AK159" s="13">
        <f t="shared" si="212"/>
        <v>4411800</v>
      </c>
      <c r="AL159" s="13" t="str">
        <f t="shared" si="213"/>
        <v>FUL</v>
      </c>
      <c r="AM159" s="52">
        <f t="shared" si="214"/>
        <v>2026</v>
      </c>
      <c r="AN159" s="4" t="e">
        <f>INDEX('[2]Input Data'!$AH:$AH,MATCH(A159,'[2]Input Data'!$A:$A,0),1)-AH159</f>
        <v>#N/A</v>
      </c>
      <c r="AO159" s="13">
        <f t="shared" si="243"/>
        <v>0</v>
      </c>
      <c r="AP159" s="13">
        <f t="shared" si="243"/>
        <v>0</v>
      </c>
      <c r="AQ159" s="13">
        <f t="shared" si="243"/>
        <v>0</v>
      </c>
      <c r="AR159" s="13">
        <f t="shared" si="243"/>
        <v>0</v>
      </c>
      <c r="AS159" s="13">
        <f t="shared" si="243"/>
        <v>0</v>
      </c>
      <c r="AT159" s="13">
        <f t="shared" si="243"/>
        <v>0</v>
      </c>
      <c r="AU159" s="13">
        <f t="shared" si="243"/>
        <v>0</v>
      </c>
      <c r="AV159" s="13">
        <f t="shared" si="241"/>
        <v>882360</v>
      </c>
      <c r="AW159" s="13"/>
      <c r="AX159" s="13"/>
      <c r="AY159" s="13">
        <f t="shared" si="242"/>
        <v>882360</v>
      </c>
      <c r="AZ159" s="13">
        <f t="shared" si="278"/>
        <v>0</v>
      </c>
      <c r="BA159" s="74"/>
      <c r="BB159" s="25">
        <f t="shared" si="279"/>
        <v>3529440</v>
      </c>
      <c r="BC159" s="13">
        <f t="shared" si="280"/>
        <v>0</v>
      </c>
      <c r="BD159" s="13" t="b">
        <f>AND(AF159,NOT(ISNUMBER(MATCH(G159,Table1[Excluded Spacecraft ID],0))))</f>
        <v>1</v>
      </c>
      <c r="BE159" s="13">
        <f>BD159*AK159*_xlfn.XLOOKUP(I159,Table2[Date From],Table2[Cession],"Error",-1)*_xlfn.XLOOKUP(I159,'S3123 Consortium Share'!$A$3:$A$5,'S3123 Consortium Share'!$F$3:$F$5,,-1)</f>
        <v>441180</v>
      </c>
      <c r="BF159" s="13">
        <f t="shared" si="281"/>
        <v>3529440</v>
      </c>
      <c r="BG159" s="89" cm="1">
        <f t="array" ref="BG159">IF(V159="FIBL",0,INDEX('IGR QS'!$A$1:$D$570,MATCH('Input Data'!V159&amp;'Input Data'!W159&amp;'Input Data'!AM159,'IGR QS'!A:A&amp;'IGR QS'!B:B&amp;'IGR QS'!C:C,0),4))</f>
        <v>0.5</v>
      </c>
      <c r="BH159" s="13">
        <f t="shared" si="282"/>
        <v>1764720</v>
      </c>
      <c r="BI159" s="13">
        <f t="shared" si="283"/>
        <v>1764720</v>
      </c>
      <c r="BJ159" s="13">
        <f t="shared" si="215"/>
        <v>0</v>
      </c>
      <c r="BK159" s="13">
        <f t="shared" si="284"/>
        <v>1764720</v>
      </c>
      <c r="BL159" s="13">
        <f t="shared" si="285"/>
        <v>1764720</v>
      </c>
      <c r="BM159" s="21"/>
      <c r="BN159" s="13">
        <f t="shared" si="216"/>
        <v>34042623.318762854</v>
      </c>
      <c r="BO159" s="13">
        <f t="shared" si="217"/>
        <v>34042623.318762854</v>
      </c>
      <c r="BP159" s="13">
        <f t="shared" si="218"/>
        <v>0</v>
      </c>
      <c r="BQ159" s="13">
        <f t="shared" si="219"/>
        <v>34042623.318762854</v>
      </c>
      <c r="BR159" s="13">
        <f t="shared" si="220"/>
        <v>17021311.659381427</v>
      </c>
      <c r="BT159" s="13">
        <f t="shared" si="221"/>
        <v>3529440</v>
      </c>
      <c r="BU159" s="13">
        <f t="shared" si="222"/>
        <v>1764720</v>
      </c>
      <c r="BV159" s="13">
        <f t="shared" si="223"/>
        <v>1764720</v>
      </c>
      <c r="BW159" s="13">
        <f t="shared" si="224"/>
        <v>882360</v>
      </c>
      <c r="BX159" s="13"/>
      <c r="BY159" s="25">
        <f t="shared" si="225"/>
        <v>0</v>
      </c>
      <c r="BZ159" s="25">
        <f t="shared" si="226"/>
        <v>0</v>
      </c>
      <c r="CA159" s="25">
        <f t="shared" si="227"/>
        <v>0</v>
      </c>
      <c r="CB159" s="25">
        <f t="shared" si="228"/>
        <v>0</v>
      </c>
      <c r="CC159" s="25">
        <f t="shared" si="229"/>
        <v>0</v>
      </c>
      <c r="CD159" s="384">
        <f t="shared" si="230"/>
        <v>0</v>
      </c>
      <c r="CR159" s="25">
        <f t="shared" si="231"/>
        <v>0</v>
      </c>
      <c r="CS159" s="25">
        <f t="shared" si="198"/>
        <v>0</v>
      </c>
      <c r="CT159" s="25">
        <f t="shared" si="198"/>
        <v>0</v>
      </c>
      <c r="CU159" s="25">
        <f t="shared" si="232"/>
        <v>0</v>
      </c>
      <c r="CV159" s="25">
        <f t="shared" si="233"/>
        <v>0</v>
      </c>
      <c r="CW159" s="25">
        <f t="shared" si="234"/>
        <v>0</v>
      </c>
      <c r="CY159" s="25">
        <f t="shared" si="235"/>
        <v>0</v>
      </c>
      <c r="CZ159" s="25">
        <f t="shared" si="236"/>
        <v>0</v>
      </c>
      <c r="DA159" s="25">
        <f t="shared" si="260"/>
        <v>0</v>
      </c>
      <c r="DB159" s="25">
        <f t="shared" si="237"/>
        <v>0</v>
      </c>
      <c r="DC159" s="25">
        <f t="shared" si="238"/>
        <v>0</v>
      </c>
      <c r="DD159" s="25">
        <f t="shared" si="239"/>
        <v>0</v>
      </c>
    </row>
    <row r="160" spans="1:108" x14ac:dyDescent="0.35">
      <c r="A160" s="282" t="str">
        <f t="shared" si="208"/>
        <v>369418_527401</v>
      </c>
      <c r="B160" s="303">
        <v>369418</v>
      </c>
      <c r="C160" s="303">
        <v>527401</v>
      </c>
      <c r="D160" s="319" t="str">
        <f>IFERROR(MATCH(C160,'[4]Custom Earning Pattern Not Popu'!$B$5:$B$428,0),"NA")</f>
        <v>NA</v>
      </c>
      <c r="E160" s="303" t="s">
        <v>228</v>
      </c>
      <c r="F160" s="303">
        <v>12</v>
      </c>
      <c r="G160" s="303">
        <v>12488</v>
      </c>
      <c r="H160" s="306">
        <v>45519</v>
      </c>
      <c r="I160" s="306">
        <v>46058</v>
      </c>
      <c r="J160" s="306">
        <v>46422</v>
      </c>
      <c r="K160" s="303" t="s">
        <v>16</v>
      </c>
      <c r="L160" s="306">
        <v>46058</v>
      </c>
      <c r="M160" s="306">
        <v>46422</v>
      </c>
      <c r="N160" s="303" t="s">
        <v>467</v>
      </c>
      <c r="O160" s="303" t="s">
        <v>467</v>
      </c>
      <c r="P160" s="148">
        <f t="shared" si="209"/>
        <v>0.4</v>
      </c>
      <c r="Q160" s="282">
        <v>1</v>
      </c>
      <c r="R160" s="282">
        <v>0</v>
      </c>
      <c r="S160" s="282" t="str">
        <f t="shared" si="240"/>
        <v>In-Orbit</v>
      </c>
      <c r="T160" s="282" t="s">
        <v>13</v>
      </c>
      <c r="U160" s="303" t="s">
        <v>557</v>
      </c>
      <c r="V160" s="303" t="s">
        <v>29</v>
      </c>
      <c r="W160" s="303" t="s">
        <v>78</v>
      </c>
      <c r="X160" s="303" t="s">
        <v>304</v>
      </c>
      <c r="Y160" s="303" t="s">
        <v>334</v>
      </c>
      <c r="Z160" s="303" t="s">
        <v>338</v>
      </c>
      <c r="AA160" s="308">
        <v>4411800</v>
      </c>
      <c r="AC160" s="289">
        <f t="shared" si="210"/>
        <v>11</v>
      </c>
      <c r="AD160" s="88" cm="1">
        <f t="array" ref="AD160">IF(AC160=0,0,INDEX(Summary!$S$4:$S$7,MATCH(AC160,Summary!$R$4:$R$7)+1))</f>
        <v>0.6</v>
      </c>
      <c r="AE160" s="88">
        <f>IFERROR(INDEX(Summary!$Y$4:$Y$6,MATCH('Input Data'!K160,Summary!$U$4:$U$6,0)),0)</f>
        <v>0.4</v>
      </c>
      <c r="AF160" s="88" t="b">
        <f t="shared" si="277"/>
        <v>1</v>
      </c>
      <c r="AG160" s="89">
        <f>IF(AF160,INDEX('IG Equity Share'!$B:$B,MATCH(YEAR(I160),'IG Equity Share'!$A:$A,0)),0)</f>
        <v>7.4999999999999997E-2</v>
      </c>
      <c r="AH160" s="383">
        <f>AJ160*AG160*_xlfn.XLOOKUP(I160,'S3123 Consortium Share'!$A$3:$A$5,'S3123 Consortium Share'!$F$3:$F$5,,-1)</f>
        <v>165442.5</v>
      </c>
      <c r="AI160" s="14">
        <v>1</v>
      </c>
      <c r="AJ160" s="13">
        <f t="shared" si="211"/>
        <v>4411800</v>
      </c>
      <c r="AK160" s="13">
        <f t="shared" si="212"/>
        <v>4411800</v>
      </c>
      <c r="AL160" s="13" t="str">
        <f t="shared" si="213"/>
        <v>FUL</v>
      </c>
      <c r="AM160" s="52">
        <f t="shared" si="214"/>
        <v>2026</v>
      </c>
      <c r="AN160" s="4" t="e">
        <f>INDEX('[2]Input Data'!$AH:$AH,MATCH(A160,'[2]Input Data'!$A:$A,0),1)-AH160</f>
        <v>#N/A</v>
      </c>
      <c r="AO160" s="13">
        <f t="shared" ref="AO160:AU169" si="286">+IF(AND($I160&lt;=AO$8,$I160&gt;=AO$7),$AK160*AO$11,0)</f>
        <v>0</v>
      </c>
      <c r="AP160" s="13">
        <f t="shared" si="286"/>
        <v>0</v>
      </c>
      <c r="AQ160" s="13">
        <f t="shared" si="286"/>
        <v>0</v>
      </c>
      <c r="AR160" s="13">
        <f t="shared" si="286"/>
        <v>0</v>
      </c>
      <c r="AS160" s="13">
        <f t="shared" si="286"/>
        <v>0</v>
      </c>
      <c r="AT160" s="13">
        <f t="shared" si="286"/>
        <v>0</v>
      </c>
      <c r="AU160" s="13">
        <f t="shared" si="286"/>
        <v>0</v>
      </c>
      <c r="AV160" s="13">
        <f t="shared" si="241"/>
        <v>882360</v>
      </c>
      <c r="AW160" s="13"/>
      <c r="AX160" s="13"/>
      <c r="AY160" s="13">
        <f t="shared" si="242"/>
        <v>882360</v>
      </c>
      <c r="AZ160" s="13">
        <f t="shared" si="278"/>
        <v>0</v>
      </c>
      <c r="BA160" s="74"/>
      <c r="BB160" s="25">
        <f t="shared" si="279"/>
        <v>3529440</v>
      </c>
      <c r="BC160" s="13">
        <f t="shared" si="280"/>
        <v>0</v>
      </c>
      <c r="BD160" s="13" t="b">
        <f>AND(AF160,NOT(ISNUMBER(MATCH(G160,Table1[Excluded Spacecraft ID],0))))</f>
        <v>1</v>
      </c>
      <c r="BE160" s="13">
        <f>BD160*AK160*_xlfn.XLOOKUP(I160,Table2[Date From],Table2[Cession],"Error",-1)*_xlfn.XLOOKUP(I160,'S3123 Consortium Share'!$A$3:$A$5,'S3123 Consortium Share'!$F$3:$F$5,,-1)</f>
        <v>441180</v>
      </c>
      <c r="BF160" s="13">
        <f t="shared" si="281"/>
        <v>3529440</v>
      </c>
      <c r="BG160" s="89" cm="1">
        <f t="array" ref="BG160">IF(V160="FIBL",0,INDEX('IGR QS'!$A$1:$D$570,MATCH('Input Data'!V160&amp;'Input Data'!W160&amp;'Input Data'!AM160,'IGR QS'!A:A&amp;'IGR QS'!B:B&amp;'IGR QS'!C:C,0),4))</f>
        <v>0.5</v>
      </c>
      <c r="BH160" s="13">
        <f t="shared" si="282"/>
        <v>1764720</v>
      </c>
      <c r="BI160" s="13">
        <f t="shared" si="283"/>
        <v>1764720</v>
      </c>
      <c r="BJ160" s="13">
        <f t="shared" si="215"/>
        <v>0</v>
      </c>
      <c r="BK160" s="13">
        <f t="shared" si="284"/>
        <v>1764720</v>
      </c>
      <c r="BL160" s="13">
        <f t="shared" si="285"/>
        <v>1764720</v>
      </c>
      <c r="BM160" s="21"/>
      <c r="BN160" s="13">
        <f t="shared" si="216"/>
        <v>34042623.318762854</v>
      </c>
      <c r="BO160" s="13">
        <f t="shared" si="217"/>
        <v>34042623.318762854</v>
      </c>
      <c r="BP160" s="13">
        <f t="shared" si="218"/>
        <v>0</v>
      </c>
      <c r="BQ160" s="13">
        <f t="shared" si="219"/>
        <v>34042623.318762854</v>
      </c>
      <c r="BR160" s="13">
        <f t="shared" si="220"/>
        <v>17021311.659381427</v>
      </c>
      <c r="BT160" s="13">
        <f t="shared" si="221"/>
        <v>3529440</v>
      </c>
      <c r="BU160" s="13">
        <f t="shared" si="222"/>
        <v>1764720</v>
      </c>
      <c r="BV160" s="13">
        <f t="shared" si="223"/>
        <v>1764720</v>
      </c>
      <c r="BW160" s="13">
        <f t="shared" si="224"/>
        <v>882360</v>
      </c>
      <c r="BX160" s="13"/>
      <c r="BY160" s="25">
        <f t="shared" si="225"/>
        <v>0</v>
      </c>
      <c r="BZ160" s="25">
        <f t="shared" si="226"/>
        <v>0</v>
      </c>
      <c r="CA160" s="25">
        <f t="shared" si="227"/>
        <v>0</v>
      </c>
      <c r="CB160" s="25">
        <f t="shared" si="228"/>
        <v>0</v>
      </c>
      <c r="CC160" s="25">
        <f t="shared" si="229"/>
        <v>0</v>
      </c>
      <c r="CD160" s="384">
        <f t="shared" si="230"/>
        <v>0</v>
      </c>
      <c r="CR160" s="25">
        <f t="shared" si="231"/>
        <v>0</v>
      </c>
      <c r="CS160" s="25">
        <f t="shared" ref="CS160:CT179" si="287">IF(AND(OR($K160="GEO-GSO",$K160="MEO"),$AL160=CS$19),$AK160*Generic_Defect_Loss,0)*$Q160*$P160</f>
        <v>0</v>
      </c>
      <c r="CT160" s="25">
        <f t="shared" si="287"/>
        <v>0</v>
      </c>
      <c r="CU160" s="25">
        <f t="shared" si="232"/>
        <v>0</v>
      </c>
      <c r="CV160" s="25">
        <f t="shared" si="233"/>
        <v>0</v>
      </c>
      <c r="CW160" s="25">
        <f t="shared" si="234"/>
        <v>0</v>
      </c>
      <c r="CY160" s="25">
        <f t="shared" si="235"/>
        <v>0</v>
      </c>
      <c r="CZ160" s="25">
        <f t="shared" si="236"/>
        <v>0</v>
      </c>
      <c r="DA160" s="25">
        <f t="shared" si="260"/>
        <v>0</v>
      </c>
      <c r="DB160" s="25">
        <f t="shared" si="237"/>
        <v>0</v>
      </c>
      <c r="DC160" s="25">
        <f t="shared" si="238"/>
        <v>0</v>
      </c>
      <c r="DD160" s="25">
        <f t="shared" si="239"/>
        <v>0</v>
      </c>
    </row>
    <row r="161" spans="1:108" x14ac:dyDescent="0.35">
      <c r="A161" s="282" t="str">
        <f t="shared" si="208"/>
        <v>369418_527402</v>
      </c>
      <c r="B161" s="303">
        <v>369418</v>
      </c>
      <c r="C161" s="303">
        <v>527402</v>
      </c>
      <c r="D161" s="319" t="str">
        <f>IFERROR(MATCH(C161,'[4]Custom Earning Pattern Not Popu'!$B$5:$B$428,0),"NA")</f>
        <v>NA</v>
      </c>
      <c r="E161" s="303" t="s">
        <v>228</v>
      </c>
      <c r="F161" s="303">
        <v>12</v>
      </c>
      <c r="G161" s="303">
        <v>12487</v>
      </c>
      <c r="H161" s="306">
        <v>45519</v>
      </c>
      <c r="I161" s="306">
        <v>46058</v>
      </c>
      <c r="J161" s="306">
        <v>46422</v>
      </c>
      <c r="K161" s="303" t="s">
        <v>16</v>
      </c>
      <c r="L161" s="306">
        <v>46058</v>
      </c>
      <c r="M161" s="306">
        <v>46422</v>
      </c>
      <c r="N161" s="303" t="s">
        <v>467</v>
      </c>
      <c r="O161" s="303" t="s">
        <v>467</v>
      </c>
      <c r="P161" s="148">
        <f t="shared" si="209"/>
        <v>0.4</v>
      </c>
      <c r="Q161" s="282">
        <v>1</v>
      </c>
      <c r="R161" s="282">
        <v>0</v>
      </c>
      <c r="S161" s="282" t="str">
        <f t="shared" si="240"/>
        <v>In-Orbit</v>
      </c>
      <c r="T161" s="282" t="s">
        <v>13</v>
      </c>
      <c r="U161" s="303" t="s">
        <v>557</v>
      </c>
      <c r="V161" s="303" t="s">
        <v>29</v>
      </c>
      <c r="W161" s="303" t="s">
        <v>78</v>
      </c>
      <c r="X161" s="303" t="s">
        <v>303</v>
      </c>
      <c r="Y161" s="303" t="s">
        <v>334</v>
      </c>
      <c r="Z161" s="303" t="s">
        <v>338</v>
      </c>
      <c r="AA161" s="308">
        <v>4411800</v>
      </c>
      <c r="AC161" s="289">
        <f t="shared" si="210"/>
        <v>11</v>
      </c>
      <c r="AD161" s="88" cm="1">
        <f t="array" ref="AD161">IF(AC161=0,0,INDEX(Summary!$S$4:$S$7,MATCH(AC161,Summary!$R$4:$R$7)+1))</f>
        <v>0.6</v>
      </c>
      <c r="AE161" s="88">
        <f>IFERROR(INDEX(Summary!$Y$4:$Y$6,MATCH('Input Data'!K161,Summary!$U$4:$U$6,0)),0)</f>
        <v>0.4</v>
      </c>
      <c r="AF161" s="88" t="b">
        <f t="shared" si="277"/>
        <v>1</v>
      </c>
      <c r="AG161" s="89">
        <f>IF(AF161,INDEX('IG Equity Share'!$B:$B,MATCH(YEAR(I161),'IG Equity Share'!$A:$A,0)),0)</f>
        <v>7.4999999999999997E-2</v>
      </c>
      <c r="AH161" s="383">
        <f>AJ161*AG161*_xlfn.XLOOKUP(I161,'S3123 Consortium Share'!$A$3:$A$5,'S3123 Consortium Share'!$F$3:$F$5,,-1)</f>
        <v>165442.5</v>
      </c>
      <c r="AI161" s="14">
        <v>1</v>
      </c>
      <c r="AJ161" s="13">
        <f t="shared" si="211"/>
        <v>4411800</v>
      </c>
      <c r="AK161" s="13">
        <f t="shared" si="212"/>
        <v>4411800</v>
      </c>
      <c r="AL161" s="13" t="str">
        <f t="shared" si="213"/>
        <v>FUL</v>
      </c>
      <c r="AM161" s="52">
        <f t="shared" si="214"/>
        <v>2026</v>
      </c>
      <c r="AN161" s="4" t="e">
        <f>INDEX('[2]Input Data'!$AH:$AH,MATCH(A161,'[2]Input Data'!$A:$A,0),1)-AH161</f>
        <v>#N/A</v>
      </c>
      <c r="AO161" s="13">
        <f t="shared" si="286"/>
        <v>0</v>
      </c>
      <c r="AP161" s="13">
        <f t="shared" si="286"/>
        <v>0</v>
      </c>
      <c r="AQ161" s="13">
        <f t="shared" si="286"/>
        <v>0</v>
      </c>
      <c r="AR161" s="13">
        <f t="shared" si="286"/>
        <v>0</v>
      </c>
      <c r="AS161" s="13">
        <f t="shared" si="286"/>
        <v>0</v>
      </c>
      <c r="AT161" s="13">
        <f t="shared" si="286"/>
        <v>0</v>
      </c>
      <c r="AU161" s="13">
        <f t="shared" si="286"/>
        <v>0</v>
      </c>
      <c r="AV161" s="13">
        <f t="shared" si="241"/>
        <v>882360</v>
      </c>
      <c r="AW161" s="13"/>
      <c r="AX161" s="13"/>
      <c r="AY161" s="13">
        <f t="shared" si="242"/>
        <v>882360</v>
      </c>
      <c r="AZ161" s="13">
        <f t="shared" si="278"/>
        <v>0</v>
      </c>
      <c r="BA161" s="74"/>
      <c r="BB161" s="25">
        <f t="shared" si="279"/>
        <v>3529440</v>
      </c>
      <c r="BC161" s="13">
        <f t="shared" si="280"/>
        <v>0</v>
      </c>
      <c r="BD161" s="13" t="b">
        <f>AND(AF161,NOT(ISNUMBER(MATCH(G161,Table1[Excluded Spacecraft ID],0))))</f>
        <v>1</v>
      </c>
      <c r="BE161" s="13">
        <f>BD161*AK161*_xlfn.XLOOKUP(I161,Table2[Date From],Table2[Cession],"Error",-1)*_xlfn.XLOOKUP(I161,'S3123 Consortium Share'!$A$3:$A$5,'S3123 Consortium Share'!$F$3:$F$5,,-1)</f>
        <v>441180</v>
      </c>
      <c r="BF161" s="13">
        <f t="shared" si="281"/>
        <v>3529440</v>
      </c>
      <c r="BG161" s="89" cm="1">
        <f t="array" ref="BG161">IF(V161="FIBL",0,INDEX('IGR QS'!$A$1:$D$570,MATCH('Input Data'!V161&amp;'Input Data'!W161&amp;'Input Data'!AM161,'IGR QS'!A:A&amp;'IGR QS'!B:B&amp;'IGR QS'!C:C,0),4))</f>
        <v>0.5</v>
      </c>
      <c r="BH161" s="13">
        <f>+BF161*BG161</f>
        <v>1764720</v>
      </c>
      <c r="BI161" s="13">
        <f t="shared" si="283"/>
        <v>1764720</v>
      </c>
      <c r="BJ161" s="13">
        <f t="shared" si="215"/>
        <v>0</v>
      </c>
      <c r="BK161" s="13">
        <f t="shared" si="284"/>
        <v>1764720</v>
      </c>
      <c r="BL161" s="13">
        <f t="shared" si="285"/>
        <v>1764720</v>
      </c>
      <c r="BM161" s="21"/>
      <c r="BN161" s="13">
        <f t="shared" si="216"/>
        <v>34042623.318762854</v>
      </c>
      <c r="BO161" s="13">
        <f t="shared" si="217"/>
        <v>34042623.318762854</v>
      </c>
      <c r="BP161" s="13">
        <f t="shared" si="218"/>
        <v>0</v>
      </c>
      <c r="BQ161" s="13">
        <f t="shared" si="219"/>
        <v>34042623.318762854</v>
      </c>
      <c r="BR161" s="13">
        <f t="shared" si="220"/>
        <v>17021311.659381427</v>
      </c>
      <c r="BT161" s="13">
        <f t="shared" si="221"/>
        <v>3529440</v>
      </c>
      <c r="BU161" s="13">
        <f t="shared" si="222"/>
        <v>1764720</v>
      </c>
      <c r="BV161" s="13">
        <f t="shared" si="223"/>
        <v>1764720</v>
      </c>
      <c r="BW161" s="13">
        <f t="shared" si="224"/>
        <v>882360</v>
      </c>
      <c r="BX161" s="13"/>
      <c r="BY161" s="25">
        <f t="shared" si="225"/>
        <v>0</v>
      </c>
      <c r="BZ161" s="25">
        <f t="shared" si="226"/>
        <v>0</v>
      </c>
      <c r="CA161" s="25">
        <f t="shared" si="227"/>
        <v>0</v>
      </c>
      <c r="CB161" s="25">
        <f t="shared" si="228"/>
        <v>0</v>
      </c>
      <c r="CC161" s="25">
        <f t="shared" si="229"/>
        <v>0</v>
      </c>
      <c r="CD161" s="384">
        <f t="shared" si="230"/>
        <v>0</v>
      </c>
      <c r="CR161" s="25">
        <f t="shared" si="231"/>
        <v>0</v>
      </c>
      <c r="CS161" s="25">
        <f t="shared" si="287"/>
        <v>0</v>
      </c>
      <c r="CT161" s="25">
        <f t="shared" si="287"/>
        <v>0</v>
      </c>
      <c r="CU161" s="25">
        <f t="shared" si="232"/>
        <v>0</v>
      </c>
      <c r="CV161" s="25">
        <f t="shared" si="233"/>
        <v>0</v>
      </c>
      <c r="CW161" s="25">
        <f t="shared" si="234"/>
        <v>0</v>
      </c>
      <c r="CY161" s="25">
        <f t="shared" si="235"/>
        <v>0</v>
      </c>
      <c r="CZ161" s="25">
        <f t="shared" si="236"/>
        <v>0</v>
      </c>
      <c r="DA161" s="25">
        <f t="shared" si="260"/>
        <v>0</v>
      </c>
      <c r="DB161" s="25">
        <f t="shared" si="237"/>
        <v>0</v>
      </c>
      <c r="DC161" s="25">
        <f t="shared" si="238"/>
        <v>0</v>
      </c>
      <c r="DD161" s="25">
        <f t="shared" si="239"/>
        <v>0</v>
      </c>
    </row>
    <row r="162" spans="1:108" x14ac:dyDescent="0.35">
      <c r="A162" s="282" t="str">
        <f t="shared" si="208"/>
        <v>369418_527403</v>
      </c>
      <c r="B162" s="303">
        <v>369418</v>
      </c>
      <c r="C162" s="303">
        <v>527403</v>
      </c>
      <c r="D162" s="319" t="str">
        <f>IFERROR(MATCH(C162,'[4]Custom Earning Pattern Not Popu'!$B$5:$B$428,0),"NA")</f>
        <v>NA</v>
      </c>
      <c r="E162" s="303" t="s">
        <v>228</v>
      </c>
      <c r="F162" s="303">
        <v>12</v>
      </c>
      <c r="G162" s="303">
        <v>12486</v>
      </c>
      <c r="H162" s="306">
        <v>45414</v>
      </c>
      <c r="I162" s="306">
        <v>46058</v>
      </c>
      <c r="J162" s="306">
        <v>46422</v>
      </c>
      <c r="K162" s="303" t="s">
        <v>16</v>
      </c>
      <c r="L162" s="306">
        <v>46058</v>
      </c>
      <c r="M162" s="306">
        <v>46422</v>
      </c>
      <c r="N162" s="303" t="s">
        <v>467</v>
      </c>
      <c r="O162" s="303" t="s">
        <v>467</v>
      </c>
      <c r="P162" s="148">
        <f t="shared" ref="P162:P180" si="288">IFERROR(INDEX($P$10:$P$14,MATCH(DATEDIF($AC$15,M162,"M"),$O$10:$O$14,1)),0)</f>
        <v>0.4</v>
      </c>
      <c r="Q162" s="282">
        <v>1</v>
      </c>
      <c r="R162" s="282">
        <v>0</v>
      </c>
      <c r="S162" s="282" t="str">
        <f t="shared" ref="S162:S180" si="289">E162</f>
        <v>In-Orbit</v>
      </c>
      <c r="T162" s="282" t="s">
        <v>13</v>
      </c>
      <c r="U162" s="303" t="s">
        <v>557</v>
      </c>
      <c r="V162" s="303" t="s">
        <v>29</v>
      </c>
      <c r="W162" s="303" t="s">
        <v>78</v>
      </c>
      <c r="X162" s="303" t="s">
        <v>415</v>
      </c>
      <c r="Y162" s="303" t="s">
        <v>334</v>
      </c>
      <c r="Z162" s="303" t="s">
        <v>338</v>
      </c>
      <c r="AA162" s="308">
        <v>4411800</v>
      </c>
      <c r="AC162" s="289">
        <f t="shared" ref="AC162:AC180" si="290">IF(IF(K162="LEO",ROUNDUP(((M162-$AC$15)/30.5),0)*Q162,0)&lt;0,0,IF(K162="LEO",ROUNDUP(((M162-$AC$15)/30.5),0)*Q162,0))</f>
        <v>11</v>
      </c>
      <c r="AD162" s="88" cm="1">
        <f t="array" ref="AD162">IF(AC162=0,0,INDEX(Summary!$S$4:$S$7,MATCH(AC162,Summary!$R$4:$R$7)+1))</f>
        <v>0.6</v>
      </c>
      <c r="AE162" s="88">
        <f>IFERROR(INDEX(Summary!$Y$4:$Y$6,MATCH('Input Data'!K162,Summary!$U$4:$U$6,0)),0)</f>
        <v>0.4</v>
      </c>
      <c r="AF162" s="88" t="b">
        <f t="shared" ref="AF162:AF180" si="291">IF(I162&gt;=DATE(2024,7,1),TRUE,FALSE)</f>
        <v>1</v>
      </c>
      <c r="AG162" s="89">
        <f>IF(AF162,INDEX('IG Equity Share'!$B:$B,MATCH(YEAR(I162),'IG Equity Share'!$A:$A,0)),0)</f>
        <v>7.4999999999999997E-2</v>
      </c>
      <c r="AH162" s="383">
        <f>AJ162*AG162*_xlfn.XLOOKUP(I162,'S3123 Consortium Share'!$A$3:$A$5,'S3123 Consortium Share'!$F$3:$F$5,,-1)</f>
        <v>165442.5</v>
      </c>
      <c r="AI162" s="14">
        <v>1</v>
      </c>
      <c r="AJ162" s="13">
        <f t="shared" si="211"/>
        <v>4411800</v>
      </c>
      <c r="AK162" s="13">
        <f t="shared" si="212"/>
        <v>4411800</v>
      </c>
      <c r="AL162" s="13" t="str">
        <f t="shared" si="213"/>
        <v>FUL</v>
      </c>
      <c r="AM162" s="52">
        <f t="shared" si="214"/>
        <v>2026</v>
      </c>
      <c r="AN162" s="4" t="e">
        <f>INDEX('[2]Input Data'!$AH:$AH,MATCH(A162,'[2]Input Data'!$A:$A,0),1)-AH162</f>
        <v>#N/A</v>
      </c>
      <c r="AO162" s="13">
        <f t="shared" si="286"/>
        <v>0</v>
      </c>
      <c r="AP162" s="13">
        <f t="shared" si="286"/>
        <v>0</v>
      </c>
      <c r="AQ162" s="13">
        <f t="shared" si="286"/>
        <v>0</v>
      </c>
      <c r="AR162" s="13">
        <f t="shared" si="286"/>
        <v>0</v>
      </c>
      <c r="AS162" s="13">
        <f t="shared" si="286"/>
        <v>0</v>
      </c>
      <c r="AT162" s="13">
        <f t="shared" si="286"/>
        <v>0</v>
      </c>
      <c r="AU162" s="13">
        <f t="shared" si="286"/>
        <v>0</v>
      </c>
      <c r="AV162" s="13">
        <f t="shared" si="241"/>
        <v>882360</v>
      </c>
      <c r="AW162" s="13"/>
      <c r="AX162" s="13"/>
      <c r="AY162" s="13">
        <f t="shared" si="242"/>
        <v>882360</v>
      </c>
      <c r="AZ162" s="13">
        <f t="shared" ref="AZ162:AZ180" si="292">+AO162+AP162</f>
        <v>0</v>
      </c>
      <c r="BA162" s="74"/>
      <c r="BB162" s="25">
        <f t="shared" ref="BB162:BB180" si="293">+AK162-AY162</f>
        <v>3529440</v>
      </c>
      <c r="BC162" s="13">
        <f t="shared" ref="BC162:BC180" si="294">SUM(AO162)</f>
        <v>0</v>
      </c>
      <c r="BD162" s="13" t="b">
        <f>AND(AF162,NOT(ISNUMBER(MATCH(G162,Table1[Excluded Spacecraft ID],0))))</f>
        <v>1</v>
      </c>
      <c r="BE162" s="13">
        <f>BD162*AK162*_xlfn.XLOOKUP(I162,Table2[Date From],Table2[Cession],"Error",-1)*_xlfn.XLOOKUP(I162,'S3123 Consortium Share'!$A$3:$A$5,'S3123 Consortium Share'!$F$3:$F$5,,-1)</f>
        <v>441180</v>
      </c>
      <c r="BF162" s="13">
        <f t="shared" ref="BF162:BF180" si="295">+BB162-BC162</f>
        <v>3529440</v>
      </c>
      <c r="BG162" s="89" cm="1">
        <f t="array" ref="BG162">IF(V162="FIBL",0,INDEX('IGR QS'!$A$1:$D$570,MATCH('Input Data'!V162&amp;'Input Data'!W162&amp;'Input Data'!AM162,'IGR QS'!A:A&amp;'IGR QS'!B:B&amp;'IGR QS'!C:C,0),4))</f>
        <v>0.5</v>
      </c>
      <c r="BH162" s="13">
        <f t="shared" ref="BH162:BH180" si="296">+BF162*BG162</f>
        <v>1764720</v>
      </c>
      <c r="BI162" s="13">
        <f t="shared" ref="BI162:BI180" si="297">+BF162-BH162</f>
        <v>1764720</v>
      </c>
      <c r="BJ162" s="13">
        <f t="shared" si="215"/>
        <v>0</v>
      </c>
      <c r="BK162" s="13">
        <f t="shared" ref="BK162:BK180" si="298">BH162+BJ162</f>
        <v>1764720</v>
      </c>
      <c r="BL162" s="13">
        <f t="shared" ref="BL162:BL180" si="299">+BI162-BJ162</f>
        <v>1764720</v>
      </c>
      <c r="BM162" s="21"/>
      <c r="BN162" s="13">
        <f t="shared" si="216"/>
        <v>34042623.318762854</v>
      </c>
      <c r="BO162" s="13">
        <f t="shared" si="217"/>
        <v>34042623.318762854</v>
      </c>
      <c r="BP162" s="13">
        <f t="shared" si="218"/>
        <v>0</v>
      </c>
      <c r="BQ162" s="13">
        <f t="shared" si="219"/>
        <v>34042623.318762854</v>
      </c>
      <c r="BR162" s="13">
        <f t="shared" si="220"/>
        <v>17021311.659381427</v>
      </c>
      <c r="BT162" s="13">
        <f t="shared" si="221"/>
        <v>3529440</v>
      </c>
      <c r="BU162" s="13">
        <f t="shared" si="222"/>
        <v>1764720</v>
      </c>
      <c r="BV162" s="13">
        <f t="shared" si="223"/>
        <v>1764720</v>
      </c>
      <c r="BW162" s="13">
        <f t="shared" si="224"/>
        <v>882360</v>
      </c>
      <c r="BX162" s="13"/>
      <c r="BY162" s="25">
        <f t="shared" si="225"/>
        <v>0</v>
      </c>
      <c r="BZ162" s="25">
        <f t="shared" si="226"/>
        <v>0</v>
      </c>
      <c r="CA162" s="25">
        <f t="shared" si="227"/>
        <v>0</v>
      </c>
      <c r="CB162" s="25">
        <f t="shared" si="228"/>
        <v>0</v>
      </c>
      <c r="CC162" s="25">
        <f t="shared" si="229"/>
        <v>0</v>
      </c>
      <c r="CD162" s="384">
        <f t="shared" si="230"/>
        <v>0</v>
      </c>
      <c r="CR162" s="25">
        <f t="shared" si="231"/>
        <v>0</v>
      </c>
      <c r="CS162" s="25">
        <f t="shared" si="287"/>
        <v>0</v>
      </c>
      <c r="CT162" s="25">
        <f t="shared" si="287"/>
        <v>0</v>
      </c>
      <c r="CU162" s="25">
        <f t="shared" si="232"/>
        <v>0</v>
      </c>
      <c r="CV162" s="25">
        <f t="shared" si="233"/>
        <v>0</v>
      </c>
      <c r="CW162" s="25">
        <f t="shared" si="234"/>
        <v>0</v>
      </c>
      <c r="CY162" s="25">
        <f t="shared" si="235"/>
        <v>0</v>
      </c>
      <c r="CZ162" s="25">
        <f t="shared" si="236"/>
        <v>0</v>
      </c>
      <c r="DA162" s="25">
        <f t="shared" si="260"/>
        <v>0</v>
      </c>
      <c r="DB162" s="25">
        <f t="shared" si="237"/>
        <v>0</v>
      </c>
      <c r="DC162" s="25">
        <f t="shared" si="238"/>
        <v>0</v>
      </c>
      <c r="DD162" s="25">
        <f t="shared" si="239"/>
        <v>0</v>
      </c>
    </row>
    <row r="163" spans="1:108" x14ac:dyDescent="0.35">
      <c r="A163" s="282" t="str">
        <f t="shared" si="208"/>
        <v>369418_527404</v>
      </c>
      <c r="B163" s="303">
        <v>369418</v>
      </c>
      <c r="C163" s="303">
        <v>527404</v>
      </c>
      <c r="D163" s="319" t="str">
        <f>IFERROR(MATCH(C163,'[4]Custom Earning Pattern Not Popu'!$B$5:$B$428,0),"NA")</f>
        <v>NA</v>
      </c>
      <c r="E163" s="303" t="s">
        <v>228</v>
      </c>
      <c r="F163" s="303">
        <v>12</v>
      </c>
      <c r="G163" s="303">
        <v>12485</v>
      </c>
      <c r="H163" s="306">
        <v>45414</v>
      </c>
      <c r="I163" s="306">
        <v>46058</v>
      </c>
      <c r="J163" s="306">
        <v>46422</v>
      </c>
      <c r="K163" s="303" t="s">
        <v>16</v>
      </c>
      <c r="L163" s="306">
        <v>46058</v>
      </c>
      <c r="M163" s="306">
        <v>46422</v>
      </c>
      <c r="N163" s="303" t="s">
        <v>467</v>
      </c>
      <c r="O163" s="303" t="s">
        <v>467</v>
      </c>
      <c r="P163" s="148">
        <f t="shared" si="288"/>
        <v>0.4</v>
      </c>
      <c r="Q163" s="282">
        <v>1</v>
      </c>
      <c r="R163" s="282">
        <v>0</v>
      </c>
      <c r="S163" s="282" t="str">
        <f t="shared" si="289"/>
        <v>In-Orbit</v>
      </c>
      <c r="T163" s="282" t="s">
        <v>13</v>
      </c>
      <c r="U163" s="303" t="s">
        <v>557</v>
      </c>
      <c r="V163" s="303" t="s">
        <v>29</v>
      </c>
      <c r="W163" s="303" t="s">
        <v>78</v>
      </c>
      <c r="X163" s="303" t="s">
        <v>302</v>
      </c>
      <c r="Y163" s="303" t="s">
        <v>334</v>
      </c>
      <c r="Z163" s="303" t="s">
        <v>338</v>
      </c>
      <c r="AA163" s="308">
        <v>4411800</v>
      </c>
      <c r="AC163" s="289">
        <f t="shared" si="290"/>
        <v>11</v>
      </c>
      <c r="AD163" s="88" cm="1">
        <f t="array" ref="AD163">IF(AC163=0,0,INDEX(Summary!$S$4:$S$7,MATCH(AC163,Summary!$R$4:$R$7)+1))</f>
        <v>0.6</v>
      </c>
      <c r="AE163" s="88">
        <f>IFERROR(INDEX(Summary!$Y$4:$Y$6,MATCH('Input Data'!K163,Summary!$U$4:$U$6,0)),0)</f>
        <v>0.4</v>
      </c>
      <c r="AF163" s="88" t="b">
        <f t="shared" si="291"/>
        <v>1</v>
      </c>
      <c r="AG163" s="89">
        <f>IF(AF163,INDEX('IG Equity Share'!$B:$B,MATCH(YEAR(I163),'IG Equity Share'!$A:$A,0)),0)</f>
        <v>7.4999999999999997E-2</v>
      </c>
      <c r="AH163" s="383">
        <f>AJ163*AG163*_xlfn.XLOOKUP(I163,'S3123 Consortium Share'!$A$3:$A$5,'S3123 Consortium Share'!$F$3:$F$5,,-1)</f>
        <v>165442.5</v>
      </c>
      <c r="AI163" s="14">
        <v>1</v>
      </c>
      <c r="AJ163" s="13">
        <f t="shared" si="211"/>
        <v>4411800</v>
      </c>
      <c r="AK163" s="13">
        <f t="shared" si="212"/>
        <v>4411800</v>
      </c>
      <c r="AL163" s="13" t="str">
        <f t="shared" si="213"/>
        <v>FUL</v>
      </c>
      <c r="AM163" s="52">
        <f t="shared" si="214"/>
        <v>2026</v>
      </c>
      <c r="AN163" s="4" t="e">
        <f>INDEX('[2]Input Data'!$AH:$AH,MATCH(A163,'[2]Input Data'!$A:$A,0),1)-AH163</f>
        <v>#N/A</v>
      </c>
      <c r="AO163" s="13">
        <f t="shared" si="286"/>
        <v>0</v>
      </c>
      <c r="AP163" s="13">
        <f t="shared" si="286"/>
        <v>0</v>
      </c>
      <c r="AQ163" s="13">
        <f t="shared" si="286"/>
        <v>0</v>
      </c>
      <c r="AR163" s="13">
        <f t="shared" si="286"/>
        <v>0</v>
      </c>
      <c r="AS163" s="13">
        <f t="shared" si="286"/>
        <v>0</v>
      </c>
      <c r="AT163" s="13">
        <f t="shared" si="286"/>
        <v>0</v>
      </c>
      <c r="AU163" s="13">
        <f t="shared" si="286"/>
        <v>0</v>
      </c>
      <c r="AV163" s="13">
        <f t="shared" si="241"/>
        <v>882360</v>
      </c>
      <c r="AW163" s="13"/>
      <c r="AX163" s="13"/>
      <c r="AY163" s="13">
        <f t="shared" si="242"/>
        <v>882360</v>
      </c>
      <c r="AZ163" s="13">
        <f t="shared" si="292"/>
        <v>0</v>
      </c>
      <c r="BA163" s="74"/>
      <c r="BB163" s="25">
        <f t="shared" si="293"/>
        <v>3529440</v>
      </c>
      <c r="BC163" s="13">
        <f t="shared" si="294"/>
        <v>0</v>
      </c>
      <c r="BD163" s="13" t="b">
        <f>AND(AF163,NOT(ISNUMBER(MATCH(G163,Table1[Excluded Spacecraft ID],0))))</f>
        <v>1</v>
      </c>
      <c r="BE163" s="13">
        <f>BD163*AK163*_xlfn.XLOOKUP(I163,Table2[Date From],Table2[Cession],"Error",-1)*_xlfn.XLOOKUP(I163,'S3123 Consortium Share'!$A$3:$A$5,'S3123 Consortium Share'!$F$3:$F$5,,-1)</f>
        <v>441180</v>
      </c>
      <c r="BF163" s="13">
        <f t="shared" si="295"/>
        <v>3529440</v>
      </c>
      <c r="BG163" s="89" cm="1">
        <f t="array" ref="BG163">IF(V163="FIBL",0,INDEX('IGR QS'!$A$1:$D$570,MATCH('Input Data'!V163&amp;'Input Data'!W163&amp;'Input Data'!AM163,'IGR QS'!A:A&amp;'IGR QS'!B:B&amp;'IGR QS'!C:C,0),4))</f>
        <v>0.5</v>
      </c>
      <c r="BH163" s="13">
        <f t="shared" si="296"/>
        <v>1764720</v>
      </c>
      <c r="BI163" s="13">
        <f t="shared" si="297"/>
        <v>1764720</v>
      </c>
      <c r="BJ163" s="13">
        <f t="shared" si="215"/>
        <v>0</v>
      </c>
      <c r="BK163" s="13">
        <f t="shared" si="298"/>
        <v>1764720</v>
      </c>
      <c r="BL163" s="13">
        <f t="shared" si="299"/>
        <v>1764720</v>
      </c>
      <c r="BM163" s="21"/>
      <c r="BN163" s="13">
        <f t="shared" si="216"/>
        <v>34042623.318762854</v>
      </c>
      <c r="BO163" s="13">
        <f t="shared" si="217"/>
        <v>34042623.318762854</v>
      </c>
      <c r="BP163" s="13">
        <f t="shared" si="218"/>
        <v>0</v>
      </c>
      <c r="BQ163" s="13">
        <f t="shared" si="219"/>
        <v>34042623.318762854</v>
      </c>
      <c r="BR163" s="13">
        <f t="shared" si="220"/>
        <v>17021311.659381427</v>
      </c>
      <c r="BT163" s="13">
        <f t="shared" si="221"/>
        <v>3529440</v>
      </c>
      <c r="BU163" s="13">
        <f t="shared" si="222"/>
        <v>1764720</v>
      </c>
      <c r="BV163" s="13">
        <f t="shared" si="223"/>
        <v>1764720</v>
      </c>
      <c r="BW163" s="13">
        <f t="shared" si="224"/>
        <v>882360</v>
      </c>
      <c r="BX163" s="13"/>
      <c r="BY163" s="25">
        <f t="shared" si="225"/>
        <v>0</v>
      </c>
      <c r="BZ163" s="25">
        <f t="shared" si="226"/>
        <v>0</v>
      </c>
      <c r="CA163" s="25">
        <f t="shared" si="227"/>
        <v>0</v>
      </c>
      <c r="CB163" s="25">
        <f t="shared" si="228"/>
        <v>0</v>
      </c>
      <c r="CC163" s="25">
        <f t="shared" si="229"/>
        <v>0</v>
      </c>
      <c r="CD163" s="384">
        <f t="shared" si="230"/>
        <v>0</v>
      </c>
      <c r="CR163" s="25">
        <f t="shared" si="231"/>
        <v>0</v>
      </c>
      <c r="CS163" s="25">
        <f t="shared" si="287"/>
        <v>0</v>
      </c>
      <c r="CT163" s="25">
        <f t="shared" si="287"/>
        <v>0</v>
      </c>
      <c r="CU163" s="25">
        <f t="shared" si="232"/>
        <v>0</v>
      </c>
      <c r="CV163" s="25">
        <f t="shared" si="233"/>
        <v>0</v>
      </c>
      <c r="CW163" s="25">
        <f t="shared" si="234"/>
        <v>0</v>
      </c>
      <c r="CY163" s="25">
        <f t="shared" si="235"/>
        <v>0</v>
      </c>
      <c r="CZ163" s="25">
        <f t="shared" si="236"/>
        <v>0</v>
      </c>
      <c r="DA163" s="25">
        <f t="shared" si="260"/>
        <v>0</v>
      </c>
      <c r="DB163" s="25">
        <f t="shared" si="237"/>
        <v>0</v>
      </c>
      <c r="DC163" s="25">
        <f t="shared" si="238"/>
        <v>0</v>
      </c>
      <c r="DD163" s="25">
        <f t="shared" si="239"/>
        <v>0</v>
      </c>
    </row>
    <row r="164" spans="1:108" x14ac:dyDescent="0.35">
      <c r="A164" s="282" t="str">
        <f t="shared" si="208"/>
        <v>367899_529439</v>
      </c>
      <c r="B164" s="303">
        <v>367899</v>
      </c>
      <c r="C164" s="303">
        <v>529439</v>
      </c>
      <c r="D164" s="319" t="str">
        <f>IFERROR(MATCH(C164,'[4]Custom Earning Pattern Not Popu'!$B$5:$B$428,0),"NA")</f>
        <v>NA</v>
      </c>
      <c r="E164" s="303" t="s">
        <v>228</v>
      </c>
      <c r="F164" s="303">
        <v>12</v>
      </c>
      <c r="G164" s="303">
        <v>17299</v>
      </c>
      <c r="H164" s="306">
        <v>45342</v>
      </c>
      <c r="I164" s="306">
        <v>46074</v>
      </c>
      <c r="J164" s="306">
        <v>46438</v>
      </c>
      <c r="K164" s="303" t="s">
        <v>113</v>
      </c>
      <c r="L164" s="306">
        <v>46074</v>
      </c>
      <c r="M164" s="306">
        <v>46438</v>
      </c>
      <c r="N164" s="303" t="s">
        <v>234</v>
      </c>
      <c r="O164" s="303" t="s">
        <v>234</v>
      </c>
      <c r="P164" s="148">
        <f t="shared" si="288"/>
        <v>0.4</v>
      </c>
      <c r="Q164" s="282">
        <v>1</v>
      </c>
      <c r="R164" s="282">
        <v>0</v>
      </c>
      <c r="S164" s="282" t="str">
        <f t="shared" si="289"/>
        <v>In-Orbit</v>
      </c>
      <c r="T164" s="282" t="s">
        <v>13</v>
      </c>
      <c r="U164" s="303" t="s">
        <v>555</v>
      </c>
      <c r="V164" s="303" t="s">
        <v>29</v>
      </c>
      <c r="W164" s="303" t="s">
        <v>78</v>
      </c>
      <c r="X164" s="303" t="s">
        <v>306</v>
      </c>
      <c r="Y164" s="303" t="s">
        <v>317</v>
      </c>
      <c r="Z164" s="303" t="s">
        <v>338</v>
      </c>
      <c r="AA164" s="308">
        <v>6425262.08096305</v>
      </c>
      <c r="AC164" s="289">
        <f t="shared" si="290"/>
        <v>0</v>
      </c>
      <c r="AD164" s="88" cm="1">
        <f t="array" ref="AD164">IF(AC164=0,0,INDEX(Summary!$S$4:$S$7,MATCH(AC164,Summary!$R$4:$R$7)+1))</f>
        <v>0</v>
      </c>
      <c r="AE164" s="88">
        <f>IFERROR(INDEX(Summary!$Y$4:$Y$6,MATCH('Input Data'!K164,Summary!$U$4:$U$6,0)),0)</f>
        <v>0.05</v>
      </c>
      <c r="AF164" s="88" t="b">
        <f t="shared" si="291"/>
        <v>1</v>
      </c>
      <c r="AG164" s="89">
        <f>IF(AF164,INDEX('IG Equity Share'!$B:$B,MATCH(YEAR(I164),'IG Equity Share'!$A:$A,0)),0)</f>
        <v>7.4999999999999997E-2</v>
      </c>
      <c r="AH164" s="383">
        <f>AJ164*AG164*_xlfn.XLOOKUP(I164,'S3123 Consortium Share'!$A$3:$A$5,'S3123 Consortium Share'!$F$3:$F$5,,-1)</f>
        <v>240947.32803611437</v>
      </c>
      <c r="AI164" s="14">
        <v>1</v>
      </c>
      <c r="AJ164" s="13">
        <f t="shared" si="211"/>
        <v>6425262.08096305</v>
      </c>
      <c r="AK164" s="13">
        <f t="shared" si="212"/>
        <v>6425262.08096305</v>
      </c>
      <c r="AL164" s="13" t="str">
        <f t="shared" si="213"/>
        <v>FUL</v>
      </c>
      <c r="AM164" s="52">
        <f t="shared" si="214"/>
        <v>2026</v>
      </c>
      <c r="AN164" s="4"/>
      <c r="AO164" s="13">
        <f t="shared" si="286"/>
        <v>0</v>
      </c>
      <c r="AP164" s="13">
        <f t="shared" si="286"/>
        <v>0</v>
      </c>
      <c r="AQ164" s="13">
        <f t="shared" si="286"/>
        <v>0</v>
      </c>
      <c r="AR164" s="13">
        <f t="shared" si="286"/>
        <v>0</v>
      </c>
      <c r="AS164" s="13">
        <f t="shared" si="286"/>
        <v>0</v>
      </c>
      <c r="AT164" s="13">
        <f t="shared" si="286"/>
        <v>0</v>
      </c>
      <c r="AU164" s="13">
        <f t="shared" si="286"/>
        <v>0</v>
      </c>
      <c r="AV164" s="13">
        <f t="shared" si="241"/>
        <v>1285052.41619261</v>
      </c>
      <c r="AW164" s="13"/>
      <c r="AX164" s="13"/>
      <c r="AY164" s="13">
        <f t="shared" si="242"/>
        <v>1285052.41619261</v>
      </c>
      <c r="AZ164" s="13">
        <f t="shared" si="292"/>
        <v>0</v>
      </c>
      <c r="BA164" s="74"/>
      <c r="BB164" s="25">
        <f t="shared" si="293"/>
        <v>5140209.6647704402</v>
      </c>
      <c r="BC164" s="13">
        <f t="shared" si="294"/>
        <v>0</v>
      </c>
      <c r="BD164" s="13" t="b">
        <f>AND(AF164,NOT(ISNUMBER(MATCH(G164,Table1[Excluded Spacecraft ID],0))))</f>
        <v>1</v>
      </c>
      <c r="BE164" s="13">
        <f>BD164*AK164*_xlfn.XLOOKUP(I164,Table2[Date From],Table2[Cession],"Error",-1)*_xlfn.XLOOKUP(I164,'S3123 Consortium Share'!$A$3:$A$5,'S3123 Consortium Share'!$F$3:$F$5,,-1)</f>
        <v>642526.20809630502</v>
      </c>
      <c r="BF164" s="13">
        <f t="shared" si="295"/>
        <v>5140209.6647704402</v>
      </c>
      <c r="BG164" s="89" cm="1">
        <f t="array" ref="BG164">IF(V164="FIBL",0,INDEX('IGR QS'!$A$1:$D$570,MATCH('Input Data'!V164&amp;'Input Data'!W164&amp;'Input Data'!AM164,'IGR QS'!A:A&amp;'IGR QS'!B:B&amp;'IGR QS'!C:C,0),4))</f>
        <v>0.5</v>
      </c>
      <c r="BH164" s="13">
        <f t="shared" si="296"/>
        <v>2570104.8323852201</v>
      </c>
      <c r="BI164" s="13">
        <f t="shared" si="297"/>
        <v>2570104.8323852201</v>
      </c>
      <c r="BJ164" s="13">
        <f t="shared" si="215"/>
        <v>0</v>
      </c>
      <c r="BK164" s="13">
        <f t="shared" si="298"/>
        <v>2570104.8323852201</v>
      </c>
      <c r="BL164" s="13">
        <f t="shared" si="299"/>
        <v>2570104.8323852201</v>
      </c>
      <c r="BM164" s="21"/>
      <c r="BN164" s="13">
        <f t="shared" si="216"/>
        <v>33962303.368542388</v>
      </c>
      <c r="BO164" s="13">
        <f t="shared" si="217"/>
        <v>20011429.248113245</v>
      </c>
      <c r="BP164" s="13">
        <f t="shared" si="218"/>
        <v>13950874.12042914</v>
      </c>
      <c r="BQ164" s="13">
        <f t="shared" si="219"/>
        <v>99066382.597211704</v>
      </c>
      <c r="BR164" s="13">
        <f t="shared" si="220"/>
        <v>33257171.491438523</v>
      </c>
      <c r="BT164" s="13">
        <f t="shared" si="221"/>
        <v>5140209.6647704402</v>
      </c>
      <c r="BU164" s="13">
        <f t="shared" si="222"/>
        <v>2570104.8323852201</v>
      </c>
      <c r="BV164" s="13">
        <f t="shared" si="223"/>
        <v>2570104.8323852201</v>
      </c>
      <c r="BW164" s="13">
        <f t="shared" si="224"/>
        <v>1285052.41619261</v>
      </c>
      <c r="BX164" s="13"/>
      <c r="BY164" s="25">
        <f t="shared" si="225"/>
        <v>321263.10404815251</v>
      </c>
      <c r="BZ164" s="25">
        <f t="shared" si="226"/>
        <v>321263.10404815251</v>
      </c>
      <c r="CA164" s="25">
        <f t="shared" si="227"/>
        <v>0</v>
      </c>
      <c r="CB164" s="25">
        <f t="shared" si="228"/>
        <v>0</v>
      </c>
      <c r="CC164" s="25">
        <f t="shared" si="229"/>
        <v>160631.55202407626</v>
      </c>
      <c r="CD164" s="384">
        <f t="shared" si="230"/>
        <v>0</v>
      </c>
      <c r="CR164" s="25">
        <f t="shared" si="231"/>
        <v>1285052.41619261</v>
      </c>
      <c r="CS164" s="25">
        <f t="shared" si="287"/>
        <v>1285052.41619261</v>
      </c>
      <c r="CT164" s="25">
        <f t="shared" si="287"/>
        <v>0</v>
      </c>
      <c r="CU164" s="25">
        <f t="shared" si="232"/>
        <v>0</v>
      </c>
      <c r="CV164" s="25">
        <f t="shared" si="233"/>
        <v>642526.20809630502</v>
      </c>
      <c r="CW164" s="25">
        <f t="shared" si="234"/>
        <v>0</v>
      </c>
      <c r="CY164" s="25">
        <f t="shared" si="235"/>
        <v>321263.10404815251</v>
      </c>
      <c r="CZ164" s="25">
        <f t="shared" si="236"/>
        <v>321263.10404815251</v>
      </c>
      <c r="DA164" s="25">
        <f t="shared" si="260"/>
        <v>0</v>
      </c>
      <c r="DB164" s="25">
        <f t="shared" si="237"/>
        <v>0</v>
      </c>
      <c r="DC164" s="25">
        <f t="shared" si="238"/>
        <v>160631.55202407626</v>
      </c>
      <c r="DD164" s="25">
        <f t="shared" si="239"/>
        <v>0</v>
      </c>
    </row>
    <row r="165" spans="1:108" x14ac:dyDescent="0.35">
      <c r="A165" s="282" t="str">
        <f t="shared" si="208"/>
        <v>277977_340161</v>
      </c>
      <c r="B165" s="303">
        <v>277977</v>
      </c>
      <c r="C165" s="303">
        <v>340161</v>
      </c>
      <c r="D165" s="319" t="str">
        <f>IFERROR(MATCH(C165,'[4]Custom Earning Pattern Not Popu'!$B$5:$B$428,0),"NA")</f>
        <v>NA</v>
      </c>
      <c r="E165" s="303" t="s">
        <v>229</v>
      </c>
      <c r="F165" s="303">
        <v>12</v>
      </c>
      <c r="G165" s="303">
        <v>17163</v>
      </c>
      <c r="H165" s="306">
        <v>45815</v>
      </c>
      <c r="I165" s="306">
        <v>44926</v>
      </c>
      <c r="J165" s="306">
        <v>46751</v>
      </c>
      <c r="K165" s="303" t="s">
        <v>113</v>
      </c>
      <c r="L165" s="306">
        <v>45815</v>
      </c>
      <c r="M165" s="306">
        <v>46180</v>
      </c>
      <c r="N165" s="303" t="s">
        <v>466</v>
      </c>
      <c r="O165" s="303" t="s">
        <v>466</v>
      </c>
      <c r="P165" s="148">
        <f t="shared" si="288"/>
        <v>0.2</v>
      </c>
      <c r="Q165" s="282">
        <v>1</v>
      </c>
      <c r="R165" s="282">
        <v>0</v>
      </c>
      <c r="S165" s="282" t="str">
        <f t="shared" si="289"/>
        <v>L + 12 Months</v>
      </c>
      <c r="T165" s="282" t="s">
        <v>13</v>
      </c>
      <c r="U165" s="303" t="s">
        <v>249</v>
      </c>
      <c r="V165" s="303" t="s">
        <v>29</v>
      </c>
      <c r="W165" s="303" t="s">
        <v>80</v>
      </c>
      <c r="X165" s="303" t="s">
        <v>384</v>
      </c>
      <c r="Y165" s="303" t="s">
        <v>325</v>
      </c>
      <c r="Z165" s="303" t="s">
        <v>338</v>
      </c>
      <c r="AA165" s="308">
        <v>19999980</v>
      </c>
      <c r="AC165" s="289">
        <f t="shared" si="290"/>
        <v>0</v>
      </c>
      <c r="AD165" s="88" cm="1">
        <f t="array" ref="AD165">IF(AC165=0,0,INDEX(Summary!$S$4:$S$7,MATCH(AC165,Summary!$R$4:$R$7)+1))</f>
        <v>0</v>
      </c>
      <c r="AE165" s="88">
        <f>IFERROR(INDEX(Summary!$Y$4:$Y$6,MATCH('Input Data'!K165,Summary!$U$4:$U$6,0)),0)</f>
        <v>0.05</v>
      </c>
      <c r="AF165" s="88" t="b">
        <f t="shared" si="291"/>
        <v>0</v>
      </c>
      <c r="AG165" s="89">
        <f>IF(AF165,INDEX('IG Equity Share'!$B:$B,MATCH(YEAR(I165),'IG Equity Share'!$A:$A,0)),0)</f>
        <v>0</v>
      </c>
      <c r="AH165" s="383">
        <f>AJ165*AG165*_xlfn.XLOOKUP(I165,'S3123 Consortium Share'!$A$3:$A$5,'S3123 Consortium Share'!$F$3:$F$5,,-1)</f>
        <v>0</v>
      </c>
      <c r="AI165" s="14">
        <v>1</v>
      </c>
      <c r="AJ165" s="13">
        <f t="shared" si="211"/>
        <v>19999980</v>
      </c>
      <c r="AK165" s="13">
        <f t="shared" si="212"/>
        <v>19999980</v>
      </c>
      <c r="AL165" s="13" t="str">
        <f t="shared" si="213"/>
        <v>FUL</v>
      </c>
      <c r="AM165" s="52">
        <f t="shared" si="214"/>
        <v>2022</v>
      </c>
      <c r="AN165" s="4"/>
      <c r="AO165" s="13">
        <f t="shared" si="286"/>
        <v>0</v>
      </c>
      <c r="AP165" s="13">
        <f t="shared" si="286"/>
        <v>0</v>
      </c>
      <c r="AQ165" s="13">
        <f t="shared" si="286"/>
        <v>0</v>
      </c>
      <c r="AR165" s="13">
        <f t="shared" si="286"/>
        <v>3999996</v>
      </c>
      <c r="AS165" s="13">
        <f t="shared" si="286"/>
        <v>0</v>
      </c>
      <c r="AT165" s="13">
        <f t="shared" si="286"/>
        <v>0</v>
      </c>
      <c r="AU165" s="13">
        <f t="shared" si="286"/>
        <v>0</v>
      </c>
      <c r="AV165" s="13">
        <f t="shared" si="241"/>
        <v>0</v>
      </c>
      <c r="AW165" s="13"/>
      <c r="AX165" s="13"/>
      <c r="AY165" s="13">
        <f t="shared" si="242"/>
        <v>3999996</v>
      </c>
      <c r="AZ165" s="13">
        <f t="shared" si="292"/>
        <v>0</v>
      </c>
      <c r="BA165" s="74"/>
      <c r="BB165" s="25">
        <f t="shared" si="293"/>
        <v>15999984</v>
      </c>
      <c r="BC165" s="13">
        <f t="shared" si="294"/>
        <v>0</v>
      </c>
      <c r="BD165" s="13" t="b">
        <f>AND(AF165,NOT(ISNUMBER(MATCH(G165,Table1[Excluded Spacecraft ID],0))))</f>
        <v>0</v>
      </c>
      <c r="BE165" s="13">
        <f>BD165*AK165*_xlfn.XLOOKUP(I165,Table2[Date From],Table2[Cession],"Error",-1)*_xlfn.XLOOKUP(I165,'S3123 Consortium Share'!$A$3:$A$5,'S3123 Consortium Share'!$F$3:$F$5,,-1)</f>
        <v>0</v>
      </c>
      <c r="BF165" s="13">
        <f t="shared" si="295"/>
        <v>15999984</v>
      </c>
      <c r="BG165" s="89" cm="1">
        <f t="array" ref="BG165">IF(V165="FIBL",0,INDEX('IGR QS'!$A$1:$D$570,MATCH('Input Data'!V165&amp;'Input Data'!W165&amp;'Input Data'!AM165,'IGR QS'!A:A&amp;'IGR QS'!B:B&amp;'IGR QS'!C:C,0),4))</f>
        <v>0.4</v>
      </c>
      <c r="BH165" s="13">
        <f t="shared" si="296"/>
        <v>6399993.6000000006</v>
      </c>
      <c r="BI165" s="13">
        <f t="shared" si="297"/>
        <v>9599990.3999999985</v>
      </c>
      <c r="BJ165" s="13">
        <f t="shared" si="215"/>
        <v>0</v>
      </c>
      <c r="BK165" s="13">
        <f t="shared" si="298"/>
        <v>6399993.6000000006</v>
      </c>
      <c r="BL165" s="13">
        <f t="shared" si="299"/>
        <v>9599990.3999999985</v>
      </c>
      <c r="BM165" s="21"/>
      <c r="BN165" s="13">
        <f t="shared" si="216"/>
        <v>42320200.903406374</v>
      </c>
      <c r="BO165" s="13">
        <f t="shared" si="217"/>
        <v>39234742.262773834</v>
      </c>
      <c r="BP165" s="13">
        <f t="shared" si="218"/>
        <v>3085458.6406325367</v>
      </c>
      <c r="BQ165" s="13">
        <f t="shared" si="219"/>
        <v>50319014.293024875</v>
      </c>
      <c r="BR165" s="13">
        <f t="shared" si="220"/>
        <v>23159803.799107812</v>
      </c>
      <c r="BT165" s="13">
        <f t="shared" si="221"/>
        <v>15999984</v>
      </c>
      <c r="BU165" s="13">
        <f t="shared" si="222"/>
        <v>9599990.3999999985</v>
      </c>
      <c r="BV165" s="13">
        <f t="shared" si="223"/>
        <v>6399993.6000000006</v>
      </c>
      <c r="BW165" s="13">
        <f t="shared" si="224"/>
        <v>3999996</v>
      </c>
      <c r="BX165" s="13"/>
      <c r="BY165" s="25">
        <f t="shared" si="225"/>
        <v>999999</v>
      </c>
      <c r="BZ165" s="25">
        <f t="shared" si="226"/>
        <v>999999</v>
      </c>
      <c r="CA165" s="25">
        <f t="shared" si="227"/>
        <v>0</v>
      </c>
      <c r="CB165" s="25">
        <f t="shared" si="228"/>
        <v>0</v>
      </c>
      <c r="CC165" s="25">
        <f t="shared" si="229"/>
        <v>399999.60000000003</v>
      </c>
      <c r="CD165" s="384">
        <f t="shared" si="230"/>
        <v>0</v>
      </c>
      <c r="CR165" s="25">
        <f t="shared" si="231"/>
        <v>1999998</v>
      </c>
      <c r="CS165" s="25">
        <f t="shared" si="287"/>
        <v>1999998</v>
      </c>
      <c r="CT165" s="25">
        <f t="shared" si="287"/>
        <v>0</v>
      </c>
      <c r="CU165" s="25">
        <f t="shared" si="232"/>
        <v>0</v>
      </c>
      <c r="CV165" s="25">
        <f t="shared" si="233"/>
        <v>799999.20000000007</v>
      </c>
      <c r="CW165" s="25">
        <f t="shared" si="234"/>
        <v>0</v>
      </c>
      <c r="CY165" s="25">
        <f t="shared" si="235"/>
        <v>999999</v>
      </c>
      <c r="CZ165" s="25">
        <f t="shared" si="236"/>
        <v>999999</v>
      </c>
      <c r="DA165" s="25">
        <f t="shared" si="260"/>
        <v>0</v>
      </c>
      <c r="DB165" s="25">
        <f t="shared" si="237"/>
        <v>0</v>
      </c>
      <c r="DC165" s="25">
        <f t="shared" si="238"/>
        <v>399999.60000000003</v>
      </c>
      <c r="DD165" s="25">
        <f t="shared" si="239"/>
        <v>0</v>
      </c>
    </row>
    <row r="166" spans="1:108" x14ac:dyDescent="0.35">
      <c r="A166" s="282" t="str">
        <f t="shared" si="208"/>
        <v>278759_341459</v>
      </c>
      <c r="B166" s="303">
        <v>278759</v>
      </c>
      <c r="C166" s="303">
        <v>341459</v>
      </c>
      <c r="D166" s="319" t="str">
        <f>IFERROR(MATCH(C166,'[4]Custom Earning Pattern Not Popu'!$B$5:$B$428,0),"NA")</f>
        <v>NA</v>
      </c>
      <c r="E166" s="303" t="s">
        <v>229</v>
      </c>
      <c r="F166" s="303">
        <v>12</v>
      </c>
      <c r="G166" s="303">
        <v>17163</v>
      </c>
      <c r="H166" s="306">
        <v>45815</v>
      </c>
      <c r="I166" s="306">
        <v>44926</v>
      </c>
      <c r="J166" s="306">
        <v>46751</v>
      </c>
      <c r="K166" s="303" t="s">
        <v>113</v>
      </c>
      <c r="L166" s="306">
        <v>45815</v>
      </c>
      <c r="M166" s="306">
        <v>46180</v>
      </c>
      <c r="N166" s="303" t="s">
        <v>466</v>
      </c>
      <c r="O166" s="303" t="s">
        <v>466</v>
      </c>
      <c r="P166" s="148">
        <f t="shared" si="288"/>
        <v>0.2</v>
      </c>
      <c r="Q166" s="282">
        <v>1</v>
      </c>
      <c r="R166" s="282">
        <v>0</v>
      </c>
      <c r="S166" s="282" t="str">
        <f t="shared" si="289"/>
        <v>L + 12 Months</v>
      </c>
      <c r="T166" s="282" t="s">
        <v>13</v>
      </c>
      <c r="U166" s="303" t="s">
        <v>250</v>
      </c>
      <c r="V166" s="303" t="s">
        <v>29</v>
      </c>
      <c r="W166" s="303" t="s">
        <v>80</v>
      </c>
      <c r="X166" s="303" t="s">
        <v>384</v>
      </c>
      <c r="Y166" s="303" t="s">
        <v>325</v>
      </c>
      <c r="Z166" s="303" t="s">
        <v>338</v>
      </c>
      <c r="AA166" s="308">
        <v>19999980</v>
      </c>
      <c r="AC166" s="289">
        <f t="shared" si="290"/>
        <v>0</v>
      </c>
      <c r="AD166" s="88" cm="1">
        <f t="array" ref="AD166">IF(AC166=0,0,INDEX(Summary!$S$4:$S$7,MATCH(AC166,Summary!$R$4:$R$7)+1))</f>
        <v>0</v>
      </c>
      <c r="AE166" s="88">
        <f>IFERROR(INDEX(Summary!$Y$4:$Y$6,MATCH('Input Data'!K166,Summary!$U$4:$U$6,0)),0)</f>
        <v>0.05</v>
      </c>
      <c r="AF166" s="88" t="b">
        <f t="shared" si="291"/>
        <v>0</v>
      </c>
      <c r="AG166" s="89">
        <f>IF(AF166,INDEX('IG Equity Share'!$B:$B,MATCH(YEAR(I166),'IG Equity Share'!$A:$A,0)),0)</f>
        <v>0</v>
      </c>
      <c r="AH166" s="383">
        <f>AJ166*AG166*_xlfn.XLOOKUP(I166,'S3123 Consortium Share'!$A$3:$A$5,'S3123 Consortium Share'!$F$3:$F$5,,-1)</f>
        <v>0</v>
      </c>
      <c r="AI166" s="14">
        <v>1</v>
      </c>
      <c r="AJ166" s="13">
        <f t="shared" si="211"/>
        <v>19999980</v>
      </c>
      <c r="AK166" s="13">
        <f t="shared" si="212"/>
        <v>19999980</v>
      </c>
      <c r="AL166" s="13" t="str">
        <f t="shared" si="213"/>
        <v>FUL</v>
      </c>
      <c r="AM166" s="52">
        <f t="shared" si="214"/>
        <v>2022</v>
      </c>
      <c r="AN166" s="4"/>
      <c r="AO166" s="13">
        <f t="shared" si="286"/>
        <v>0</v>
      </c>
      <c r="AP166" s="13">
        <f t="shared" si="286"/>
        <v>0</v>
      </c>
      <c r="AQ166" s="13">
        <f t="shared" si="286"/>
        <v>0</v>
      </c>
      <c r="AR166" s="13">
        <f t="shared" si="286"/>
        <v>3999996</v>
      </c>
      <c r="AS166" s="13">
        <f t="shared" si="286"/>
        <v>0</v>
      </c>
      <c r="AT166" s="13">
        <f t="shared" si="286"/>
        <v>0</v>
      </c>
      <c r="AU166" s="13">
        <f t="shared" si="286"/>
        <v>0</v>
      </c>
      <c r="AV166" s="13">
        <f t="shared" si="241"/>
        <v>0</v>
      </c>
      <c r="AW166" s="13"/>
      <c r="AX166" s="13"/>
      <c r="AY166" s="13">
        <f t="shared" si="242"/>
        <v>3999996</v>
      </c>
      <c r="AZ166" s="13">
        <f t="shared" si="292"/>
        <v>0</v>
      </c>
      <c r="BA166" s="74"/>
      <c r="BB166" s="25">
        <f t="shared" si="293"/>
        <v>15999984</v>
      </c>
      <c r="BC166" s="13">
        <f t="shared" si="294"/>
        <v>0</v>
      </c>
      <c r="BD166" s="13" t="b">
        <f>AND(AF166,NOT(ISNUMBER(MATCH(G166,Table1[Excluded Spacecraft ID],0))))</f>
        <v>0</v>
      </c>
      <c r="BE166" s="13">
        <f>BD166*AK166*_xlfn.XLOOKUP(I166,Table2[Date From],Table2[Cession],"Error",-1)*_xlfn.XLOOKUP(I166,'S3123 Consortium Share'!$A$3:$A$5,'S3123 Consortium Share'!$F$3:$F$5,,-1)</f>
        <v>0</v>
      </c>
      <c r="BF166" s="13">
        <f t="shared" si="295"/>
        <v>15999984</v>
      </c>
      <c r="BG166" s="89" cm="1">
        <f t="array" ref="BG166">IF(V166="FIBL",0,INDEX('IGR QS'!$A$1:$D$570,MATCH('Input Data'!V166&amp;'Input Data'!W166&amp;'Input Data'!AM166,'IGR QS'!A:A&amp;'IGR QS'!B:B&amp;'IGR QS'!C:C,0),4))</f>
        <v>0.4</v>
      </c>
      <c r="BH166" s="13">
        <f t="shared" si="296"/>
        <v>6399993.6000000006</v>
      </c>
      <c r="BI166" s="13">
        <f t="shared" si="297"/>
        <v>9599990.3999999985</v>
      </c>
      <c r="BJ166" s="13">
        <f t="shared" si="215"/>
        <v>0</v>
      </c>
      <c r="BK166" s="13">
        <f t="shared" si="298"/>
        <v>6399993.6000000006</v>
      </c>
      <c r="BL166" s="13">
        <f t="shared" si="299"/>
        <v>9599990.3999999985</v>
      </c>
      <c r="BM166" s="21"/>
      <c r="BN166" s="13">
        <f t="shared" si="216"/>
        <v>42320200.903406374</v>
      </c>
      <c r="BO166" s="13">
        <f t="shared" si="217"/>
        <v>39234742.262773834</v>
      </c>
      <c r="BP166" s="13">
        <f t="shared" si="218"/>
        <v>3085458.6406325367</v>
      </c>
      <c r="BQ166" s="13">
        <f t="shared" si="219"/>
        <v>50319014.293024875</v>
      </c>
      <c r="BR166" s="13">
        <f t="shared" si="220"/>
        <v>23159803.799107812</v>
      </c>
      <c r="BT166" s="13">
        <f t="shared" si="221"/>
        <v>15999984</v>
      </c>
      <c r="BU166" s="13">
        <f t="shared" si="222"/>
        <v>9599990.3999999985</v>
      </c>
      <c r="BV166" s="13">
        <f t="shared" si="223"/>
        <v>6399993.6000000006</v>
      </c>
      <c r="BW166" s="13">
        <f t="shared" si="224"/>
        <v>3999996</v>
      </c>
      <c r="BX166" s="13"/>
      <c r="BY166" s="25">
        <f t="shared" si="225"/>
        <v>999999</v>
      </c>
      <c r="BZ166" s="25">
        <f t="shared" si="226"/>
        <v>999999</v>
      </c>
      <c r="CA166" s="25">
        <f t="shared" si="227"/>
        <v>0</v>
      </c>
      <c r="CB166" s="25">
        <f t="shared" si="228"/>
        <v>0</v>
      </c>
      <c r="CC166" s="25">
        <f t="shared" si="229"/>
        <v>399999.60000000003</v>
      </c>
      <c r="CD166" s="384">
        <f t="shared" si="230"/>
        <v>0</v>
      </c>
      <c r="CR166" s="25">
        <f t="shared" si="231"/>
        <v>1999998</v>
      </c>
      <c r="CS166" s="25">
        <f t="shared" si="287"/>
        <v>1999998</v>
      </c>
      <c r="CT166" s="25">
        <f t="shared" si="287"/>
        <v>0</v>
      </c>
      <c r="CU166" s="25">
        <f t="shared" si="232"/>
        <v>0</v>
      </c>
      <c r="CV166" s="25">
        <f t="shared" si="233"/>
        <v>799999.20000000007</v>
      </c>
      <c r="CW166" s="25">
        <f t="shared" si="234"/>
        <v>0</v>
      </c>
      <c r="CY166" s="25">
        <f t="shared" si="235"/>
        <v>999999</v>
      </c>
      <c r="CZ166" s="25">
        <f t="shared" si="236"/>
        <v>999999</v>
      </c>
      <c r="DA166" s="25">
        <f t="shared" si="260"/>
        <v>0</v>
      </c>
      <c r="DB166" s="25">
        <f t="shared" si="237"/>
        <v>0</v>
      </c>
      <c r="DC166" s="25">
        <f t="shared" si="238"/>
        <v>399999.60000000003</v>
      </c>
      <c r="DD166" s="25">
        <f t="shared" si="239"/>
        <v>0</v>
      </c>
    </row>
    <row r="167" spans="1:108" x14ac:dyDescent="0.35">
      <c r="A167" s="282" t="str">
        <f t="shared" si="208"/>
        <v>301630_388552</v>
      </c>
      <c r="B167" s="282">
        <v>301630</v>
      </c>
      <c r="C167" s="362">
        <v>388552</v>
      </c>
      <c r="D167" s="319" t="str">
        <f>IFERROR(MATCH(C167,'[4]Custom Earning Pattern Not Popu'!$B$5:$B$428,0),"NA")</f>
        <v>NA</v>
      </c>
      <c r="E167" s="303" t="s">
        <v>13</v>
      </c>
      <c r="F167" s="303" t="s">
        <v>13</v>
      </c>
      <c r="G167" s="303" t="s">
        <v>13</v>
      </c>
      <c r="H167" s="306" t="s">
        <v>13</v>
      </c>
      <c r="I167" s="306">
        <v>45291</v>
      </c>
      <c r="J167" s="306">
        <v>46386</v>
      </c>
      <c r="K167" s="303" t="s">
        <v>13</v>
      </c>
      <c r="L167" s="306">
        <v>45291</v>
      </c>
      <c r="M167" s="306">
        <v>46386</v>
      </c>
      <c r="N167" s="303" t="s">
        <v>13</v>
      </c>
      <c r="O167" s="303" t="s">
        <v>13</v>
      </c>
      <c r="P167" s="148">
        <f t="shared" si="288"/>
        <v>0.4</v>
      </c>
      <c r="Q167" s="282">
        <v>1</v>
      </c>
      <c r="R167" s="282">
        <v>0</v>
      </c>
      <c r="S167" s="282" t="str">
        <f t="shared" si="289"/>
        <v>NULL</v>
      </c>
      <c r="T167" s="282" t="s">
        <v>13</v>
      </c>
      <c r="U167" s="303" t="s">
        <v>561</v>
      </c>
      <c r="V167" s="303" t="s">
        <v>29</v>
      </c>
      <c r="W167" s="303" t="s">
        <v>80</v>
      </c>
      <c r="X167" s="303" t="s">
        <v>13</v>
      </c>
      <c r="Y167" s="303" t="s">
        <v>13</v>
      </c>
      <c r="Z167" s="303" t="s">
        <v>13</v>
      </c>
      <c r="AA167" s="334">
        <f t="shared" ref="AA167:AA177" si="300">2500000*0</f>
        <v>0</v>
      </c>
      <c r="AC167" s="289">
        <f t="shared" si="290"/>
        <v>0</v>
      </c>
      <c r="AD167" s="88" cm="1">
        <f t="array" ref="AD167">IF(AC167=0,0,INDEX(Summary!$S$4:$S$7,MATCH(AC167,Summary!$R$4:$R$7)+1))</f>
        <v>0</v>
      </c>
      <c r="AE167" s="88">
        <f>IFERROR(INDEX(Summary!$Y$4:$Y$6,MATCH('Input Data'!K167,Summary!$U$4:$U$6,0)),0)</f>
        <v>0</v>
      </c>
      <c r="AF167" s="88" t="b">
        <f t="shared" si="291"/>
        <v>0</v>
      </c>
      <c r="AG167" s="89">
        <f>IF(AF167,INDEX('IG Equity Share'!$B:$B,MATCH(YEAR(I167),'IG Equity Share'!$A:$A,0)),0)</f>
        <v>0</v>
      </c>
      <c r="AH167" s="383">
        <f>AJ167*AG167*_xlfn.XLOOKUP(I167,'S3123 Consortium Share'!$A$3:$A$5,'S3123 Consortium Share'!$F$3:$F$5,,-1)</f>
        <v>0</v>
      </c>
      <c r="AI167" s="14">
        <v>1</v>
      </c>
      <c r="AJ167" s="13">
        <f t="shared" si="211"/>
        <v>0</v>
      </c>
      <c r="AK167" s="13">
        <f t="shared" si="212"/>
        <v>0</v>
      </c>
      <c r="AL167" s="13" t="str">
        <f t="shared" si="213"/>
        <v>FUL</v>
      </c>
      <c r="AM167" s="52">
        <f t="shared" si="214"/>
        <v>2023</v>
      </c>
      <c r="AN167" s="4" t="e">
        <f>INDEX('[2]Input Data'!$AH:$AH,MATCH(A167,'[2]Input Data'!$A:$A,0),1)-AH167</f>
        <v>#N/A</v>
      </c>
      <c r="AO167" s="13">
        <f t="shared" si="286"/>
        <v>0</v>
      </c>
      <c r="AP167" s="13">
        <f t="shared" si="286"/>
        <v>0</v>
      </c>
      <c r="AQ167" s="13">
        <f t="shared" si="286"/>
        <v>0</v>
      </c>
      <c r="AR167" s="13">
        <f t="shared" si="286"/>
        <v>0</v>
      </c>
      <c r="AS167" s="13">
        <f t="shared" si="286"/>
        <v>0</v>
      </c>
      <c r="AT167" s="13">
        <f t="shared" si="286"/>
        <v>0</v>
      </c>
      <c r="AU167" s="13">
        <f t="shared" si="286"/>
        <v>0</v>
      </c>
      <c r="AV167" s="13">
        <f t="shared" si="241"/>
        <v>0</v>
      </c>
      <c r="AW167" s="13"/>
      <c r="AX167" s="13"/>
      <c r="AY167" s="13">
        <f t="shared" si="242"/>
        <v>0</v>
      </c>
      <c r="AZ167" s="13">
        <f t="shared" si="292"/>
        <v>0</v>
      </c>
      <c r="BA167" s="74"/>
      <c r="BB167" s="25">
        <f t="shared" si="293"/>
        <v>0</v>
      </c>
      <c r="BC167" s="13">
        <f t="shared" si="294"/>
        <v>0</v>
      </c>
      <c r="BD167" s="13" t="b">
        <f>AND(AF167,NOT(ISNUMBER(MATCH(G167,Table1[Excluded Spacecraft ID],0))))</f>
        <v>0</v>
      </c>
      <c r="BE167" s="13">
        <f>BD167*AK167*_xlfn.XLOOKUP(I167,Table2[Date From],Table2[Cession],"Error",-1)*_xlfn.XLOOKUP(I167,'S3123 Consortium Share'!$A$3:$A$5,'S3123 Consortium Share'!$F$3:$F$5,,-1)</f>
        <v>0</v>
      </c>
      <c r="BF167" s="13">
        <f t="shared" si="295"/>
        <v>0</v>
      </c>
      <c r="BG167" s="89" cm="1">
        <f t="array" ref="BG167">IF(V167="FIBL",0,INDEX('IGR QS'!$A$1:$D$570,MATCH('Input Data'!V167&amp;'Input Data'!W167&amp;'Input Data'!AM167,'IGR QS'!A:A&amp;'IGR QS'!B:B&amp;'IGR QS'!C:C,0),4))</f>
        <v>0.5</v>
      </c>
      <c r="BH167" s="13">
        <f t="shared" si="296"/>
        <v>0</v>
      </c>
      <c r="BI167" s="13">
        <f t="shared" si="297"/>
        <v>0</v>
      </c>
      <c r="BJ167" s="13">
        <f t="shared" si="215"/>
        <v>0</v>
      </c>
      <c r="BK167" s="13">
        <f t="shared" si="298"/>
        <v>0</v>
      </c>
      <c r="BL167" s="13">
        <f t="shared" si="299"/>
        <v>0</v>
      </c>
      <c r="BM167" s="21"/>
      <c r="BN167" s="13">
        <f t="shared" si="216"/>
        <v>0</v>
      </c>
      <c r="BO167" s="13">
        <f t="shared" si="217"/>
        <v>0</v>
      </c>
      <c r="BP167" s="13">
        <f t="shared" si="218"/>
        <v>0</v>
      </c>
      <c r="BQ167" s="13">
        <f t="shared" si="219"/>
        <v>0</v>
      </c>
      <c r="BR167" s="13">
        <f t="shared" si="220"/>
        <v>0</v>
      </c>
      <c r="BT167" s="13">
        <f t="shared" si="221"/>
        <v>0</v>
      </c>
      <c r="BU167" s="13">
        <f t="shared" si="222"/>
        <v>0</v>
      </c>
      <c r="BV167" s="13">
        <f t="shared" si="223"/>
        <v>0</v>
      </c>
      <c r="BW167" s="13">
        <f t="shared" si="224"/>
        <v>0</v>
      </c>
      <c r="BX167" s="13"/>
      <c r="BY167" s="25">
        <f t="shared" si="225"/>
        <v>0</v>
      </c>
      <c r="BZ167" s="25">
        <f t="shared" si="226"/>
        <v>0</v>
      </c>
      <c r="CA167" s="25">
        <f t="shared" si="227"/>
        <v>0</v>
      </c>
      <c r="CB167" s="25">
        <f t="shared" si="228"/>
        <v>0</v>
      </c>
      <c r="CC167" s="25">
        <f t="shared" si="229"/>
        <v>0</v>
      </c>
      <c r="CD167" s="384">
        <f t="shared" si="230"/>
        <v>0</v>
      </c>
      <c r="CR167" s="25">
        <f t="shared" si="231"/>
        <v>0</v>
      </c>
      <c r="CS167" s="25">
        <f t="shared" si="287"/>
        <v>0</v>
      </c>
      <c r="CT167" s="25">
        <f t="shared" si="287"/>
        <v>0</v>
      </c>
      <c r="CU167" s="25">
        <f t="shared" si="232"/>
        <v>0</v>
      </c>
      <c r="CV167" s="25">
        <f t="shared" si="233"/>
        <v>0</v>
      </c>
      <c r="CW167" s="25">
        <f t="shared" si="234"/>
        <v>0</v>
      </c>
      <c r="CY167" s="25">
        <f t="shared" si="235"/>
        <v>0</v>
      </c>
      <c r="CZ167" s="25">
        <f t="shared" si="236"/>
        <v>0</v>
      </c>
      <c r="DA167" s="25">
        <f t="shared" si="260"/>
        <v>0</v>
      </c>
      <c r="DB167" s="25">
        <f t="shared" si="237"/>
        <v>0</v>
      </c>
      <c r="DC167" s="25">
        <f t="shared" si="238"/>
        <v>0</v>
      </c>
      <c r="DD167" s="25">
        <f t="shared" si="239"/>
        <v>0</v>
      </c>
    </row>
    <row r="168" spans="1:108" x14ac:dyDescent="0.35">
      <c r="A168" s="282" t="str">
        <f t="shared" si="208"/>
        <v>301630_388553</v>
      </c>
      <c r="B168" s="282">
        <v>301630</v>
      </c>
      <c r="C168" s="362">
        <v>388553</v>
      </c>
      <c r="D168" s="319" t="str">
        <f>IFERROR(MATCH(C168,'[4]Custom Earning Pattern Not Popu'!$B$5:$B$428,0),"NA")</f>
        <v>NA</v>
      </c>
      <c r="E168" s="303" t="s">
        <v>13</v>
      </c>
      <c r="F168" s="303" t="s">
        <v>13</v>
      </c>
      <c r="G168" s="303" t="s">
        <v>13</v>
      </c>
      <c r="H168" s="306" t="s">
        <v>13</v>
      </c>
      <c r="I168" s="306">
        <v>45291</v>
      </c>
      <c r="J168" s="306">
        <v>46386</v>
      </c>
      <c r="K168" s="303" t="s">
        <v>13</v>
      </c>
      <c r="L168" s="306">
        <v>45291</v>
      </c>
      <c r="M168" s="306">
        <v>46386</v>
      </c>
      <c r="N168" s="303" t="s">
        <v>13</v>
      </c>
      <c r="O168" s="303" t="s">
        <v>13</v>
      </c>
      <c r="P168" s="148">
        <f t="shared" si="288"/>
        <v>0.4</v>
      </c>
      <c r="Q168" s="282">
        <v>1</v>
      </c>
      <c r="R168" s="282">
        <v>0</v>
      </c>
      <c r="S168" s="282" t="str">
        <f t="shared" si="289"/>
        <v>NULL</v>
      </c>
      <c r="T168" s="282" t="s">
        <v>13</v>
      </c>
      <c r="U168" s="303" t="s">
        <v>561</v>
      </c>
      <c r="V168" s="303" t="s">
        <v>29</v>
      </c>
      <c r="W168" s="303" t="s">
        <v>80</v>
      </c>
      <c r="X168" s="303" t="s">
        <v>13</v>
      </c>
      <c r="Y168" s="303" t="s">
        <v>13</v>
      </c>
      <c r="Z168" s="303" t="s">
        <v>13</v>
      </c>
      <c r="AA168" s="334">
        <f t="shared" si="300"/>
        <v>0</v>
      </c>
      <c r="AC168" s="289">
        <f t="shared" si="290"/>
        <v>0</v>
      </c>
      <c r="AD168" s="88" cm="1">
        <f t="array" ref="AD168">IF(AC168=0,0,INDEX(Summary!$S$4:$S$7,MATCH(AC168,Summary!$R$4:$R$7)+1))</f>
        <v>0</v>
      </c>
      <c r="AE168" s="88">
        <f>IFERROR(INDEX(Summary!$Y$4:$Y$6,MATCH('Input Data'!K168,Summary!$U$4:$U$6,0)),0)</f>
        <v>0</v>
      </c>
      <c r="AF168" s="88" t="b">
        <f t="shared" si="291"/>
        <v>0</v>
      </c>
      <c r="AG168" s="89">
        <f>IF(AF168,INDEX('IG Equity Share'!$B:$B,MATCH(YEAR(I168),'IG Equity Share'!$A:$A,0)),0)</f>
        <v>0</v>
      </c>
      <c r="AH168" s="383">
        <f>AJ168*AG168*_xlfn.XLOOKUP(I168,'S3123 Consortium Share'!$A$3:$A$5,'S3123 Consortium Share'!$F$3:$F$5,,-1)</f>
        <v>0</v>
      </c>
      <c r="AI168" s="14">
        <v>1</v>
      </c>
      <c r="AJ168" s="13">
        <f t="shared" si="211"/>
        <v>0</v>
      </c>
      <c r="AK168" s="13">
        <f t="shared" si="212"/>
        <v>0</v>
      </c>
      <c r="AL168" s="13" t="str">
        <f t="shared" si="213"/>
        <v>FUL</v>
      </c>
      <c r="AM168" s="52">
        <f t="shared" si="214"/>
        <v>2023</v>
      </c>
      <c r="AN168" s="4" t="e">
        <f>INDEX('[2]Input Data'!$AH:$AH,MATCH(A168,'[2]Input Data'!$A:$A,0),1)-AH168</f>
        <v>#N/A</v>
      </c>
      <c r="AO168" s="13">
        <f t="shared" si="286"/>
        <v>0</v>
      </c>
      <c r="AP168" s="13">
        <f t="shared" si="286"/>
        <v>0</v>
      </c>
      <c r="AQ168" s="13">
        <f t="shared" si="286"/>
        <v>0</v>
      </c>
      <c r="AR168" s="13">
        <f t="shared" si="286"/>
        <v>0</v>
      </c>
      <c r="AS168" s="13">
        <f t="shared" si="286"/>
        <v>0</v>
      </c>
      <c r="AT168" s="13">
        <f t="shared" si="286"/>
        <v>0</v>
      </c>
      <c r="AU168" s="13">
        <f t="shared" si="286"/>
        <v>0</v>
      </c>
      <c r="AV168" s="13">
        <f t="shared" si="241"/>
        <v>0</v>
      </c>
      <c r="AW168" s="13"/>
      <c r="AX168" s="13"/>
      <c r="AY168" s="13">
        <f t="shared" si="242"/>
        <v>0</v>
      </c>
      <c r="AZ168" s="13">
        <f t="shared" si="292"/>
        <v>0</v>
      </c>
      <c r="BA168" s="74"/>
      <c r="BB168" s="25">
        <f t="shared" si="293"/>
        <v>0</v>
      </c>
      <c r="BC168" s="13">
        <f t="shared" si="294"/>
        <v>0</v>
      </c>
      <c r="BD168" s="13" t="b">
        <f>AND(AF168,NOT(ISNUMBER(MATCH(G168,Table1[Excluded Spacecraft ID],0))))</f>
        <v>0</v>
      </c>
      <c r="BE168" s="13">
        <f>BD168*AK168*_xlfn.XLOOKUP(I168,Table2[Date From],Table2[Cession],"Error",-1)*_xlfn.XLOOKUP(I168,'S3123 Consortium Share'!$A$3:$A$5,'S3123 Consortium Share'!$F$3:$F$5,,-1)</f>
        <v>0</v>
      </c>
      <c r="BF168" s="13">
        <f t="shared" si="295"/>
        <v>0</v>
      </c>
      <c r="BG168" s="89" cm="1">
        <f t="array" ref="BG168">IF(V168="FIBL",0,INDEX('IGR QS'!$A$1:$D$570,MATCH('Input Data'!V168&amp;'Input Data'!W168&amp;'Input Data'!AM168,'IGR QS'!A:A&amp;'IGR QS'!B:B&amp;'IGR QS'!C:C,0),4))</f>
        <v>0.5</v>
      </c>
      <c r="BH168" s="13">
        <f t="shared" si="296"/>
        <v>0</v>
      </c>
      <c r="BI168" s="13">
        <f t="shared" si="297"/>
        <v>0</v>
      </c>
      <c r="BJ168" s="13">
        <f t="shared" si="215"/>
        <v>0</v>
      </c>
      <c r="BK168" s="13">
        <f t="shared" si="298"/>
        <v>0</v>
      </c>
      <c r="BL168" s="13">
        <f t="shared" si="299"/>
        <v>0</v>
      </c>
      <c r="BM168" s="21"/>
      <c r="BN168" s="13">
        <f t="shared" si="216"/>
        <v>0</v>
      </c>
      <c r="BO168" s="13">
        <f t="shared" si="217"/>
        <v>0</v>
      </c>
      <c r="BP168" s="13">
        <f t="shared" si="218"/>
        <v>0</v>
      </c>
      <c r="BQ168" s="13">
        <f t="shared" si="219"/>
        <v>0</v>
      </c>
      <c r="BR168" s="13">
        <f t="shared" si="220"/>
        <v>0</v>
      </c>
      <c r="BT168" s="13">
        <f t="shared" si="221"/>
        <v>0</v>
      </c>
      <c r="BU168" s="13">
        <f t="shared" si="222"/>
        <v>0</v>
      </c>
      <c r="BV168" s="13">
        <f t="shared" si="223"/>
        <v>0</v>
      </c>
      <c r="BW168" s="13">
        <f t="shared" si="224"/>
        <v>0</v>
      </c>
      <c r="BX168" s="13"/>
      <c r="BY168" s="25">
        <f t="shared" si="225"/>
        <v>0</v>
      </c>
      <c r="BZ168" s="25">
        <f t="shared" si="226"/>
        <v>0</v>
      </c>
      <c r="CA168" s="25">
        <f t="shared" si="227"/>
        <v>0</v>
      </c>
      <c r="CB168" s="25">
        <f t="shared" si="228"/>
        <v>0</v>
      </c>
      <c r="CC168" s="25">
        <f t="shared" si="229"/>
        <v>0</v>
      </c>
      <c r="CD168" s="384">
        <f t="shared" si="230"/>
        <v>0</v>
      </c>
      <c r="CR168" s="25">
        <f t="shared" si="231"/>
        <v>0</v>
      </c>
      <c r="CS168" s="25">
        <f t="shared" si="287"/>
        <v>0</v>
      </c>
      <c r="CT168" s="25">
        <f t="shared" si="287"/>
        <v>0</v>
      </c>
      <c r="CU168" s="25">
        <f t="shared" si="232"/>
        <v>0</v>
      </c>
      <c r="CV168" s="25">
        <f t="shared" si="233"/>
        <v>0</v>
      </c>
      <c r="CW168" s="25">
        <f t="shared" si="234"/>
        <v>0</v>
      </c>
      <c r="CY168" s="25">
        <f t="shared" si="235"/>
        <v>0</v>
      </c>
      <c r="CZ168" s="25">
        <f t="shared" si="236"/>
        <v>0</v>
      </c>
      <c r="DA168" s="25">
        <f t="shared" si="260"/>
        <v>0</v>
      </c>
      <c r="DB168" s="25">
        <f t="shared" si="237"/>
        <v>0</v>
      </c>
      <c r="DC168" s="25">
        <f t="shared" si="238"/>
        <v>0</v>
      </c>
      <c r="DD168" s="25">
        <f t="shared" si="239"/>
        <v>0</v>
      </c>
    </row>
    <row r="169" spans="1:108" x14ac:dyDescent="0.35">
      <c r="A169" s="282" t="str">
        <f t="shared" si="208"/>
        <v>301630_388554</v>
      </c>
      <c r="B169" s="282">
        <v>301630</v>
      </c>
      <c r="C169" s="362">
        <v>388554</v>
      </c>
      <c r="D169" s="319" t="str">
        <f>IFERROR(MATCH(C169,'[4]Custom Earning Pattern Not Popu'!$B$5:$B$428,0),"NA")</f>
        <v>NA</v>
      </c>
      <c r="E169" s="303" t="s">
        <v>13</v>
      </c>
      <c r="F169" s="303" t="s">
        <v>13</v>
      </c>
      <c r="G169" s="303" t="s">
        <v>13</v>
      </c>
      <c r="H169" s="306" t="s">
        <v>13</v>
      </c>
      <c r="I169" s="306">
        <v>45291</v>
      </c>
      <c r="J169" s="306">
        <v>46386</v>
      </c>
      <c r="K169" s="303" t="s">
        <v>13</v>
      </c>
      <c r="L169" s="306">
        <v>45291</v>
      </c>
      <c r="M169" s="306">
        <v>46386</v>
      </c>
      <c r="N169" s="303" t="s">
        <v>13</v>
      </c>
      <c r="O169" s="303" t="s">
        <v>13</v>
      </c>
      <c r="P169" s="148">
        <f t="shared" si="288"/>
        <v>0.4</v>
      </c>
      <c r="Q169" s="282">
        <v>1</v>
      </c>
      <c r="R169" s="282">
        <v>0</v>
      </c>
      <c r="S169" s="282" t="str">
        <f t="shared" si="289"/>
        <v>NULL</v>
      </c>
      <c r="T169" s="282" t="s">
        <v>13</v>
      </c>
      <c r="U169" s="303" t="s">
        <v>561</v>
      </c>
      <c r="V169" s="303" t="s">
        <v>29</v>
      </c>
      <c r="W169" s="303" t="s">
        <v>80</v>
      </c>
      <c r="X169" s="303" t="s">
        <v>13</v>
      </c>
      <c r="Y169" s="303" t="s">
        <v>13</v>
      </c>
      <c r="Z169" s="303" t="s">
        <v>13</v>
      </c>
      <c r="AA169" s="334">
        <f t="shared" si="300"/>
        <v>0</v>
      </c>
      <c r="AC169" s="289">
        <f t="shared" si="290"/>
        <v>0</v>
      </c>
      <c r="AD169" s="88" cm="1">
        <f t="array" ref="AD169">IF(AC169=0,0,INDEX(Summary!$S$4:$S$7,MATCH(AC169,Summary!$R$4:$R$7)+1))</f>
        <v>0</v>
      </c>
      <c r="AE169" s="88">
        <f>IFERROR(INDEX(Summary!$Y$4:$Y$6,MATCH('Input Data'!K169,Summary!$U$4:$U$6,0)),0)</f>
        <v>0</v>
      </c>
      <c r="AF169" s="88" t="b">
        <f t="shared" si="291"/>
        <v>0</v>
      </c>
      <c r="AG169" s="89">
        <f>IF(AF169,INDEX('IG Equity Share'!$B:$B,MATCH(YEAR(I169),'IG Equity Share'!$A:$A,0)),0)</f>
        <v>0</v>
      </c>
      <c r="AH169" s="383">
        <f>AJ169*AG169*_xlfn.XLOOKUP(I169,'S3123 Consortium Share'!$A$3:$A$5,'S3123 Consortium Share'!$F$3:$F$5,,-1)</f>
        <v>0</v>
      </c>
      <c r="AI169" s="14">
        <v>1</v>
      </c>
      <c r="AJ169" s="13">
        <f t="shared" si="211"/>
        <v>0</v>
      </c>
      <c r="AK169" s="13">
        <f t="shared" si="212"/>
        <v>0</v>
      </c>
      <c r="AL169" s="13" t="str">
        <f t="shared" si="213"/>
        <v>FUL</v>
      </c>
      <c r="AM169" s="52">
        <f t="shared" si="214"/>
        <v>2023</v>
      </c>
      <c r="AN169" s="4" t="e">
        <f>INDEX('[2]Input Data'!$AH:$AH,MATCH(A169,'[2]Input Data'!$A:$A,0),1)-AH169</f>
        <v>#N/A</v>
      </c>
      <c r="AO169" s="13">
        <f t="shared" si="286"/>
        <v>0</v>
      </c>
      <c r="AP169" s="13">
        <f t="shared" si="286"/>
        <v>0</v>
      </c>
      <c r="AQ169" s="13">
        <f t="shared" si="286"/>
        <v>0</v>
      </c>
      <c r="AR169" s="13">
        <f t="shared" si="286"/>
        <v>0</v>
      </c>
      <c r="AS169" s="13">
        <f t="shared" si="286"/>
        <v>0</v>
      </c>
      <c r="AT169" s="13">
        <f t="shared" si="286"/>
        <v>0</v>
      </c>
      <c r="AU169" s="13">
        <f t="shared" si="286"/>
        <v>0</v>
      </c>
      <c r="AV169" s="13">
        <f t="shared" si="241"/>
        <v>0</v>
      </c>
      <c r="AW169" s="13"/>
      <c r="AX169" s="13"/>
      <c r="AY169" s="13">
        <f t="shared" si="242"/>
        <v>0</v>
      </c>
      <c r="AZ169" s="13">
        <f t="shared" si="292"/>
        <v>0</v>
      </c>
      <c r="BA169" s="74"/>
      <c r="BB169" s="25">
        <f t="shared" si="293"/>
        <v>0</v>
      </c>
      <c r="BC169" s="13">
        <f t="shared" si="294"/>
        <v>0</v>
      </c>
      <c r="BD169" s="13" t="b">
        <f>AND(AF169,NOT(ISNUMBER(MATCH(G169,Table1[Excluded Spacecraft ID],0))))</f>
        <v>0</v>
      </c>
      <c r="BE169" s="13">
        <f>BD169*AK169*_xlfn.XLOOKUP(I169,Table2[Date From],Table2[Cession],"Error",-1)*_xlfn.XLOOKUP(I169,'S3123 Consortium Share'!$A$3:$A$5,'S3123 Consortium Share'!$F$3:$F$5,,-1)</f>
        <v>0</v>
      </c>
      <c r="BF169" s="13">
        <f t="shared" si="295"/>
        <v>0</v>
      </c>
      <c r="BG169" s="89" cm="1">
        <f t="array" ref="BG169">IF(V169="FIBL",0,INDEX('IGR QS'!$A$1:$D$570,MATCH('Input Data'!V169&amp;'Input Data'!W169&amp;'Input Data'!AM169,'IGR QS'!A:A&amp;'IGR QS'!B:B&amp;'IGR QS'!C:C,0),4))</f>
        <v>0.5</v>
      </c>
      <c r="BH169" s="13">
        <f t="shared" si="296"/>
        <v>0</v>
      </c>
      <c r="BI169" s="13">
        <f t="shared" si="297"/>
        <v>0</v>
      </c>
      <c r="BJ169" s="13">
        <f t="shared" si="215"/>
        <v>0</v>
      </c>
      <c r="BK169" s="13">
        <f t="shared" si="298"/>
        <v>0</v>
      </c>
      <c r="BL169" s="13">
        <f t="shared" si="299"/>
        <v>0</v>
      </c>
      <c r="BM169" s="21"/>
      <c r="BN169" s="13">
        <f t="shared" si="216"/>
        <v>0</v>
      </c>
      <c r="BO169" s="13">
        <f t="shared" si="217"/>
        <v>0</v>
      </c>
      <c r="BP169" s="13">
        <f t="shared" si="218"/>
        <v>0</v>
      </c>
      <c r="BQ169" s="13">
        <f t="shared" si="219"/>
        <v>0</v>
      </c>
      <c r="BR169" s="13">
        <f t="shared" si="220"/>
        <v>0</v>
      </c>
      <c r="BT169" s="13">
        <f t="shared" si="221"/>
        <v>0</v>
      </c>
      <c r="BU169" s="13">
        <f t="shared" si="222"/>
        <v>0</v>
      </c>
      <c r="BV169" s="13">
        <f t="shared" si="223"/>
        <v>0</v>
      </c>
      <c r="BW169" s="13">
        <f t="shared" si="224"/>
        <v>0</v>
      </c>
      <c r="BX169" s="13"/>
      <c r="BY169" s="25">
        <f t="shared" si="225"/>
        <v>0</v>
      </c>
      <c r="BZ169" s="25">
        <f t="shared" si="226"/>
        <v>0</v>
      </c>
      <c r="CA169" s="25">
        <f t="shared" si="227"/>
        <v>0</v>
      </c>
      <c r="CB169" s="25">
        <f t="shared" si="228"/>
        <v>0</v>
      </c>
      <c r="CC169" s="25">
        <f t="shared" si="229"/>
        <v>0</v>
      </c>
      <c r="CD169" s="384">
        <f t="shared" si="230"/>
        <v>0</v>
      </c>
      <c r="CR169" s="25">
        <f t="shared" si="231"/>
        <v>0</v>
      </c>
      <c r="CS169" s="25">
        <f t="shared" si="287"/>
        <v>0</v>
      </c>
      <c r="CT169" s="25">
        <f t="shared" si="287"/>
        <v>0</v>
      </c>
      <c r="CU169" s="25">
        <f t="shared" si="232"/>
        <v>0</v>
      </c>
      <c r="CV169" s="25">
        <f t="shared" si="233"/>
        <v>0</v>
      </c>
      <c r="CW169" s="25">
        <f t="shared" si="234"/>
        <v>0</v>
      </c>
      <c r="CY169" s="25">
        <f t="shared" si="235"/>
        <v>0</v>
      </c>
      <c r="CZ169" s="25">
        <f t="shared" si="236"/>
        <v>0</v>
      </c>
      <c r="DA169" s="25">
        <f t="shared" si="260"/>
        <v>0</v>
      </c>
      <c r="DB169" s="25">
        <f t="shared" si="237"/>
        <v>0</v>
      </c>
      <c r="DC169" s="25">
        <f t="shared" si="238"/>
        <v>0</v>
      </c>
      <c r="DD169" s="25">
        <f t="shared" si="239"/>
        <v>0</v>
      </c>
    </row>
    <row r="170" spans="1:108" x14ac:dyDescent="0.35">
      <c r="A170" s="282" t="str">
        <f t="shared" si="208"/>
        <v>301630_388555</v>
      </c>
      <c r="B170" s="282">
        <v>301630</v>
      </c>
      <c r="C170" s="362">
        <v>388555</v>
      </c>
      <c r="D170" s="319" t="str">
        <f>IFERROR(MATCH(C170,'[4]Custom Earning Pattern Not Popu'!$B$5:$B$428,0),"NA")</f>
        <v>NA</v>
      </c>
      <c r="E170" s="303" t="s">
        <v>13</v>
      </c>
      <c r="F170" s="303" t="s">
        <v>13</v>
      </c>
      <c r="G170" s="303" t="s">
        <v>13</v>
      </c>
      <c r="H170" s="306" t="s">
        <v>13</v>
      </c>
      <c r="I170" s="306">
        <v>45291</v>
      </c>
      <c r="J170" s="306">
        <v>46386</v>
      </c>
      <c r="K170" s="303" t="s">
        <v>13</v>
      </c>
      <c r="L170" s="306">
        <v>45291</v>
      </c>
      <c r="M170" s="306">
        <v>46386</v>
      </c>
      <c r="N170" s="303" t="s">
        <v>13</v>
      </c>
      <c r="O170" s="303" t="s">
        <v>13</v>
      </c>
      <c r="P170" s="148">
        <f t="shared" si="288"/>
        <v>0.4</v>
      </c>
      <c r="Q170" s="282">
        <v>1</v>
      </c>
      <c r="R170" s="282">
        <v>0</v>
      </c>
      <c r="S170" s="282" t="str">
        <f t="shared" si="289"/>
        <v>NULL</v>
      </c>
      <c r="T170" s="282" t="s">
        <v>13</v>
      </c>
      <c r="U170" s="303" t="s">
        <v>561</v>
      </c>
      <c r="V170" s="303" t="s">
        <v>29</v>
      </c>
      <c r="W170" s="303" t="s">
        <v>80</v>
      </c>
      <c r="X170" s="303" t="s">
        <v>13</v>
      </c>
      <c r="Y170" s="303" t="s">
        <v>13</v>
      </c>
      <c r="Z170" s="303" t="s">
        <v>13</v>
      </c>
      <c r="AA170" s="334">
        <f t="shared" si="300"/>
        <v>0</v>
      </c>
      <c r="AC170" s="289">
        <f t="shared" si="290"/>
        <v>0</v>
      </c>
      <c r="AD170" s="88" cm="1">
        <f t="array" ref="AD170">IF(AC170=0,0,INDEX(Summary!$S$4:$S$7,MATCH(AC170,Summary!$R$4:$R$7)+1))</f>
        <v>0</v>
      </c>
      <c r="AE170" s="88">
        <f>IFERROR(INDEX(Summary!$Y$4:$Y$6,MATCH('Input Data'!K170,Summary!$U$4:$U$6,0)),0)</f>
        <v>0</v>
      </c>
      <c r="AF170" s="88" t="b">
        <f t="shared" si="291"/>
        <v>0</v>
      </c>
      <c r="AG170" s="89">
        <f>IF(AF170,INDEX('IG Equity Share'!$B:$B,MATCH(YEAR(I170),'IG Equity Share'!$A:$A,0)),0)</f>
        <v>0</v>
      </c>
      <c r="AH170" s="383">
        <f>AJ170*AG170*_xlfn.XLOOKUP(I170,'S3123 Consortium Share'!$A$3:$A$5,'S3123 Consortium Share'!$F$3:$F$5,,-1)</f>
        <v>0</v>
      </c>
      <c r="AI170" s="14">
        <v>1</v>
      </c>
      <c r="AJ170" s="13">
        <f t="shared" si="211"/>
        <v>0</v>
      </c>
      <c r="AK170" s="13">
        <f t="shared" si="212"/>
        <v>0</v>
      </c>
      <c r="AL170" s="13" t="str">
        <f t="shared" si="213"/>
        <v>FUL</v>
      </c>
      <c r="AM170" s="52">
        <f t="shared" si="214"/>
        <v>2023</v>
      </c>
      <c r="AN170" s="4" t="e">
        <f>INDEX('[2]Input Data'!$AH:$AH,MATCH(A170,'[2]Input Data'!$A:$A,0),1)-AH170</f>
        <v>#N/A</v>
      </c>
      <c r="AO170" s="13">
        <f t="shared" ref="AO170:AU179" si="301">+IF(AND($I170&lt;=AO$8,$I170&gt;=AO$7),$AK170*AO$11,0)</f>
        <v>0</v>
      </c>
      <c r="AP170" s="13">
        <f t="shared" si="301"/>
        <v>0</v>
      </c>
      <c r="AQ170" s="13">
        <f t="shared" si="301"/>
        <v>0</v>
      </c>
      <c r="AR170" s="13">
        <f t="shared" si="301"/>
        <v>0</v>
      </c>
      <c r="AS170" s="13">
        <f t="shared" si="301"/>
        <v>0</v>
      </c>
      <c r="AT170" s="13">
        <f t="shared" si="301"/>
        <v>0</v>
      </c>
      <c r="AU170" s="13">
        <f t="shared" si="301"/>
        <v>0</v>
      </c>
      <c r="AV170" s="13">
        <f t="shared" si="241"/>
        <v>0</v>
      </c>
      <c r="AW170" s="13"/>
      <c r="AX170" s="13"/>
      <c r="AY170" s="13">
        <f t="shared" si="242"/>
        <v>0</v>
      </c>
      <c r="AZ170" s="13">
        <f t="shared" si="292"/>
        <v>0</v>
      </c>
      <c r="BA170" s="74"/>
      <c r="BB170" s="25">
        <f t="shared" si="293"/>
        <v>0</v>
      </c>
      <c r="BC170" s="13">
        <f t="shared" si="294"/>
        <v>0</v>
      </c>
      <c r="BD170" s="13" t="b">
        <f>AND(AF170,NOT(ISNUMBER(MATCH(G170,Table1[Excluded Spacecraft ID],0))))</f>
        <v>0</v>
      </c>
      <c r="BE170" s="13">
        <f>BD170*AK170*_xlfn.XLOOKUP(I170,Table2[Date From],Table2[Cession],"Error",-1)*_xlfn.XLOOKUP(I170,'S3123 Consortium Share'!$A$3:$A$5,'S3123 Consortium Share'!$F$3:$F$5,,-1)</f>
        <v>0</v>
      </c>
      <c r="BF170" s="13">
        <f t="shared" si="295"/>
        <v>0</v>
      </c>
      <c r="BG170" s="89" cm="1">
        <f t="array" ref="BG170">IF(V170="FIBL",0,INDEX('IGR QS'!$A$1:$D$570,MATCH('Input Data'!V170&amp;'Input Data'!W170&amp;'Input Data'!AM170,'IGR QS'!A:A&amp;'IGR QS'!B:B&amp;'IGR QS'!C:C,0),4))</f>
        <v>0.5</v>
      </c>
      <c r="BH170" s="13">
        <f t="shared" si="296"/>
        <v>0</v>
      </c>
      <c r="BI170" s="13">
        <f t="shared" si="297"/>
        <v>0</v>
      </c>
      <c r="BJ170" s="13">
        <f t="shared" si="215"/>
        <v>0</v>
      </c>
      <c r="BK170" s="13">
        <f t="shared" si="298"/>
        <v>0</v>
      </c>
      <c r="BL170" s="13">
        <f t="shared" si="299"/>
        <v>0</v>
      </c>
      <c r="BM170" s="21"/>
      <c r="BN170" s="13">
        <f t="shared" si="216"/>
        <v>0</v>
      </c>
      <c r="BO170" s="13">
        <f t="shared" si="217"/>
        <v>0</v>
      </c>
      <c r="BP170" s="13">
        <f t="shared" si="218"/>
        <v>0</v>
      </c>
      <c r="BQ170" s="13">
        <f t="shared" si="219"/>
        <v>0</v>
      </c>
      <c r="BR170" s="13">
        <f t="shared" si="220"/>
        <v>0</v>
      </c>
      <c r="BT170" s="13">
        <f t="shared" si="221"/>
        <v>0</v>
      </c>
      <c r="BU170" s="13">
        <f t="shared" si="222"/>
        <v>0</v>
      </c>
      <c r="BV170" s="13">
        <f t="shared" si="223"/>
        <v>0</v>
      </c>
      <c r="BW170" s="13">
        <f t="shared" si="224"/>
        <v>0</v>
      </c>
      <c r="BX170" s="13"/>
      <c r="BY170" s="25">
        <f t="shared" si="225"/>
        <v>0</v>
      </c>
      <c r="BZ170" s="25">
        <f t="shared" si="226"/>
        <v>0</v>
      </c>
      <c r="CA170" s="25">
        <f t="shared" si="227"/>
        <v>0</v>
      </c>
      <c r="CB170" s="25">
        <f t="shared" si="228"/>
        <v>0</v>
      </c>
      <c r="CC170" s="25">
        <f t="shared" si="229"/>
        <v>0</v>
      </c>
      <c r="CD170" s="384">
        <f t="shared" si="230"/>
        <v>0</v>
      </c>
      <c r="CR170" s="25">
        <f t="shared" si="231"/>
        <v>0</v>
      </c>
      <c r="CS170" s="25">
        <f t="shared" si="287"/>
        <v>0</v>
      </c>
      <c r="CT170" s="25">
        <f t="shared" si="287"/>
        <v>0</v>
      </c>
      <c r="CU170" s="25">
        <f t="shared" si="232"/>
        <v>0</v>
      </c>
      <c r="CV170" s="25">
        <f t="shared" si="233"/>
        <v>0</v>
      </c>
      <c r="CW170" s="25">
        <f t="shared" si="234"/>
        <v>0</v>
      </c>
      <c r="CY170" s="25">
        <f t="shared" si="235"/>
        <v>0</v>
      </c>
      <c r="CZ170" s="25">
        <f t="shared" si="236"/>
        <v>0</v>
      </c>
      <c r="DA170" s="25">
        <f t="shared" si="260"/>
        <v>0</v>
      </c>
      <c r="DB170" s="25">
        <f t="shared" si="237"/>
        <v>0</v>
      </c>
      <c r="DC170" s="25">
        <f t="shared" si="238"/>
        <v>0</v>
      </c>
      <c r="DD170" s="25">
        <f t="shared" si="239"/>
        <v>0</v>
      </c>
    </row>
    <row r="171" spans="1:108" x14ac:dyDescent="0.35">
      <c r="A171" s="282" t="str">
        <f t="shared" si="208"/>
        <v>301630_388556</v>
      </c>
      <c r="B171" s="282">
        <v>301630</v>
      </c>
      <c r="C171" s="362">
        <v>388556</v>
      </c>
      <c r="D171" s="319" t="str">
        <f>IFERROR(MATCH(C171,'[4]Custom Earning Pattern Not Popu'!$B$5:$B$428,0),"NA")</f>
        <v>NA</v>
      </c>
      <c r="E171" s="303" t="s">
        <v>13</v>
      </c>
      <c r="F171" s="303" t="s">
        <v>13</v>
      </c>
      <c r="G171" s="303" t="s">
        <v>13</v>
      </c>
      <c r="H171" s="306" t="s">
        <v>13</v>
      </c>
      <c r="I171" s="306">
        <v>45291</v>
      </c>
      <c r="J171" s="306">
        <v>46386</v>
      </c>
      <c r="K171" s="303" t="s">
        <v>13</v>
      </c>
      <c r="L171" s="306">
        <v>45291</v>
      </c>
      <c r="M171" s="306">
        <v>46386</v>
      </c>
      <c r="N171" s="303" t="s">
        <v>13</v>
      </c>
      <c r="O171" s="303" t="s">
        <v>13</v>
      </c>
      <c r="P171" s="148">
        <f t="shared" si="288"/>
        <v>0.4</v>
      </c>
      <c r="Q171" s="282">
        <v>1</v>
      </c>
      <c r="R171" s="282">
        <v>0</v>
      </c>
      <c r="S171" s="282" t="str">
        <f t="shared" si="289"/>
        <v>NULL</v>
      </c>
      <c r="T171" s="282" t="s">
        <v>13</v>
      </c>
      <c r="U171" s="303" t="s">
        <v>561</v>
      </c>
      <c r="V171" s="303" t="s">
        <v>29</v>
      </c>
      <c r="W171" s="303" t="s">
        <v>80</v>
      </c>
      <c r="X171" s="303" t="s">
        <v>13</v>
      </c>
      <c r="Y171" s="303" t="s">
        <v>13</v>
      </c>
      <c r="Z171" s="303" t="s">
        <v>13</v>
      </c>
      <c r="AA171" s="334">
        <f t="shared" si="300"/>
        <v>0</v>
      </c>
      <c r="AC171" s="289">
        <f t="shared" si="290"/>
        <v>0</v>
      </c>
      <c r="AD171" s="88" cm="1">
        <f t="array" ref="AD171">IF(AC171=0,0,INDEX(Summary!$S$4:$S$7,MATCH(AC171,Summary!$R$4:$R$7)+1))</f>
        <v>0</v>
      </c>
      <c r="AE171" s="88">
        <f>IFERROR(INDEX(Summary!$Y$4:$Y$6,MATCH('Input Data'!K171,Summary!$U$4:$U$6,0)),0)</f>
        <v>0</v>
      </c>
      <c r="AF171" s="88" t="b">
        <f t="shared" si="291"/>
        <v>0</v>
      </c>
      <c r="AG171" s="89">
        <f>IF(AF171,INDEX('IG Equity Share'!$B:$B,MATCH(YEAR(I171),'IG Equity Share'!$A:$A,0)),0)</f>
        <v>0</v>
      </c>
      <c r="AH171" s="383">
        <f>AJ171*AG171*_xlfn.XLOOKUP(I171,'S3123 Consortium Share'!$A$3:$A$5,'S3123 Consortium Share'!$F$3:$F$5,,-1)</f>
        <v>0</v>
      </c>
      <c r="AI171" s="14">
        <v>1</v>
      </c>
      <c r="AJ171" s="13">
        <f t="shared" si="211"/>
        <v>0</v>
      </c>
      <c r="AK171" s="13">
        <f t="shared" si="212"/>
        <v>0</v>
      </c>
      <c r="AL171" s="13" t="str">
        <f t="shared" si="213"/>
        <v>FUL</v>
      </c>
      <c r="AM171" s="52">
        <f t="shared" si="214"/>
        <v>2023</v>
      </c>
      <c r="AN171" s="4" t="e">
        <f>INDEX('[2]Input Data'!$AH:$AH,MATCH(A171,'[2]Input Data'!$A:$A,0),1)-AH171</f>
        <v>#N/A</v>
      </c>
      <c r="AO171" s="13">
        <f t="shared" si="301"/>
        <v>0</v>
      </c>
      <c r="AP171" s="13">
        <f t="shared" si="301"/>
        <v>0</v>
      </c>
      <c r="AQ171" s="13">
        <f t="shared" si="301"/>
        <v>0</v>
      </c>
      <c r="AR171" s="13">
        <f t="shared" si="301"/>
        <v>0</v>
      </c>
      <c r="AS171" s="13">
        <f t="shared" si="301"/>
        <v>0</v>
      </c>
      <c r="AT171" s="13">
        <f t="shared" si="301"/>
        <v>0</v>
      </c>
      <c r="AU171" s="13">
        <f t="shared" si="301"/>
        <v>0</v>
      </c>
      <c r="AV171" s="13">
        <f t="shared" si="241"/>
        <v>0</v>
      </c>
      <c r="AW171" s="13"/>
      <c r="AX171" s="13"/>
      <c r="AY171" s="13">
        <f t="shared" si="242"/>
        <v>0</v>
      </c>
      <c r="AZ171" s="13">
        <f t="shared" si="292"/>
        <v>0</v>
      </c>
      <c r="BA171" s="74"/>
      <c r="BB171" s="25">
        <f t="shared" si="293"/>
        <v>0</v>
      </c>
      <c r="BC171" s="13">
        <f t="shared" si="294"/>
        <v>0</v>
      </c>
      <c r="BD171" s="13" t="b">
        <f>AND(AF171,NOT(ISNUMBER(MATCH(G171,Table1[Excluded Spacecraft ID],0))))</f>
        <v>0</v>
      </c>
      <c r="BE171" s="13">
        <f>BD171*AK171*_xlfn.XLOOKUP(I171,Table2[Date From],Table2[Cession],"Error",-1)*_xlfn.XLOOKUP(I171,'S3123 Consortium Share'!$A$3:$A$5,'S3123 Consortium Share'!$F$3:$F$5,,-1)</f>
        <v>0</v>
      </c>
      <c r="BF171" s="13">
        <f t="shared" si="295"/>
        <v>0</v>
      </c>
      <c r="BG171" s="89" cm="1">
        <f t="array" ref="BG171">IF(V171="FIBL",0,INDEX('IGR QS'!$A$1:$D$570,MATCH('Input Data'!V171&amp;'Input Data'!W171&amp;'Input Data'!AM171,'IGR QS'!A:A&amp;'IGR QS'!B:B&amp;'IGR QS'!C:C,0),4))</f>
        <v>0.5</v>
      </c>
      <c r="BH171" s="13">
        <f t="shared" si="296"/>
        <v>0</v>
      </c>
      <c r="BI171" s="13">
        <f t="shared" si="297"/>
        <v>0</v>
      </c>
      <c r="BJ171" s="13">
        <f t="shared" si="215"/>
        <v>0</v>
      </c>
      <c r="BK171" s="13">
        <f t="shared" si="298"/>
        <v>0</v>
      </c>
      <c r="BL171" s="13">
        <f t="shared" si="299"/>
        <v>0</v>
      </c>
      <c r="BM171" s="21"/>
      <c r="BN171" s="13">
        <f t="shared" si="216"/>
        <v>0</v>
      </c>
      <c r="BO171" s="13">
        <f t="shared" si="217"/>
        <v>0</v>
      </c>
      <c r="BP171" s="13">
        <f t="shared" si="218"/>
        <v>0</v>
      </c>
      <c r="BQ171" s="13">
        <f t="shared" si="219"/>
        <v>0</v>
      </c>
      <c r="BR171" s="13">
        <f t="shared" si="220"/>
        <v>0</v>
      </c>
      <c r="BT171" s="13">
        <f t="shared" si="221"/>
        <v>0</v>
      </c>
      <c r="BU171" s="13">
        <f t="shared" si="222"/>
        <v>0</v>
      </c>
      <c r="BV171" s="13">
        <f t="shared" si="223"/>
        <v>0</v>
      </c>
      <c r="BW171" s="13">
        <f t="shared" si="224"/>
        <v>0</v>
      </c>
      <c r="BX171" s="13"/>
      <c r="BY171" s="25">
        <f t="shared" si="225"/>
        <v>0</v>
      </c>
      <c r="BZ171" s="25">
        <f t="shared" si="226"/>
        <v>0</v>
      </c>
      <c r="CA171" s="25">
        <f t="shared" si="227"/>
        <v>0</v>
      </c>
      <c r="CB171" s="25">
        <f t="shared" si="228"/>
        <v>0</v>
      </c>
      <c r="CC171" s="25">
        <f t="shared" si="229"/>
        <v>0</v>
      </c>
      <c r="CD171" s="384">
        <f t="shared" si="230"/>
        <v>0</v>
      </c>
      <c r="CR171" s="25">
        <f t="shared" si="231"/>
        <v>0</v>
      </c>
      <c r="CS171" s="25">
        <f t="shared" si="287"/>
        <v>0</v>
      </c>
      <c r="CT171" s="25">
        <f t="shared" si="287"/>
        <v>0</v>
      </c>
      <c r="CU171" s="25">
        <f t="shared" si="232"/>
        <v>0</v>
      </c>
      <c r="CV171" s="25">
        <f t="shared" si="233"/>
        <v>0</v>
      </c>
      <c r="CW171" s="25">
        <f t="shared" si="234"/>
        <v>0</v>
      </c>
      <c r="CY171" s="25">
        <f t="shared" si="235"/>
        <v>0</v>
      </c>
      <c r="CZ171" s="25">
        <f t="shared" si="236"/>
        <v>0</v>
      </c>
      <c r="DA171" s="25">
        <f t="shared" si="260"/>
        <v>0</v>
      </c>
      <c r="DB171" s="25">
        <f t="shared" si="237"/>
        <v>0</v>
      </c>
      <c r="DC171" s="25">
        <f t="shared" si="238"/>
        <v>0</v>
      </c>
      <c r="DD171" s="25">
        <f t="shared" si="239"/>
        <v>0</v>
      </c>
    </row>
    <row r="172" spans="1:108" x14ac:dyDescent="0.35">
      <c r="A172" s="282" t="str">
        <f t="shared" si="208"/>
        <v>301630_388557</v>
      </c>
      <c r="B172" s="282">
        <v>301630</v>
      </c>
      <c r="C172" s="362">
        <v>388557</v>
      </c>
      <c r="D172" s="319" t="str">
        <f>IFERROR(MATCH(C172,'[4]Custom Earning Pattern Not Popu'!$B$5:$B$428,0),"NA")</f>
        <v>NA</v>
      </c>
      <c r="E172" s="303" t="s">
        <v>13</v>
      </c>
      <c r="F172" s="303" t="s">
        <v>13</v>
      </c>
      <c r="G172" s="303" t="s">
        <v>13</v>
      </c>
      <c r="H172" s="306" t="s">
        <v>13</v>
      </c>
      <c r="I172" s="306">
        <v>45291</v>
      </c>
      <c r="J172" s="306">
        <v>46386</v>
      </c>
      <c r="K172" s="303" t="s">
        <v>13</v>
      </c>
      <c r="L172" s="306">
        <v>45291</v>
      </c>
      <c r="M172" s="306">
        <v>46386</v>
      </c>
      <c r="N172" s="303" t="s">
        <v>13</v>
      </c>
      <c r="O172" s="303" t="s">
        <v>13</v>
      </c>
      <c r="P172" s="148">
        <f t="shared" si="288"/>
        <v>0.4</v>
      </c>
      <c r="Q172" s="282">
        <v>1</v>
      </c>
      <c r="R172" s="282">
        <v>0</v>
      </c>
      <c r="S172" s="282" t="str">
        <f t="shared" si="289"/>
        <v>NULL</v>
      </c>
      <c r="T172" s="282" t="s">
        <v>13</v>
      </c>
      <c r="U172" s="303" t="s">
        <v>561</v>
      </c>
      <c r="V172" s="303" t="s">
        <v>29</v>
      </c>
      <c r="W172" s="303" t="s">
        <v>80</v>
      </c>
      <c r="X172" s="303" t="s">
        <v>13</v>
      </c>
      <c r="Y172" s="303" t="s">
        <v>13</v>
      </c>
      <c r="Z172" s="303" t="s">
        <v>13</v>
      </c>
      <c r="AA172" s="334">
        <f t="shared" si="300"/>
        <v>0</v>
      </c>
      <c r="AC172" s="289">
        <f t="shared" si="290"/>
        <v>0</v>
      </c>
      <c r="AD172" s="88" cm="1">
        <f t="array" ref="AD172">IF(AC172=0,0,INDEX(Summary!$S$4:$S$7,MATCH(AC172,Summary!$R$4:$R$7)+1))</f>
        <v>0</v>
      </c>
      <c r="AE172" s="88">
        <f>IFERROR(INDEX(Summary!$Y$4:$Y$6,MATCH('Input Data'!K172,Summary!$U$4:$U$6,0)),0)</f>
        <v>0</v>
      </c>
      <c r="AF172" s="88" t="b">
        <f t="shared" si="291"/>
        <v>0</v>
      </c>
      <c r="AG172" s="89">
        <f>IF(AF172,INDEX('IG Equity Share'!$B:$B,MATCH(YEAR(I172),'IG Equity Share'!$A:$A,0)),0)</f>
        <v>0</v>
      </c>
      <c r="AH172" s="383">
        <f>AJ172*AG172*_xlfn.XLOOKUP(I172,'S3123 Consortium Share'!$A$3:$A$5,'S3123 Consortium Share'!$F$3:$F$5,,-1)</f>
        <v>0</v>
      </c>
      <c r="AI172" s="14">
        <v>1</v>
      </c>
      <c r="AJ172" s="13">
        <f t="shared" si="211"/>
        <v>0</v>
      </c>
      <c r="AK172" s="13">
        <f t="shared" si="212"/>
        <v>0</v>
      </c>
      <c r="AL172" s="13" t="str">
        <f t="shared" si="213"/>
        <v>FUL</v>
      </c>
      <c r="AM172" s="52">
        <f t="shared" si="214"/>
        <v>2023</v>
      </c>
      <c r="AN172" s="4" t="e">
        <f>INDEX('[2]Input Data'!$AH:$AH,MATCH(A172,'[2]Input Data'!$A:$A,0),1)-AH172</f>
        <v>#N/A</v>
      </c>
      <c r="AO172" s="13">
        <f t="shared" si="301"/>
        <v>0</v>
      </c>
      <c r="AP172" s="13">
        <f t="shared" si="301"/>
        <v>0</v>
      </c>
      <c r="AQ172" s="13">
        <f t="shared" si="301"/>
        <v>0</v>
      </c>
      <c r="AR172" s="13">
        <f t="shared" si="301"/>
        <v>0</v>
      </c>
      <c r="AS172" s="13">
        <f t="shared" si="301"/>
        <v>0</v>
      </c>
      <c r="AT172" s="13">
        <f t="shared" si="301"/>
        <v>0</v>
      </c>
      <c r="AU172" s="13">
        <f t="shared" si="301"/>
        <v>0</v>
      </c>
      <c r="AV172" s="13">
        <f t="shared" si="241"/>
        <v>0</v>
      </c>
      <c r="AW172" s="13"/>
      <c r="AX172" s="13"/>
      <c r="AY172" s="13">
        <f t="shared" si="242"/>
        <v>0</v>
      </c>
      <c r="AZ172" s="13">
        <f t="shared" si="292"/>
        <v>0</v>
      </c>
      <c r="BA172" s="74"/>
      <c r="BB172" s="25">
        <f t="shared" si="293"/>
        <v>0</v>
      </c>
      <c r="BC172" s="13">
        <f t="shared" si="294"/>
        <v>0</v>
      </c>
      <c r="BD172" s="13" t="b">
        <f>AND(AF172,NOT(ISNUMBER(MATCH(G172,Table1[Excluded Spacecraft ID],0))))</f>
        <v>0</v>
      </c>
      <c r="BE172" s="13">
        <f>BD172*AK172*_xlfn.XLOOKUP(I172,Table2[Date From],Table2[Cession],"Error",-1)*_xlfn.XLOOKUP(I172,'S3123 Consortium Share'!$A$3:$A$5,'S3123 Consortium Share'!$F$3:$F$5,,-1)</f>
        <v>0</v>
      </c>
      <c r="BF172" s="13">
        <f t="shared" si="295"/>
        <v>0</v>
      </c>
      <c r="BG172" s="89" cm="1">
        <f t="array" ref="BG172">IF(V172="FIBL",0,INDEX('IGR QS'!$A$1:$D$570,MATCH('Input Data'!V172&amp;'Input Data'!W172&amp;'Input Data'!AM172,'IGR QS'!A:A&amp;'IGR QS'!B:B&amp;'IGR QS'!C:C,0),4))</f>
        <v>0.5</v>
      </c>
      <c r="BH172" s="13">
        <f t="shared" si="296"/>
        <v>0</v>
      </c>
      <c r="BI172" s="13">
        <f t="shared" si="297"/>
        <v>0</v>
      </c>
      <c r="BJ172" s="13">
        <f t="shared" si="215"/>
        <v>0</v>
      </c>
      <c r="BK172" s="13">
        <f t="shared" si="298"/>
        <v>0</v>
      </c>
      <c r="BL172" s="13">
        <f t="shared" si="299"/>
        <v>0</v>
      </c>
      <c r="BM172" s="21"/>
      <c r="BN172" s="13">
        <f t="shared" si="216"/>
        <v>0</v>
      </c>
      <c r="BO172" s="13">
        <f t="shared" si="217"/>
        <v>0</v>
      </c>
      <c r="BP172" s="13">
        <f t="shared" si="218"/>
        <v>0</v>
      </c>
      <c r="BQ172" s="13">
        <f t="shared" si="219"/>
        <v>0</v>
      </c>
      <c r="BR172" s="13">
        <f t="shared" si="220"/>
        <v>0</v>
      </c>
      <c r="BT172" s="13">
        <f t="shared" si="221"/>
        <v>0</v>
      </c>
      <c r="BU172" s="13">
        <f t="shared" si="222"/>
        <v>0</v>
      </c>
      <c r="BV172" s="13">
        <f t="shared" si="223"/>
        <v>0</v>
      </c>
      <c r="BW172" s="13">
        <f t="shared" si="224"/>
        <v>0</v>
      </c>
      <c r="BX172" s="13"/>
      <c r="BY172" s="25">
        <f t="shared" si="225"/>
        <v>0</v>
      </c>
      <c r="BZ172" s="25">
        <f t="shared" si="226"/>
        <v>0</v>
      </c>
      <c r="CA172" s="25">
        <f t="shared" si="227"/>
        <v>0</v>
      </c>
      <c r="CB172" s="25">
        <f t="shared" si="228"/>
        <v>0</v>
      </c>
      <c r="CC172" s="25">
        <f t="shared" si="229"/>
        <v>0</v>
      </c>
      <c r="CD172" s="384">
        <f t="shared" si="230"/>
        <v>0</v>
      </c>
      <c r="CR172" s="25">
        <f t="shared" si="231"/>
        <v>0</v>
      </c>
      <c r="CS172" s="25">
        <f t="shared" si="287"/>
        <v>0</v>
      </c>
      <c r="CT172" s="25">
        <f t="shared" si="287"/>
        <v>0</v>
      </c>
      <c r="CU172" s="25">
        <f t="shared" si="232"/>
        <v>0</v>
      </c>
      <c r="CV172" s="25">
        <f t="shared" si="233"/>
        <v>0</v>
      </c>
      <c r="CW172" s="25">
        <f t="shared" si="234"/>
        <v>0</v>
      </c>
      <c r="CY172" s="25">
        <f t="shared" si="235"/>
        <v>0</v>
      </c>
      <c r="CZ172" s="25">
        <f t="shared" si="236"/>
        <v>0</v>
      </c>
      <c r="DA172" s="25">
        <f t="shared" si="260"/>
        <v>0</v>
      </c>
      <c r="DB172" s="25">
        <f t="shared" si="237"/>
        <v>0</v>
      </c>
      <c r="DC172" s="25">
        <f t="shared" si="238"/>
        <v>0</v>
      </c>
      <c r="DD172" s="25">
        <f t="shared" si="239"/>
        <v>0</v>
      </c>
    </row>
    <row r="173" spans="1:108" x14ac:dyDescent="0.35">
      <c r="A173" s="282" t="str">
        <f t="shared" si="208"/>
        <v>301630_388558</v>
      </c>
      <c r="B173" s="282">
        <v>301630</v>
      </c>
      <c r="C173" s="362">
        <v>388558</v>
      </c>
      <c r="D173" s="319" t="str">
        <f>IFERROR(MATCH(C173,'[4]Custom Earning Pattern Not Popu'!$B$5:$B$428,0),"NA")</f>
        <v>NA</v>
      </c>
      <c r="E173" s="303" t="s">
        <v>13</v>
      </c>
      <c r="F173" s="303" t="s">
        <v>13</v>
      </c>
      <c r="G173" s="303" t="s">
        <v>13</v>
      </c>
      <c r="H173" s="306" t="s">
        <v>13</v>
      </c>
      <c r="I173" s="306">
        <v>45291</v>
      </c>
      <c r="J173" s="306">
        <v>46386</v>
      </c>
      <c r="K173" s="303" t="s">
        <v>13</v>
      </c>
      <c r="L173" s="306">
        <v>45291</v>
      </c>
      <c r="M173" s="306">
        <v>46386</v>
      </c>
      <c r="N173" s="303" t="s">
        <v>13</v>
      </c>
      <c r="O173" s="303" t="s">
        <v>13</v>
      </c>
      <c r="P173" s="148">
        <f t="shared" si="288"/>
        <v>0.4</v>
      </c>
      <c r="Q173" s="282">
        <v>1</v>
      </c>
      <c r="R173" s="282">
        <v>0</v>
      </c>
      <c r="S173" s="282" t="str">
        <f t="shared" si="289"/>
        <v>NULL</v>
      </c>
      <c r="T173" s="282" t="s">
        <v>13</v>
      </c>
      <c r="U173" s="303" t="s">
        <v>561</v>
      </c>
      <c r="V173" s="303" t="s">
        <v>29</v>
      </c>
      <c r="W173" s="303" t="s">
        <v>80</v>
      </c>
      <c r="X173" s="303" t="s">
        <v>13</v>
      </c>
      <c r="Y173" s="303" t="s">
        <v>13</v>
      </c>
      <c r="Z173" s="303" t="s">
        <v>13</v>
      </c>
      <c r="AA173" s="334">
        <f t="shared" si="300"/>
        <v>0</v>
      </c>
      <c r="AC173" s="289">
        <f t="shared" si="290"/>
        <v>0</v>
      </c>
      <c r="AD173" s="88" cm="1">
        <f t="array" ref="AD173">IF(AC173=0,0,INDEX(Summary!$S$4:$S$7,MATCH(AC173,Summary!$R$4:$R$7)+1))</f>
        <v>0</v>
      </c>
      <c r="AE173" s="88">
        <f>IFERROR(INDEX(Summary!$Y$4:$Y$6,MATCH('Input Data'!K173,Summary!$U$4:$U$6,0)),0)</f>
        <v>0</v>
      </c>
      <c r="AF173" s="88" t="b">
        <f t="shared" si="291"/>
        <v>0</v>
      </c>
      <c r="AG173" s="89">
        <f>IF(AF173,INDEX('IG Equity Share'!$B:$B,MATCH(YEAR(I173),'IG Equity Share'!$A:$A,0)),0)</f>
        <v>0</v>
      </c>
      <c r="AH173" s="383">
        <f>AJ173*AG173*_xlfn.XLOOKUP(I173,'S3123 Consortium Share'!$A$3:$A$5,'S3123 Consortium Share'!$F$3:$F$5,,-1)</f>
        <v>0</v>
      </c>
      <c r="AI173" s="14">
        <v>1</v>
      </c>
      <c r="AJ173" s="13">
        <f t="shared" si="211"/>
        <v>0</v>
      </c>
      <c r="AK173" s="13">
        <f t="shared" si="212"/>
        <v>0</v>
      </c>
      <c r="AL173" s="13" t="str">
        <f t="shared" si="213"/>
        <v>FUL</v>
      </c>
      <c r="AM173" s="52">
        <f t="shared" si="214"/>
        <v>2023</v>
      </c>
      <c r="AN173" s="4" t="e">
        <f>INDEX('[2]Input Data'!$AH:$AH,MATCH(A173,'[2]Input Data'!$A:$A,0),1)-AH173</f>
        <v>#N/A</v>
      </c>
      <c r="AO173" s="13">
        <f t="shared" si="301"/>
        <v>0</v>
      </c>
      <c r="AP173" s="13">
        <f t="shared" si="301"/>
        <v>0</v>
      </c>
      <c r="AQ173" s="13">
        <f t="shared" si="301"/>
        <v>0</v>
      </c>
      <c r="AR173" s="13">
        <f t="shared" si="301"/>
        <v>0</v>
      </c>
      <c r="AS173" s="13">
        <f t="shared" si="301"/>
        <v>0</v>
      </c>
      <c r="AT173" s="13">
        <f t="shared" si="301"/>
        <v>0</v>
      </c>
      <c r="AU173" s="13">
        <f t="shared" si="301"/>
        <v>0</v>
      </c>
      <c r="AV173" s="13">
        <f t="shared" si="241"/>
        <v>0</v>
      </c>
      <c r="AW173" s="13"/>
      <c r="AX173" s="13"/>
      <c r="AY173" s="13">
        <f t="shared" si="242"/>
        <v>0</v>
      </c>
      <c r="AZ173" s="13">
        <f t="shared" si="292"/>
        <v>0</v>
      </c>
      <c r="BA173" s="74"/>
      <c r="BB173" s="25">
        <f t="shared" si="293"/>
        <v>0</v>
      </c>
      <c r="BC173" s="13">
        <f t="shared" si="294"/>
        <v>0</v>
      </c>
      <c r="BD173" s="13" t="b">
        <f>AND(AF173,NOT(ISNUMBER(MATCH(G173,Table1[Excluded Spacecraft ID],0))))</f>
        <v>0</v>
      </c>
      <c r="BE173" s="13">
        <f>BD173*AK173*_xlfn.XLOOKUP(I173,Table2[Date From],Table2[Cession],"Error",-1)*_xlfn.XLOOKUP(I173,'S3123 Consortium Share'!$A$3:$A$5,'S3123 Consortium Share'!$F$3:$F$5,,-1)</f>
        <v>0</v>
      </c>
      <c r="BF173" s="13">
        <f t="shared" si="295"/>
        <v>0</v>
      </c>
      <c r="BG173" s="89" cm="1">
        <f t="array" ref="BG173">IF(V173="FIBL",0,INDEX('IGR QS'!$A$1:$D$570,MATCH('Input Data'!V173&amp;'Input Data'!W173&amp;'Input Data'!AM173,'IGR QS'!A:A&amp;'IGR QS'!B:B&amp;'IGR QS'!C:C,0),4))</f>
        <v>0.5</v>
      </c>
      <c r="BH173" s="13">
        <f t="shared" si="296"/>
        <v>0</v>
      </c>
      <c r="BI173" s="13">
        <f t="shared" si="297"/>
        <v>0</v>
      </c>
      <c r="BJ173" s="13">
        <f t="shared" si="215"/>
        <v>0</v>
      </c>
      <c r="BK173" s="13">
        <f t="shared" si="298"/>
        <v>0</v>
      </c>
      <c r="BL173" s="13">
        <f t="shared" si="299"/>
        <v>0</v>
      </c>
      <c r="BM173" s="21"/>
      <c r="BN173" s="13">
        <f t="shared" si="216"/>
        <v>0</v>
      </c>
      <c r="BO173" s="13">
        <f t="shared" si="217"/>
        <v>0</v>
      </c>
      <c r="BP173" s="13">
        <f t="shared" si="218"/>
        <v>0</v>
      </c>
      <c r="BQ173" s="13">
        <f t="shared" si="219"/>
        <v>0</v>
      </c>
      <c r="BR173" s="13">
        <f t="shared" si="220"/>
        <v>0</v>
      </c>
      <c r="BT173" s="13">
        <f t="shared" si="221"/>
        <v>0</v>
      </c>
      <c r="BU173" s="13">
        <f t="shared" si="222"/>
        <v>0</v>
      </c>
      <c r="BV173" s="13">
        <f t="shared" si="223"/>
        <v>0</v>
      </c>
      <c r="BW173" s="13">
        <f t="shared" si="224"/>
        <v>0</v>
      </c>
      <c r="BX173" s="13"/>
      <c r="BY173" s="25">
        <f t="shared" si="225"/>
        <v>0</v>
      </c>
      <c r="BZ173" s="25">
        <f t="shared" si="226"/>
        <v>0</v>
      </c>
      <c r="CA173" s="25">
        <f t="shared" si="227"/>
        <v>0</v>
      </c>
      <c r="CB173" s="25">
        <f t="shared" si="228"/>
        <v>0</v>
      </c>
      <c r="CC173" s="25">
        <f t="shared" si="229"/>
        <v>0</v>
      </c>
      <c r="CD173" s="384">
        <f t="shared" si="230"/>
        <v>0</v>
      </c>
      <c r="CR173" s="25">
        <f t="shared" si="231"/>
        <v>0</v>
      </c>
      <c r="CS173" s="25">
        <f t="shared" si="287"/>
        <v>0</v>
      </c>
      <c r="CT173" s="25">
        <f t="shared" si="287"/>
        <v>0</v>
      </c>
      <c r="CU173" s="25">
        <f t="shared" si="232"/>
        <v>0</v>
      </c>
      <c r="CV173" s="25">
        <f t="shared" si="233"/>
        <v>0</v>
      </c>
      <c r="CW173" s="25">
        <f t="shared" si="234"/>
        <v>0</v>
      </c>
      <c r="CY173" s="25">
        <f t="shared" si="235"/>
        <v>0</v>
      </c>
      <c r="CZ173" s="25">
        <f t="shared" si="236"/>
        <v>0</v>
      </c>
      <c r="DA173" s="25">
        <f t="shared" si="260"/>
        <v>0</v>
      </c>
      <c r="DB173" s="25">
        <f t="shared" si="237"/>
        <v>0</v>
      </c>
      <c r="DC173" s="25">
        <f t="shared" si="238"/>
        <v>0</v>
      </c>
      <c r="DD173" s="25">
        <f t="shared" si="239"/>
        <v>0</v>
      </c>
    </row>
    <row r="174" spans="1:108" x14ac:dyDescent="0.35">
      <c r="A174" s="282" t="str">
        <f t="shared" si="208"/>
        <v>301630_388559</v>
      </c>
      <c r="B174" s="282">
        <v>301630</v>
      </c>
      <c r="C174" s="362">
        <v>388559</v>
      </c>
      <c r="D174" s="319" t="str">
        <f>IFERROR(MATCH(C174,'[4]Custom Earning Pattern Not Popu'!$B$5:$B$428,0),"NA")</f>
        <v>NA</v>
      </c>
      <c r="E174" s="303" t="s">
        <v>13</v>
      </c>
      <c r="F174" s="303" t="s">
        <v>13</v>
      </c>
      <c r="G174" s="303" t="s">
        <v>13</v>
      </c>
      <c r="H174" s="306" t="s">
        <v>13</v>
      </c>
      <c r="I174" s="306">
        <v>45291</v>
      </c>
      <c r="J174" s="306">
        <v>46386</v>
      </c>
      <c r="K174" s="303" t="s">
        <v>13</v>
      </c>
      <c r="L174" s="306">
        <v>45291</v>
      </c>
      <c r="M174" s="306">
        <v>46386</v>
      </c>
      <c r="N174" s="303" t="s">
        <v>13</v>
      </c>
      <c r="O174" s="303" t="s">
        <v>13</v>
      </c>
      <c r="P174" s="148">
        <f t="shared" si="288"/>
        <v>0.4</v>
      </c>
      <c r="Q174" s="282">
        <v>1</v>
      </c>
      <c r="R174" s="282">
        <v>0</v>
      </c>
      <c r="S174" s="282" t="str">
        <f t="shared" si="289"/>
        <v>NULL</v>
      </c>
      <c r="T174" s="282" t="s">
        <v>13</v>
      </c>
      <c r="U174" s="303" t="s">
        <v>561</v>
      </c>
      <c r="V174" s="303" t="s">
        <v>29</v>
      </c>
      <c r="W174" s="303" t="s">
        <v>80</v>
      </c>
      <c r="X174" s="303" t="s">
        <v>13</v>
      </c>
      <c r="Y174" s="303" t="s">
        <v>13</v>
      </c>
      <c r="Z174" s="303" t="s">
        <v>13</v>
      </c>
      <c r="AA174" s="334">
        <f t="shared" si="300"/>
        <v>0</v>
      </c>
      <c r="AC174" s="289">
        <f t="shared" si="290"/>
        <v>0</v>
      </c>
      <c r="AD174" s="88" cm="1">
        <f t="array" ref="AD174">IF(AC174=0,0,INDEX(Summary!$S$4:$S$7,MATCH(AC174,Summary!$R$4:$R$7)+1))</f>
        <v>0</v>
      </c>
      <c r="AE174" s="88">
        <f>IFERROR(INDEX(Summary!$Y$4:$Y$6,MATCH('Input Data'!K174,Summary!$U$4:$U$6,0)),0)</f>
        <v>0</v>
      </c>
      <c r="AF174" s="88" t="b">
        <f t="shared" si="291"/>
        <v>0</v>
      </c>
      <c r="AG174" s="89">
        <f>IF(AF174,INDEX('IG Equity Share'!$B:$B,MATCH(YEAR(I174),'IG Equity Share'!$A:$A,0)),0)</f>
        <v>0</v>
      </c>
      <c r="AH174" s="383">
        <f>AJ174*AG174*_xlfn.XLOOKUP(I174,'S3123 Consortium Share'!$A$3:$A$5,'S3123 Consortium Share'!$F$3:$F$5,,-1)</f>
        <v>0</v>
      </c>
      <c r="AI174" s="14">
        <v>1</v>
      </c>
      <c r="AJ174" s="13">
        <f t="shared" si="211"/>
        <v>0</v>
      </c>
      <c r="AK174" s="13">
        <f t="shared" si="212"/>
        <v>0</v>
      </c>
      <c r="AL174" s="13" t="str">
        <f t="shared" si="213"/>
        <v>FUL</v>
      </c>
      <c r="AM174" s="52">
        <f t="shared" si="214"/>
        <v>2023</v>
      </c>
      <c r="AN174" s="4" t="e">
        <f>INDEX('[2]Input Data'!$AH:$AH,MATCH(A174,'[2]Input Data'!$A:$A,0),1)-AH174</f>
        <v>#N/A</v>
      </c>
      <c r="AO174" s="13">
        <f t="shared" si="301"/>
        <v>0</v>
      </c>
      <c r="AP174" s="13">
        <f t="shared" si="301"/>
        <v>0</v>
      </c>
      <c r="AQ174" s="13">
        <f t="shared" si="301"/>
        <v>0</v>
      </c>
      <c r="AR174" s="13">
        <f t="shared" si="301"/>
        <v>0</v>
      </c>
      <c r="AS174" s="13">
        <f t="shared" si="301"/>
        <v>0</v>
      </c>
      <c r="AT174" s="13">
        <f t="shared" si="301"/>
        <v>0</v>
      </c>
      <c r="AU174" s="13">
        <f t="shared" si="301"/>
        <v>0</v>
      </c>
      <c r="AV174" s="13">
        <f t="shared" si="241"/>
        <v>0</v>
      </c>
      <c r="AW174" s="13"/>
      <c r="AX174" s="13"/>
      <c r="AY174" s="13">
        <f t="shared" si="242"/>
        <v>0</v>
      </c>
      <c r="AZ174" s="13">
        <f t="shared" si="292"/>
        <v>0</v>
      </c>
      <c r="BA174" s="74"/>
      <c r="BB174" s="25">
        <f t="shared" si="293"/>
        <v>0</v>
      </c>
      <c r="BC174" s="13">
        <f t="shared" si="294"/>
        <v>0</v>
      </c>
      <c r="BD174" s="13" t="b">
        <f>AND(AF174,NOT(ISNUMBER(MATCH(G174,Table1[Excluded Spacecraft ID],0))))</f>
        <v>0</v>
      </c>
      <c r="BE174" s="13">
        <f>BD174*AK174*_xlfn.XLOOKUP(I174,Table2[Date From],Table2[Cession],"Error",-1)*_xlfn.XLOOKUP(I174,'S3123 Consortium Share'!$A$3:$A$5,'S3123 Consortium Share'!$F$3:$F$5,,-1)</f>
        <v>0</v>
      </c>
      <c r="BF174" s="13">
        <f t="shared" si="295"/>
        <v>0</v>
      </c>
      <c r="BG174" s="89" cm="1">
        <f t="array" ref="BG174">IF(V174="FIBL",0,INDEX('IGR QS'!$A$1:$D$570,MATCH('Input Data'!V174&amp;'Input Data'!W174&amp;'Input Data'!AM174,'IGR QS'!A:A&amp;'IGR QS'!B:B&amp;'IGR QS'!C:C,0),4))</f>
        <v>0.5</v>
      </c>
      <c r="BH174" s="13">
        <f t="shared" si="296"/>
        <v>0</v>
      </c>
      <c r="BI174" s="13">
        <f t="shared" si="297"/>
        <v>0</v>
      </c>
      <c r="BJ174" s="13">
        <f t="shared" si="215"/>
        <v>0</v>
      </c>
      <c r="BK174" s="13">
        <f t="shared" si="298"/>
        <v>0</v>
      </c>
      <c r="BL174" s="13">
        <f t="shared" si="299"/>
        <v>0</v>
      </c>
      <c r="BM174" s="21"/>
      <c r="BN174" s="13">
        <f t="shared" si="216"/>
        <v>0</v>
      </c>
      <c r="BO174" s="13">
        <f t="shared" si="217"/>
        <v>0</v>
      </c>
      <c r="BP174" s="13">
        <f t="shared" si="218"/>
        <v>0</v>
      </c>
      <c r="BQ174" s="13">
        <f t="shared" si="219"/>
        <v>0</v>
      </c>
      <c r="BR174" s="13">
        <f t="shared" si="220"/>
        <v>0</v>
      </c>
      <c r="BT174" s="13">
        <f t="shared" si="221"/>
        <v>0</v>
      </c>
      <c r="BU174" s="13">
        <f t="shared" si="222"/>
        <v>0</v>
      </c>
      <c r="BV174" s="13">
        <f t="shared" si="223"/>
        <v>0</v>
      </c>
      <c r="BW174" s="13">
        <f t="shared" si="224"/>
        <v>0</v>
      </c>
      <c r="BX174" s="13"/>
      <c r="BY174" s="25">
        <f t="shared" si="225"/>
        <v>0</v>
      </c>
      <c r="BZ174" s="25">
        <f t="shared" si="226"/>
        <v>0</v>
      </c>
      <c r="CA174" s="25">
        <f t="shared" si="227"/>
        <v>0</v>
      </c>
      <c r="CB174" s="25">
        <f t="shared" si="228"/>
        <v>0</v>
      </c>
      <c r="CC174" s="25">
        <f t="shared" si="229"/>
        <v>0</v>
      </c>
      <c r="CD174" s="384">
        <f t="shared" si="230"/>
        <v>0</v>
      </c>
      <c r="CR174" s="25">
        <f t="shared" si="231"/>
        <v>0</v>
      </c>
      <c r="CS174" s="25">
        <f t="shared" si="287"/>
        <v>0</v>
      </c>
      <c r="CT174" s="25">
        <f t="shared" si="287"/>
        <v>0</v>
      </c>
      <c r="CU174" s="25">
        <f t="shared" si="232"/>
        <v>0</v>
      </c>
      <c r="CV174" s="25">
        <f t="shared" si="233"/>
        <v>0</v>
      </c>
      <c r="CW174" s="25">
        <f t="shared" si="234"/>
        <v>0</v>
      </c>
      <c r="CY174" s="25">
        <f t="shared" si="235"/>
        <v>0</v>
      </c>
      <c r="CZ174" s="25">
        <f t="shared" si="236"/>
        <v>0</v>
      </c>
      <c r="DA174" s="25">
        <f t="shared" si="260"/>
        <v>0</v>
      </c>
      <c r="DB174" s="25">
        <f t="shared" si="237"/>
        <v>0</v>
      </c>
      <c r="DC174" s="25">
        <f t="shared" si="238"/>
        <v>0</v>
      </c>
      <c r="DD174" s="25">
        <f t="shared" si="239"/>
        <v>0</v>
      </c>
    </row>
    <row r="175" spans="1:108" x14ac:dyDescent="0.35">
      <c r="A175" s="282" t="str">
        <f t="shared" si="208"/>
        <v>301630_388560</v>
      </c>
      <c r="B175" s="282">
        <v>301630</v>
      </c>
      <c r="C175" s="362">
        <v>388560</v>
      </c>
      <c r="D175" s="319" t="str">
        <f>IFERROR(MATCH(C175,'[4]Custom Earning Pattern Not Popu'!$B$5:$B$428,0),"NA")</f>
        <v>NA</v>
      </c>
      <c r="E175" s="303" t="s">
        <v>13</v>
      </c>
      <c r="F175" s="303" t="s">
        <v>13</v>
      </c>
      <c r="G175" s="303" t="s">
        <v>13</v>
      </c>
      <c r="H175" s="306" t="s">
        <v>13</v>
      </c>
      <c r="I175" s="306">
        <v>45291</v>
      </c>
      <c r="J175" s="306">
        <v>46386</v>
      </c>
      <c r="K175" s="303" t="s">
        <v>13</v>
      </c>
      <c r="L175" s="306">
        <v>45291</v>
      </c>
      <c r="M175" s="306">
        <v>46386</v>
      </c>
      <c r="N175" s="303" t="s">
        <v>13</v>
      </c>
      <c r="O175" s="303" t="s">
        <v>13</v>
      </c>
      <c r="P175" s="148">
        <f t="shared" si="288"/>
        <v>0.4</v>
      </c>
      <c r="Q175" s="282">
        <v>1</v>
      </c>
      <c r="R175" s="282">
        <v>0</v>
      </c>
      <c r="S175" s="282" t="str">
        <f t="shared" si="289"/>
        <v>NULL</v>
      </c>
      <c r="T175" s="282" t="s">
        <v>13</v>
      </c>
      <c r="U175" s="303" t="s">
        <v>561</v>
      </c>
      <c r="V175" s="303" t="s">
        <v>29</v>
      </c>
      <c r="W175" s="303" t="s">
        <v>80</v>
      </c>
      <c r="X175" s="303" t="s">
        <v>13</v>
      </c>
      <c r="Y175" s="303" t="s">
        <v>13</v>
      </c>
      <c r="Z175" s="303" t="s">
        <v>13</v>
      </c>
      <c r="AA175" s="334">
        <f t="shared" si="300"/>
        <v>0</v>
      </c>
      <c r="AC175" s="289">
        <f t="shared" si="290"/>
        <v>0</v>
      </c>
      <c r="AD175" s="88" cm="1">
        <f t="array" ref="AD175">IF(AC175=0,0,INDEX(Summary!$S$4:$S$7,MATCH(AC175,Summary!$R$4:$R$7)+1))</f>
        <v>0</v>
      </c>
      <c r="AE175" s="88">
        <f>IFERROR(INDEX(Summary!$Y$4:$Y$6,MATCH('Input Data'!K175,Summary!$U$4:$U$6,0)),0)</f>
        <v>0</v>
      </c>
      <c r="AF175" s="88" t="b">
        <f t="shared" si="291"/>
        <v>0</v>
      </c>
      <c r="AG175" s="89">
        <f>IF(AF175,INDEX('IG Equity Share'!$B:$B,MATCH(YEAR(I175),'IG Equity Share'!$A:$A,0)),0)</f>
        <v>0</v>
      </c>
      <c r="AH175" s="383">
        <f>AJ175*AG175*_xlfn.XLOOKUP(I175,'S3123 Consortium Share'!$A$3:$A$5,'S3123 Consortium Share'!$F$3:$F$5,,-1)</f>
        <v>0</v>
      </c>
      <c r="AI175" s="14">
        <v>1</v>
      </c>
      <c r="AJ175" s="13">
        <f t="shared" si="211"/>
        <v>0</v>
      </c>
      <c r="AK175" s="13">
        <f t="shared" si="212"/>
        <v>0</v>
      </c>
      <c r="AL175" s="13" t="str">
        <f t="shared" si="213"/>
        <v>FUL</v>
      </c>
      <c r="AM175" s="52">
        <f t="shared" si="214"/>
        <v>2023</v>
      </c>
      <c r="AN175" s="4" t="e">
        <f>INDEX('[2]Input Data'!$AH:$AH,MATCH(A175,'[2]Input Data'!$A:$A,0),1)-AH175</f>
        <v>#N/A</v>
      </c>
      <c r="AO175" s="13">
        <f t="shared" si="301"/>
        <v>0</v>
      </c>
      <c r="AP175" s="13">
        <f t="shared" si="301"/>
        <v>0</v>
      </c>
      <c r="AQ175" s="13">
        <f t="shared" si="301"/>
        <v>0</v>
      </c>
      <c r="AR175" s="13">
        <f t="shared" si="301"/>
        <v>0</v>
      </c>
      <c r="AS175" s="13">
        <f t="shared" si="301"/>
        <v>0</v>
      </c>
      <c r="AT175" s="13">
        <f t="shared" si="301"/>
        <v>0</v>
      </c>
      <c r="AU175" s="13">
        <f t="shared" si="301"/>
        <v>0</v>
      </c>
      <c r="AV175" s="13">
        <f t="shared" si="241"/>
        <v>0</v>
      </c>
      <c r="AW175" s="13"/>
      <c r="AX175" s="13"/>
      <c r="AY175" s="13">
        <f t="shared" si="242"/>
        <v>0</v>
      </c>
      <c r="AZ175" s="13">
        <f t="shared" si="292"/>
        <v>0</v>
      </c>
      <c r="BA175" s="74"/>
      <c r="BB175" s="25">
        <f t="shared" si="293"/>
        <v>0</v>
      </c>
      <c r="BC175" s="13">
        <f t="shared" si="294"/>
        <v>0</v>
      </c>
      <c r="BD175" s="13" t="b">
        <f>AND(AF175,NOT(ISNUMBER(MATCH(G175,Table1[Excluded Spacecraft ID],0))))</f>
        <v>0</v>
      </c>
      <c r="BE175" s="13">
        <f>BD175*AK175*_xlfn.XLOOKUP(I175,Table2[Date From],Table2[Cession],"Error",-1)*_xlfn.XLOOKUP(I175,'S3123 Consortium Share'!$A$3:$A$5,'S3123 Consortium Share'!$F$3:$F$5,,-1)</f>
        <v>0</v>
      </c>
      <c r="BF175" s="13">
        <f t="shared" si="295"/>
        <v>0</v>
      </c>
      <c r="BG175" s="89" cm="1">
        <f t="array" ref="BG175">IF(V175="FIBL",0,INDEX('IGR QS'!$A$1:$D$570,MATCH('Input Data'!V175&amp;'Input Data'!W175&amp;'Input Data'!AM175,'IGR QS'!A:A&amp;'IGR QS'!B:B&amp;'IGR QS'!C:C,0),4))</f>
        <v>0.5</v>
      </c>
      <c r="BH175" s="13">
        <f t="shared" si="296"/>
        <v>0</v>
      </c>
      <c r="BI175" s="13">
        <f t="shared" si="297"/>
        <v>0</v>
      </c>
      <c r="BJ175" s="13">
        <f t="shared" si="215"/>
        <v>0</v>
      </c>
      <c r="BK175" s="13">
        <f t="shared" si="298"/>
        <v>0</v>
      </c>
      <c r="BL175" s="13">
        <f t="shared" si="299"/>
        <v>0</v>
      </c>
      <c r="BM175" s="21"/>
      <c r="BN175" s="13">
        <f t="shared" si="216"/>
        <v>0</v>
      </c>
      <c r="BO175" s="13">
        <f t="shared" si="217"/>
        <v>0</v>
      </c>
      <c r="BP175" s="13">
        <f t="shared" si="218"/>
        <v>0</v>
      </c>
      <c r="BQ175" s="13">
        <f t="shared" si="219"/>
        <v>0</v>
      </c>
      <c r="BR175" s="13">
        <f t="shared" si="220"/>
        <v>0</v>
      </c>
      <c r="BT175" s="13">
        <f t="shared" si="221"/>
        <v>0</v>
      </c>
      <c r="BU175" s="13">
        <f t="shared" si="222"/>
        <v>0</v>
      </c>
      <c r="BV175" s="13">
        <f t="shared" si="223"/>
        <v>0</v>
      </c>
      <c r="BW175" s="13">
        <f t="shared" si="224"/>
        <v>0</v>
      </c>
      <c r="BX175" s="13"/>
      <c r="BY175" s="25">
        <f t="shared" si="225"/>
        <v>0</v>
      </c>
      <c r="BZ175" s="25">
        <f t="shared" si="226"/>
        <v>0</v>
      </c>
      <c r="CA175" s="25">
        <f t="shared" si="227"/>
        <v>0</v>
      </c>
      <c r="CB175" s="25">
        <f t="shared" si="228"/>
        <v>0</v>
      </c>
      <c r="CC175" s="25">
        <f t="shared" si="229"/>
        <v>0</v>
      </c>
      <c r="CD175" s="384">
        <f t="shared" si="230"/>
        <v>0</v>
      </c>
      <c r="CR175" s="25">
        <f t="shared" si="231"/>
        <v>0</v>
      </c>
      <c r="CS175" s="25">
        <f t="shared" si="287"/>
        <v>0</v>
      </c>
      <c r="CT175" s="25">
        <f t="shared" si="287"/>
        <v>0</v>
      </c>
      <c r="CU175" s="25">
        <f t="shared" si="232"/>
        <v>0</v>
      </c>
      <c r="CV175" s="25">
        <f t="shared" si="233"/>
        <v>0</v>
      </c>
      <c r="CW175" s="25">
        <f t="shared" si="234"/>
        <v>0</v>
      </c>
      <c r="CY175" s="25">
        <f t="shared" si="235"/>
        <v>0</v>
      </c>
      <c r="CZ175" s="25">
        <f t="shared" si="236"/>
        <v>0</v>
      </c>
      <c r="DA175" s="25">
        <f t="shared" si="260"/>
        <v>0</v>
      </c>
      <c r="DB175" s="25">
        <f t="shared" si="237"/>
        <v>0</v>
      </c>
      <c r="DC175" s="25">
        <f t="shared" si="238"/>
        <v>0</v>
      </c>
      <c r="DD175" s="25">
        <f t="shared" si="239"/>
        <v>0</v>
      </c>
    </row>
    <row r="176" spans="1:108" x14ac:dyDescent="0.35">
      <c r="A176" s="282" t="str">
        <f t="shared" si="208"/>
        <v>301630_388561</v>
      </c>
      <c r="B176" s="282">
        <v>301630</v>
      </c>
      <c r="C176" s="362">
        <v>388561</v>
      </c>
      <c r="D176" s="319" t="str">
        <f>IFERROR(MATCH(C176,'[4]Custom Earning Pattern Not Popu'!$B$5:$B$428,0),"NA")</f>
        <v>NA</v>
      </c>
      <c r="E176" s="303" t="s">
        <v>13</v>
      </c>
      <c r="F176" s="303" t="s">
        <v>13</v>
      </c>
      <c r="G176" s="303" t="s">
        <v>13</v>
      </c>
      <c r="H176" s="306" t="s">
        <v>13</v>
      </c>
      <c r="I176" s="306">
        <v>45291</v>
      </c>
      <c r="J176" s="306">
        <v>46386</v>
      </c>
      <c r="K176" s="303" t="s">
        <v>13</v>
      </c>
      <c r="L176" s="306">
        <v>45291</v>
      </c>
      <c r="M176" s="306">
        <v>46386</v>
      </c>
      <c r="N176" s="303" t="s">
        <v>13</v>
      </c>
      <c r="O176" s="303" t="s">
        <v>13</v>
      </c>
      <c r="P176" s="148">
        <f t="shared" si="288"/>
        <v>0.4</v>
      </c>
      <c r="Q176" s="282">
        <v>1</v>
      </c>
      <c r="R176" s="282">
        <v>0</v>
      </c>
      <c r="S176" s="282" t="str">
        <f t="shared" si="289"/>
        <v>NULL</v>
      </c>
      <c r="T176" s="282" t="s">
        <v>13</v>
      </c>
      <c r="U176" s="303" t="s">
        <v>561</v>
      </c>
      <c r="V176" s="303" t="s">
        <v>29</v>
      </c>
      <c r="W176" s="303" t="s">
        <v>80</v>
      </c>
      <c r="X176" s="303" t="s">
        <v>13</v>
      </c>
      <c r="Y176" s="303" t="s">
        <v>13</v>
      </c>
      <c r="Z176" s="303" t="s">
        <v>13</v>
      </c>
      <c r="AA176" s="334">
        <f t="shared" si="300"/>
        <v>0</v>
      </c>
      <c r="AC176" s="289">
        <f t="shared" si="290"/>
        <v>0</v>
      </c>
      <c r="AD176" s="88" cm="1">
        <f t="array" ref="AD176">IF(AC176=0,0,INDEX(Summary!$S$4:$S$7,MATCH(AC176,Summary!$R$4:$R$7)+1))</f>
        <v>0</v>
      </c>
      <c r="AE176" s="88">
        <f>IFERROR(INDEX(Summary!$Y$4:$Y$6,MATCH('Input Data'!K176,Summary!$U$4:$U$6,0)),0)</f>
        <v>0</v>
      </c>
      <c r="AF176" s="88" t="b">
        <f t="shared" si="291"/>
        <v>0</v>
      </c>
      <c r="AG176" s="89">
        <f>IF(AF176,INDEX('IG Equity Share'!$B:$B,MATCH(YEAR(I176),'IG Equity Share'!$A:$A,0)),0)</f>
        <v>0</v>
      </c>
      <c r="AH176" s="383">
        <f>AJ176*AG176*_xlfn.XLOOKUP(I176,'S3123 Consortium Share'!$A$3:$A$5,'S3123 Consortium Share'!$F$3:$F$5,,-1)</f>
        <v>0</v>
      </c>
      <c r="AI176" s="14">
        <v>1</v>
      </c>
      <c r="AJ176" s="13">
        <f t="shared" si="211"/>
        <v>0</v>
      </c>
      <c r="AK176" s="13">
        <f t="shared" si="212"/>
        <v>0</v>
      </c>
      <c r="AL176" s="13" t="str">
        <f t="shared" si="213"/>
        <v>FUL</v>
      </c>
      <c r="AM176" s="52">
        <f t="shared" si="214"/>
        <v>2023</v>
      </c>
      <c r="AN176" s="4" t="e">
        <f>INDEX('[2]Input Data'!$AH:$AH,MATCH(A176,'[2]Input Data'!$A:$A,0),1)-AH176</f>
        <v>#N/A</v>
      </c>
      <c r="AO176" s="13">
        <f t="shared" si="301"/>
        <v>0</v>
      </c>
      <c r="AP176" s="13">
        <f t="shared" si="301"/>
        <v>0</v>
      </c>
      <c r="AQ176" s="13">
        <f t="shared" si="301"/>
        <v>0</v>
      </c>
      <c r="AR176" s="13">
        <f t="shared" si="301"/>
        <v>0</v>
      </c>
      <c r="AS176" s="13">
        <f t="shared" si="301"/>
        <v>0</v>
      </c>
      <c r="AT176" s="13">
        <f t="shared" si="301"/>
        <v>0</v>
      </c>
      <c r="AU176" s="13">
        <f t="shared" si="301"/>
        <v>0</v>
      </c>
      <c r="AV176" s="13">
        <f t="shared" si="241"/>
        <v>0</v>
      </c>
      <c r="AW176" s="13"/>
      <c r="AX176" s="13"/>
      <c r="AY176" s="13">
        <f t="shared" si="242"/>
        <v>0</v>
      </c>
      <c r="AZ176" s="13">
        <f t="shared" si="292"/>
        <v>0</v>
      </c>
      <c r="BA176" s="74"/>
      <c r="BB176" s="25">
        <f t="shared" si="293"/>
        <v>0</v>
      </c>
      <c r="BC176" s="13">
        <f t="shared" si="294"/>
        <v>0</v>
      </c>
      <c r="BD176" s="13" t="b">
        <f>AND(AF176,NOT(ISNUMBER(MATCH(G176,Table1[Excluded Spacecraft ID],0))))</f>
        <v>0</v>
      </c>
      <c r="BE176" s="13">
        <f>BD176*AK176*_xlfn.XLOOKUP(I176,Table2[Date From],Table2[Cession],"Error",-1)*_xlfn.XLOOKUP(I176,'S3123 Consortium Share'!$A$3:$A$5,'S3123 Consortium Share'!$F$3:$F$5,,-1)</f>
        <v>0</v>
      </c>
      <c r="BF176" s="13">
        <f t="shared" si="295"/>
        <v>0</v>
      </c>
      <c r="BG176" s="89" cm="1">
        <f t="array" ref="BG176">IF(V176="FIBL",0,INDEX('IGR QS'!$A$1:$D$570,MATCH('Input Data'!V176&amp;'Input Data'!W176&amp;'Input Data'!AM176,'IGR QS'!A:A&amp;'IGR QS'!B:B&amp;'IGR QS'!C:C,0),4))</f>
        <v>0.5</v>
      </c>
      <c r="BH176" s="13">
        <f t="shared" si="296"/>
        <v>0</v>
      </c>
      <c r="BI176" s="13">
        <f t="shared" si="297"/>
        <v>0</v>
      </c>
      <c r="BJ176" s="13">
        <f t="shared" si="215"/>
        <v>0</v>
      </c>
      <c r="BK176" s="13">
        <f t="shared" si="298"/>
        <v>0</v>
      </c>
      <c r="BL176" s="13">
        <f t="shared" si="299"/>
        <v>0</v>
      </c>
      <c r="BM176" s="21"/>
      <c r="BN176" s="13">
        <f t="shared" si="216"/>
        <v>0</v>
      </c>
      <c r="BO176" s="13">
        <f t="shared" si="217"/>
        <v>0</v>
      </c>
      <c r="BP176" s="13">
        <f t="shared" si="218"/>
        <v>0</v>
      </c>
      <c r="BQ176" s="13">
        <f t="shared" si="219"/>
        <v>0</v>
      </c>
      <c r="BR176" s="13">
        <f t="shared" si="220"/>
        <v>0</v>
      </c>
      <c r="BT176" s="13">
        <f t="shared" si="221"/>
        <v>0</v>
      </c>
      <c r="BU176" s="13">
        <f t="shared" si="222"/>
        <v>0</v>
      </c>
      <c r="BV176" s="13">
        <f t="shared" si="223"/>
        <v>0</v>
      </c>
      <c r="BW176" s="13">
        <f t="shared" si="224"/>
        <v>0</v>
      </c>
      <c r="BX176" s="13"/>
      <c r="BY176" s="25">
        <f t="shared" si="225"/>
        <v>0</v>
      </c>
      <c r="BZ176" s="25">
        <f t="shared" si="226"/>
        <v>0</v>
      </c>
      <c r="CA176" s="25">
        <f t="shared" si="227"/>
        <v>0</v>
      </c>
      <c r="CB176" s="25">
        <f t="shared" si="228"/>
        <v>0</v>
      </c>
      <c r="CC176" s="25">
        <f t="shared" si="229"/>
        <v>0</v>
      </c>
      <c r="CD176" s="384">
        <f t="shared" si="230"/>
        <v>0</v>
      </c>
      <c r="CR176" s="25">
        <f t="shared" si="231"/>
        <v>0</v>
      </c>
      <c r="CS176" s="25">
        <f t="shared" si="287"/>
        <v>0</v>
      </c>
      <c r="CT176" s="25">
        <f t="shared" si="287"/>
        <v>0</v>
      </c>
      <c r="CU176" s="25">
        <f t="shared" si="232"/>
        <v>0</v>
      </c>
      <c r="CV176" s="25">
        <f t="shared" si="233"/>
        <v>0</v>
      </c>
      <c r="CW176" s="25">
        <f t="shared" si="234"/>
        <v>0</v>
      </c>
      <c r="CY176" s="25">
        <f t="shared" si="235"/>
        <v>0</v>
      </c>
      <c r="CZ176" s="25">
        <f t="shared" si="236"/>
        <v>0</v>
      </c>
      <c r="DA176" s="25">
        <f t="shared" si="260"/>
        <v>0</v>
      </c>
      <c r="DB176" s="25">
        <f t="shared" si="237"/>
        <v>0</v>
      </c>
      <c r="DC176" s="25">
        <f t="shared" si="238"/>
        <v>0</v>
      </c>
      <c r="DD176" s="25">
        <f t="shared" si="239"/>
        <v>0</v>
      </c>
    </row>
    <row r="177" spans="1:108" x14ac:dyDescent="0.35">
      <c r="A177" s="282" t="str">
        <f t="shared" si="208"/>
        <v>301630_388562</v>
      </c>
      <c r="B177" s="282">
        <v>301630</v>
      </c>
      <c r="C177" s="362">
        <v>388562</v>
      </c>
      <c r="D177" s="319" t="str">
        <f>IFERROR(MATCH(C177,'[4]Custom Earning Pattern Not Popu'!$B$5:$B$428,0),"NA")</f>
        <v>NA</v>
      </c>
      <c r="E177" s="303" t="s">
        <v>13</v>
      </c>
      <c r="F177" s="303" t="s">
        <v>13</v>
      </c>
      <c r="G177" s="303" t="s">
        <v>13</v>
      </c>
      <c r="H177" s="306" t="s">
        <v>13</v>
      </c>
      <c r="I177" s="306">
        <v>45291</v>
      </c>
      <c r="J177" s="306">
        <v>46386</v>
      </c>
      <c r="K177" s="303" t="s">
        <v>13</v>
      </c>
      <c r="L177" s="306">
        <v>45291</v>
      </c>
      <c r="M177" s="306">
        <v>46386</v>
      </c>
      <c r="N177" s="303" t="s">
        <v>13</v>
      </c>
      <c r="O177" s="303" t="s">
        <v>13</v>
      </c>
      <c r="P177" s="148">
        <f t="shared" si="288"/>
        <v>0.4</v>
      </c>
      <c r="Q177" s="282">
        <v>1</v>
      </c>
      <c r="R177" s="282">
        <v>0</v>
      </c>
      <c r="S177" s="282" t="str">
        <f t="shared" si="289"/>
        <v>NULL</v>
      </c>
      <c r="T177" s="282" t="s">
        <v>13</v>
      </c>
      <c r="U177" s="303" t="s">
        <v>561</v>
      </c>
      <c r="V177" s="303" t="s">
        <v>29</v>
      </c>
      <c r="W177" s="303" t="s">
        <v>80</v>
      </c>
      <c r="X177" s="303" t="s">
        <v>13</v>
      </c>
      <c r="Y177" s="303" t="s">
        <v>13</v>
      </c>
      <c r="Z177" s="303" t="s">
        <v>13</v>
      </c>
      <c r="AA177" s="334">
        <f t="shared" si="300"/>
        <v>0</v>
      </c>
      <c r="AC177" s="289">
        <f t="shared" si="290"/>
        <v>0</v>
      </c>
      <c r="AD177" s="88" cm="1">
        <f t="array" ref="AD177">IF(AC177=0,0,INDEX(Summary!$S$4:$S$7,MATCH(AC177,Summary!$R$4:$R$7)+1))</f>
        <v>0</v>
      </c>
      <c r="AE177" s="88">
        <f>IFERROR(INDEX(Summary!$Y$4:$Y$6,MATCH('Input Data'!K177,Summary!$U$4:$U$6,0)),0)</f>
        <v>0</v>
      </c>
      <c r="AF177" s="88" t="b">
        <f t="shared" si="291"/>
        <v>0</v>
      </c>
      <c r="AG177" s="89">
        <f>IF(AF177,INDEX('IG Equity Share'!$B:$B,MATCH(YEAR(I177),'IG Equity Share'!$A:$A,0)),0)</f>
        <v>0</v>
      </c>
      <c r="AH177" s="383">
        <f>AJ177*AG177*_xlfn.XLOOKUP(I177,'S3123 Consortium Share'!$A$3:$A$5,'S3123 Consortium Share'!$F$3:$F$5,,-1)</f>
        <v>0</v>
      </c>
      <c r="AI177" s="14">
        <v>1</v>
      </c>
      <c r="AJ177" s="13">
        <f t="shared" si="211"/>
        <v>0</v>
      </c>
      <c r="AK177" s="13">
        <f t="shared" si="212"/>
        <v>0</v>
      </c>
      <c r="AL177" s="13" t="str">
        <f t="shared" si="213"/>
        <v>FUL</v>
      </c>
      <c r="AM177" s="52">
        <f t="shared" si="214"/>
        <v>2023</v>
      </c>
      <c r="AN177" s="4" t="e">
        <f>INDEX('[2]Input Data'!$AH:$AH,MATCH(A177,'[2]Input Data'!$A:$A,0),1)-AH177</f>
        <v>#N/A</v>
      </c>
      <c r="AO177" s="13">
        <f t="shared" si="301"/>
        <v>0</v>
      </c>
      <c r="AP177" s="13">
        <f t="shared" si="301"/>
        <v>0</v>
      </c>
      <c r="AQ177" s="13">
        <f t="shared" si="301"/>
        <v>0</v>
      </c>
      <c r="AR177" s="13">
        <f t="shared" si="301"/>
        <v>0</v>
      </c>
      <c r="AS177" s="13">
        <f t="shared" si="301"/>
        <v>0</v>
      </c>
      <c r="AT177" s="13">
        <f t="shared" si="301"/>
        <v>0</v>
      </c>
      <c r="AU177" s="13">
        <f t="shared" si="301"/>
        <v>0</v>
      </c>
      <c r="AV177" s="13">
        <f t="shared" si="241"/>
        <v>0</v>
      </c>
      <c r="AW177" s="13"/>
      <c r="AX177" s="13"/>
      <c r="AY177" s="13">
        <f t="shared" si="242"/>
        <v>0</v>
      </c>
      <c r="AZ177" s="13">
        <f t="shared" si="292"/>
        <v>0</v>
      </c>
      <c r="BA177" s="74"/>
      <c r="BB177" s="25">
        <f t="shared" si="293"/>
        <v>0</v>
      </c>
      <c r="BC177" s="13">
        <f t="shared" si="294"/>
        <v>0</v>
      </c>
      <c r="BD177" s="13" t="b">
        <f>AND(AF177,NOT(ISNUMBER(MATCH(G177,Table1[Excluded Spacecraft ID],0))))</f>
        <v>0</v>
      </c>
      <c r="BE177" s="13">
        <f>BD177*AK177*_xlfn.XLOOKUP(I177,Table2[Date From],Table2[Cession],"Error",-1)*_xlfn.XLOOKUP(I177,'S3123 Consortium Share'!$A$3:$A$5,'S3123 Consortium Share'!$F$3:$F$5,,-1)</f>
        <v>0</v>
      </c>
      <c r="BF177" s="13">
        <f t="shared" si="295"/>
        <v>0</v>
      </c>
      <c r="BG177" s="89" cm="1">
        <f t="array" ref="BG177">IF(V177="FIBL",0,INDEX('IGR QS'!$A$1:$D$570,MATCH('Input Data'!V177&amp;'Input Data'!W177&amp;'Input Data'!AM177,'IGR QS'!A:A&amp;'IGR QS'!B:B&amp;'IGR QS'!C:C,0),4))</f>
        <v>0.5</v>
      </c>
      <c r="BH177" s="13">
        <f t="shared" si="296"/>
        <v>0</v>
      </c>
      <c r="BI177" s="13">
        <f t="shared" si="297"/>
        <v>0</v>
      </c>
      <c r="BJ177" s="13">
        <f t="shared" si="215"/>
        <v>0</v>
      </c>
      <c r="BK177" s="13">
        <f t="shared" si="298"/>
        <v>0</v>
      </c>
      <c r="BL177" s="13">
        <f t="shared" si="299"/>
        <v>0</v>
      </c>
      <c r="BM177" s="21"/>
      <c r="BN177" s="13">
        <f t="shared" si="216"/>
        <v>0</v>
      </c>
      <c r="BO177" s="13">
        <f t="shared" si="217"/>
        <v>0</v>
      </c>
      <c r="BP177" s="13">
        <f t="shared" si="218"/>
        <v>0</v>
      </c>
      <c r="BQ177" s="13">
        <f t="shared" si="219"/>
        <v>0</v>
      </c>
      <c r="BR177" s="13">
        <f t="shared" si="220"/>
        <v>0</v>
      </c>
      <c r="BT177" s="13">
        <f t="shared" si="221"/>
        <v>0</v>
      </c>
      <c r="BU177" s="13">
        <f t="shared" si="222"/>
        <v>0</v>
      </c>
      <c r="BV177" s="13">
        <f t="shared" si="223"/>
        <v>0</v>
      </c>
      <c r="BW177" s="13">
        <f t="shared" si="224"/>
        <v>0</v>
      </c>
      <c r="BX177" s="13"/>
      <c r="BY177" s="25">
        <f t="shared" si="225"/>
        <v>0</v>
      </c>
      <c r="BZ177" s="25">
        <f t="shared" si="226"/>
        <v>0</v>
      </c>
      <c r="CA177" s="25">
        <f t="shared" si="227"/>
        <v>0</v>
      </c>
      <c r="CB177" s="25">
        <f t="shared" si="228"/>
        <v>0</v>
      </c>
      <c r="CC177" s="25">
        <f t="shared" si="229"/>
        <v>0</v>
      </c>
      <c r="CD177" s="384">
        <f t="shared" si="230"/>
        <v>0</v>
      </c>
      <c r="CR177" s="25">
        <f t="shared" si="231"/>
        <v>0</v>
      </c>
      <c r="CS177" s="25">
        <f t="shared" si="287"/>
        <v>0</v>
      </c>
      <c r="CT177" s="25">
        <f t="shared" si="287"/>
        <v>0</v>
      </c>
      <c r="CU177" s="25">
        <f t="shared" si="232"/>
        <v>0</v>
      </c>
      <c r="CV177" s="25">
        <f t="shared" si="233"/>
        <v>0</v>
      </c>
      <c r="CW177" s="25">
        <f t="shared" si="234"/>
        <v>0</v>
      </c>
      <c r="CY177" s="25">
        <f t="shared" si="235"/>
        <v>0</v>
      </c>
      <c r="CZ177" s="25">
        <f t="shared" si="236"/>
        <v>0</v>
      </c>
      <c r="DA177" s="25">
        <f t="shared" si="260"/>
        <v>0</v>
      </c>
      <c r="DB177" s="25">
        <f t="shared" si="237"/>
        <v>0</v>
      </c>
      <c r="DC177" s="25">
        <f t="shared" si="238"/>
        <v>0</v>
      </c>
      <c r="DD177" s="25">
        <f t="shared" si="239"/>
        <v>0</v>
      </c>
    </row>
    <row r="178" spans="1:108" x14ac:dyDescent="0.35">
      <c r="A178" s="335" t="str">
        <f t="shared" si="208"/>
        <v>333725_444258</v>
      </c>
      <c r="B178" s="303">
        <v>333725</v>
      </c>
      <c r="C178" s="371">
        <v>444258</v>
      </c>
      <c r="D178" s="319">
        <f>IFERROR(MATCH(C178,'[4]Custom Earning Pattern Not Popu'!$B$5:$B$428,0),"NA")</f>
        <v>321</v>
      </c>
      <c r="E178" s="303" t="s">
        <v>13</v>
      </c>
      <c r="F178" s="303" t="s">
        <v>13</v>
      </c>
      <c r="G178" s="303" t="s">
        <v>13</v>
      </c>
      <c r="H178" s="306" t="s">
        <v>13</v>
      </c>
      <c r="I178" s="306">
        <v>46023</v>
      </c>
      <c r="J178" s="306">
        <v>46387</v>
      </c>
      <c r="K178" s="303" t="s">
        <v>13</v>
      </c>
      <c r="L178" s="306">
        <v>46023</v>
      </c>
      <c r="M178" s="306">
        <v>46387</v>
      </c>
      <c r="N178" s="303" t="s">
        <v>13</v>
      </c>
      <c r="O178" s="303" t="s">
        <v>13</v>
      </c>
      <c r="P178" s="148">
        <f t="shared" si="288"/>
        <v>0.4</v>
      </c>
      <c r="Q178" s="282">
        <v>1</v>
      </c>
      <c r="R178" s="282">
        <v>0</v>
      </c>
      <c r="S178" s="282" t="str">
        <f t="shared" si="289"/>
        <v>NULL</v>
      </c>
      <c r="T178" s="282" t="s">
        <v>13</v>
      </c>
      <c r="U178" s="318" t="s">
        <v>560</v>
      </c>
      <c r="V178" s="303" t="s">
        <v>29</v>
      </c>
      <c r="W178" s="303" t="s">
        <v>80</v>
      </c>
      <c r="X178" s="303" t="s">
        <v>13</v>
      </c>
      <c r="Y178" s="303" t="s">
        <v>13</v>
      </c>
      <c r="Z178" s="303" t="s">
        <v>13</v>
      </c>
      <c r="AA178" s="334">
        <f>29999985*0</f>
        <v>0</v>
      </c>
      <c r="AC178" s="289">
        <f t="shared" si="290"/>
        <v>0</v>
      </c>
      <c r="AD178" s="88" cm="1">
        <f t="array" ref="AD178">IF(AC178=0,0,INDEX(Summary!$S$4:$S$7,MATCH(AC178,Summary!$R$4:$R$7)+1))</f>
        <v>0</v>
      </c>
      <c r="AE178" s="88">
        <f>IFERROR(INDEX(Summary!$Y$4:$Y$6,MATCH('Input Data'!K178,Summary!$U$4:$U$6,0)),0)</f>
        <v>0</v>
      </c>
      <c r="AF178" s="88" t="b">
        <f t="shared" si="291"/>
        <v>1</v>
      </c>
      <c r="AG178" s="89">
        <f>IF(AF178,INDEX('IG Equity Share'!$B:$B,MATCH(YEAR(I178),'IG Equity Share'!$A:$A,0)),0)</f>
        <v>7.4999999999999997E-2</v>
      </c>
      <c r="AH178" s="383">
        <f>AJ178*AG178*_xlfn.XLOOKUP(I178,'S3123 Consortium Share'!$A$3:$A$5,'S3123 Consortium Share'!$F$3:$F$5,,-1)</f>
        <v>0</v>
      </c>
      <c r="AI178" s="14">
        <v>1</v>
      </c>
      <c r="AJ178" s="13">
        <f t="shared" si="211"/>
        <v>0</v>
      </c>
      <c r="AK178" s="13">
        <f t="shared" si="212"/>
        <v>0</v>
      </c>
      <c r="AL178" s="13" t="str">
        <f t="shared" si="213"/>
        <v>FUL</v>
      </c>
      <c r="AM178" s="52">
        <f t="shared" si="214"/>
        <v>2026</v>
      </c>
      <c r="AN178" s="4" t="e">
        <f>INDEX('[2]Input Data'!$AH:$AH,MATCH(A178,'[2]Input Data'!$A:$A,0),1)-AH178</f>
        <v>#N/A</v>
      </c>
      <c r="AO178" s="13">
        <f t="shared" si="301"/>
        <v>0</v>
      </c>
      <c r="AP178" s="13">
        <f t="shared" si="301"/>
        <v>0</v>
      </c>
      <c r="AQ178" s="13">
        <f t="shared" si="301"/>
        <v>0</v>
      </c>
      <c r="AR178" s="13">
        <f t="shared" si="301"/>
        <v>0</v>
      </c>
      <c r="AS178" s="13">
        <f t="shared" si="301"/>
        <v>0</v>
      </c>
      <c r="AT178" s="13">
        <f t="shared" si="301"/>
        <v>0</v>
      </c>
      <c r="AU178" s="13">
        <f t="shared" si="301"/>
        <v>0</v>
      </c>
      <c r="AV178" s="13">
        <f t="shared" si="241"/>
        <v>0</v>
      </c>
      <c r="AW178" s="13"/>
      <c r="AX178" s="13"/>
      <c r="AY178" s="13">
        <f t="shared" si="242"/>
        <v>0</v>
      </c>
      <c r="AZ178" s="13">
        <f t="shared" si="292"/>
        <v>0</v>
      </c>
      <c r="BA178" s="74"/>
      <c r="BB178" s="25">
        <f t="shared" si="293"/>
        <v>0</v>
      </c>
      <c r="BC178" s="13">
        <f t="shared" si="294"/>
        <v>0</v>
      </c>
      <c r="BD178" s="13" t="b">
        <f>AND(AF178,NOT(ISNUMBER(MATCH(G178,Table1[Excluded Spacecraft ID],0))))</f>
        <v>1</v>
      </c>
      <c r="BE178" s="13">
        <f>BD178*AK178*_xlfn.XLOOKUP(I178,Table2[Date From],Table2[Cession],"Error",-1)*_xlfn.XLOOKUP(I178,'S3123 Consortium Share'!$A$3:$A$5,'S3123 Consortium Share'!$F$3:$F$5,,-1)</f>
        <v>0</v>
      </c>
      <c r="BF178" s="13">
        <f t="shared" si="295"/>
        <v>0</v>
      </c>
      <c r="BG178" s="89" cm="1">
        <f t="array" ref="BG178">IF(V178="FIBL",0,INDEX('IGR QS'!$A$1:$D$570,MATCH('Input Data'!V178&amp;'Input Data'!W178&amp;'Input Data'!AM178,'IGR QS'!A:A&amp;'IGR QS'!B:B&amp;'IGR QS'!C:C,0),4))</f>
        <v>0.5</v>
      </c>
      <c r="BH178" s="13">
        <f t="shared" si="296"/>
        <v>0</v>
      </c>
      <c r="BI178" s="13">
        <f t="shared" si="297"/>
        <v>0</v>
      </c>
      <c r="BJ178" s="13">
        <f t="shared" si="215"/>
        <v>0</v>
      </c>
      <c r="BK178" s="13">
        <f t="shared" si="298"/>
        <v>0</v>
      </c>
      <c r="BL178" s="13">
        <f t="shared" si="299"/>
        <v>0</v>
      </c>
      <c r="BM178" s="21"/>
      <c r="BN178" s="13">
        <f t="shared" si="216"/>
        <v>0</v>
      </c>
      <c r="BO178" s="13">
        <f t="shared" si="217"/>
        <v>0</v>
      </c>
      <c r="BP178" s="13">
        <f t="shared" si="218"/>
        <v>0</v>
      </c>
      <c r="BQ178" s="13">
        <f t="shared" si="219"/>
        <v>0</v>
      </c>
      <c r="BR178" s="13">
        <f t="shared" si="220"/>
        <v>0</v>
      </c>
      <c r="BT178" s="13">
        <f t="shared" si="221"/>
        <v>0</v>
      </c>
      <c r="BU178" s="13">
        <f t="shared" si="222"/>
        <v>0</v>
      </c>
      <c r="BV178" s="13">
        <f t="shared" si="223"/>
        <v>0</v>
      </c>
      <c r="BW178" s="13">
        <f t="shared" si="224"/>
        <v>0</v>
      </c>
      <c r="BX178" s="13"/>
      <c r="BY178" s="25">
        <f t="shared" si="225"/>
        <v>0</v>
      </c>
      <c r="BZ178" s="25">
        <f t="shared" si="226"/>
        <v>0</v>
      </c>
      <c r="CA178" s="25">
        <f t="shared" si="227"/>
        <v>0</v>
      </c>
      <c r="CB178" s="25">
        <f t="shared" si="228"/>
        <v>0</v>
      </c>
      <c r="CC178" s="25">
        <f t="shared" si="229"/>
        <v>0</v>
      </c>
      <c r="CD178" s="384">
        <f t="shared" si="230"/>
        <v>0</v>
      </c>
      <c r="CR178" s="25">
        <f t="shared" si="231"/>
        <v>0</v>
      </c>
      <c r="CS178" s="25">
        <f t="shared" si="287"/>
        <v>0</v>
      </c>
      <c r="CT178" s="25">
        <f t="shared" si="287"/>
        <v>0</v>
      </c>
      <c r="CU178" s="25">
        <f t="shared" si="232"/>
        <v>0</v>
      </c>
      <c r="CV178" s="25">
        <f t="shared" si="233"/>
        <v>0</v>
      </c>
      <c r="CW178" s="25">
        <f t="shared" si="234"/>
        <v>0</v>
      </c>
      <c r="CY178" s="25">
        <f t="shared" si="235"/>
        <v>0</v>
      </c>
      <c r="CZ178" s="25">
        <f t="shared" si="236"/>
        <v>0</v>
      </c>
      <c r="DA178" s="25">
        <f t="shared" si="260"/>
        <v>0</v>
      </c>
      <c r="DB178" s="25">
        <f t="shared" si="237"/>
        <v>0</v>
      </c>
      <c r="DC178" s="25">
        <f t="shared" si="238"/>
        <v>0</v>
      </c>
      <c r="DD178" s="25">
        <f t="shared" si="239"/>
        <v>0</v>
      </c>
    </row>
    <row r="179" spans="1:108" x14ac:dyDescent="0.35">
      <c r="A179" s="282" t="str">
        <f t="shared" si="208"/>
        <v>366569_505191</v>
      </c>
      <c r="B179" s="303">
        <v>366569</v>
      </c>
      <c r="C179" s="303">
        <v>505191</v>
      </c>
      <c r="D179" s="319">
        <f>IFERROR(MATCH(C179,'[4]Custom Earning Pattern Not Popu'!$B$5:$B$428,0),"NA")</f>
        <v>389</v>
      </c>
      <c r="E179" s="303" t="s">
        <v>229</v>
      </c>
      <c r="F179" s="303">
        <v>12</v>
      </c>
      <c r="G179" s="303">
        <v>37380</v>
      </c>
      <c r="H179" s="306">
        <v>46037</v>
      </c>
      <c r="I179" s="306">
        <v>46022</v>
      </c>
      <c r="J179" s="306">
        <v>46752</v>
      </c>
      <c r="K179" s="303" t="s">
        <v>16</v>
      </c>
      <c r="L179" s="306">
        <v>46037</v>
      </c>
      <c r="M179" s="306">
        <v>46402</v>
      </c>
      <c r="N179" s="303" t="s">
        <v>519</v>
      </c>
      <c r="O179" s="303" t="s">
        <v>242</v>
      </c>
      <c r="P179" s="148">
        <f t="shared" si="288"/>
        <v>0.4</v>
      </c>
      <c r="Q179" s="282">
        <v>1</v>
      </c>
      <c r="R179" s="282">
        <v>0</v>
      </c>
      <c r="S179" s="282" t="str">
        <f t="shared" si="289"/>
        <v>L + 12 Months</v>
      </c>
      <c r="T179" s="282" t="s">
        <v>13</v>
      </c>
      <c r="U179" s="303" t="s">
        <v>562</v>
      </c>
      <c r="V179" s="303" t="s">
        <v>33</v>
      </c>
      <c r="W179" s="303" t="s">
        <v>80</v>
      </c>
      <c r="X179" s="303" t="s">
        <v>566</v>
      </c>
      <c r="Y179" s="303" t="s">
        <v>385</v>
      </c>
      <c r="Z179" s="303" t="s">
        <v>344</v>
      </c>
      <c r="AA179" s="308">
        <v>4999968</v>
      </c>
      <c r="AC179" s="289">
        <f t="shared" si="290"/>
        <v>10</v>
      </c>
      <c r="AD179" s="88" cm="1">
        <f t="array" ref="AD179">IF(AC179=0,0,INDEX(Summary!$S$4:$S$7,MATCH(AC179,Summary!$R$4:$R$7)+1))</f>
        <v>0.6</v>
      </c>
      <c r="AE179" s="88">
        <f>IFERROR(INDEX(Summary!$Y$4:$Y$6,MATCH('Input Data'!K179,Summary!$U$4:$U$6,0)),0)</f>
        <v>0.4</v>
      </c>
      <c r="AF179" s="88" t="b">
        <f t="shared" si="291"/>
        <v>1</v>
      </c>
      <c r="AG179" s="89">
        <f>IF(AF179,INDEX('IG Equity Share'!$B:$B,MATCH(YEAR(I179),'IG Equity Share'!$A:$A,0)),0)</f>
        <v>7.4999999999999997E-2</v>
      </c>
      <c r="AH179" s="383">
        <f>AJ179*AG179*_xlfn.XLOOKUP(I179,'S3123 Consortium Share'!$A$3:$A$5,'S3123 Consortium Share'!$F$3:$F$5,,-1)</f>
        <v>156249</v>
      </c>
      <c r="AI179" s="14">
        <v>1</v>
      </c>
      <c r="AJ179" s="13">
        <f t="shared" si="211"/>
        <v>4999968</v>
      </c>
      <c r="AK179" s="13">
        <f t="shared" si="212"/>
        <v>4999968</v>
      </c>
      <c r="AL179" s="13" t="str">
        <f t="shared" si="213"/>
        <v>FIBL</v>
      </c>
      <c r="AM179" s="52">
        <f t="shared" si="214"/>
        <v>2025</v>
      </c>
      <c r="AN179" s="4" t="e">
        <f>INDEX('[2]Input Data'!$AH:$AH,MATCH(A179,'[2]Input Data'!$A:$A,0),1)-AH179</f>
        <v>#N/A</v>
      </c>
      <c r="AO179" s="13">
        <f t="shared" si="301"/>
        <v>0</v>
      </c>
      <c r="AP179" s="13">
        <f t="shared" si="301"/>
        <v>0</v>
      </c>
      <c r="AQ179" s="13">
        <f t="shared" si="301"/>
        <v>0</v>
      </c>
      <c r="AR179" s="13">
        <f t="shared" si="301"/>
        <v>0</v>
      </c>
      <c r="AS179" s="13">
        <f t="shared" si="301"/>
        <v>0</v>
      </c>
      <c r="AT179" s="13">
        <f t="shared" si="301"/>
        <v>0</v>
      </c>
      <c r="AU179" s="13">
        <f t="shared" si="301"/>
        <v>999993.60000000009</v>
      </c>
      <c r="AV179" s="13">
        <f t="shared" si="241"/>
        <v>0</v>
      </c>
      <c r="AW179" s="13"/>
      <c r="AX179" s="13"/>
      <c r="AY179" s="13">
        <f t="shared" si="242"/>
        <v>999993.60000000009</v>
      </c>
      <c r="AZ179" s="13">
        <f t="shared" si="292"/>
        <v>0</v>
      </c>
      <c r="BA179" s="74"/>
      <c r="BB179" s="25">
        <f t="shared" si="293"/>
        <v>3999974.4</v>
      </c>
      <c r="BC179" s="13">
        <f t="shared" si="294"/>
        <v>0</v>
      </c>
      <c r="BD179" s="13" t="b">
        <f>AND(AF179,NOT(ISNUMBER(MATCH(G179,Table1[Excluded Spacecraft ID],0))))</f>
        <v>1</v>
      </c>
      <c r="BE179" s="13">
        <f>BD179*AK179*_xlfn.XLOOKUP(I179,Table2[Date From],Table2[Cession],"Error",-1)*_xlfn.XLOOKUP(I179,'S3123 Consortium Share'!$A$3:$A$5,'S3123 Consortium Share'!$F$3:$F$5,,-1)</f>
        <v>416664.00000000006</v>
      </c>
      <c r="BF179" s="13">
        <f t="shared" si="295"/>
        <v>3999974.4</v>
      </c>
      <c r="BG179" s="89" cm="1">
        <f t="array" ref="BG179">IF(V179="FIBL",0,INDEX('IGR QS'!$A$1:$D$570,MATCH('Input Data'!V179&amp;'Input Data'!W179&amp;'Input Data'!AM179,'IGR QS'!A:A&amp;'IGR QS'!B:B&amp;'IGR QS'!C:C,0),4))</f>
        <v>0</v>
      </c>
      <c r="BH179" s="13">
        <f t="shared" si="296"/>
        <v>0</v>
      </c>
      <c r="BI179" s="13">
        <f t="shared" si="297"/>
        <v>3999974.4</v>
      </c>
      <c r="BJ179" s="13">
        <f t="shared" si="215"/>
        <v>0</v>
      </c>
      <c r="BK179" s="13">
        <f t="shared" si="298"/>
        <v>0</v>
      </c>
      <c r="BL179" s="13">
        <f t="shared" si="299"/>
        <v>3999974.4</v>
      </c>
      <c r="BM179" s="21"/>
      <c r="BN179" s="13">
        <f t="shared" si="216"/>
        <v>16659733</v>
      </c>
      <c r="BO179" s="13">
        <f t="shared" si="217"/>
        <v>8659793.8000000007</v>
      </c>
      <c r="BP179" s="13">
        <f t="shared" si="218"/>
        <v>0</v>
      </c>
      <c r="BQ179" s="13">
        <f t="shared" si="219"/>
        <v>8659793.8000000007</v>
      </c>
      <c r="BR179" s="13">
        <f t="shared" si="220"/>
        <v>6329881.7000000002</v>
      </c>
      <c r="BT179" s="13">
        <f t="shared" si="221"/>
        <v>3999974.4</v>
      </c>
      <c r="BU179" s="13">
        <f t="shared" si="222"/>
        <v>3999974.4</v>
      </c>
      <c r="BV179" s="13">
        <f t="shared" si="223"/>
        <v>0</v>
      </c>
      <c r="BW179" s="13">
        <f t="shared" si="224"/>
        <v>999993.60000000009</v>
      </c>
      <c r="BX179" s="13"/>
      <c r="BY179" s="25">
        <f t="shared" si="225"/>
        <v>0</v>
      </c>
      <c r="BZ179" s="25">
        <f t="shared" si="226"/>
        <v>0</v>
      </c>
      <c r="CA179" s="25">
        <f t="shared" si="227"/>
        <v>0</v>
      </c>
      <c r="CB179" s="25">
        <f t="shared" si="228"/>
        <v>0</v>
      </c>
      <c r="CC179" s="25">
        <f t="shared" si="229"/>
        <v>0</v>
      </c>
      <c r="CD179" s="384">
        <f t="shared" si="230"/>
        <v>0</v>
      </c>
      <c r="CR179" s="25">
        <f t="shared" si="231"/>
        <v>0</v>
      </c>
      <c r="CS179" s="25">
        <f t="shared" si="287"/>
        <v>0</v>
      </c>
      <c r="CT179" s="25">
        <f t="shared" si="287"/>
        <v>0</v>
      </c>
      <c r="CU179" s="25">
        <f t="shared" si="232"/>
        <v>0</v>
      </c>
      <c r="CV179" s="25">
        <f t="shared" si="233"/>
        <v>0</v>
      </c>
      <c r="CW179" s="25">
        <f t="shared" si="234"/>
        <v>0</v>
      </c>
      <c r="CY179" s="25">
        <f t="shared" si="235"/>
        <v>0</v>
      </c>
      <c r="CZ179" s="25">
        <f t="shared" si="236"/>
        <v>0</v>
      </c>
      <c r="DA179" s="25">
        <f t="shared" si="260"/>
        <v>0</v>
      </c>
      <c r="DB179" s="25">
        <f t="shared" si="237"/>
        <v>0</v>
      </c>
      <c r="DC179" s="25">
        <f t="shared" si="238"/>
        <v>0</v>
      </c>
      <c r="DD179" s="25">
        <f t="shared" si="239"/>
        <v>0</v>
      </c>
    </row>
    <row r="180" spans="1:108" x14ac:dyDescent="0.35">
      <c r="A180" s="282" t="str">
        <f t="shared" si="208"/>
        <v>366569_505195</v>
      </c>
      <c r="B180" s="303">
        <v>366569</v>
      </c>
      <c r="C180" s="303">
        <v>505195</v>
      </c>
      <c r="D180" s="319">
        <f>IFERROR(MATCH(C180,'[4]Custom Earning Pattern Not Popu'!$B$5:$B$428,0),"NA")</f>
        <v>390</v>
      </c>
      <c r="E180" s="303" t="s">
        <v>229</v>
      </c>
      <c r="F180" s="303">
        <v>12</v>
      </c>
      <c r="G180" s="303">
        <v>37381</v>
      </c>
      <c r="H180" s="305">
        <v>46053</v>
      </c>
      <c r="I180" s="306">
        <v>46022</v>
      </c>
      <c r="J180" s="306">
        <v>46752</v>
      </c>
      <c r="K180" s="303" t="s">
        <v>16</v>
      </c>
      <c r="L180" s="306">
        <v>46053</v>
      </c>
      <c r="M180" s="305">
        <v>46418</v>
      </c>
      <c r="N180" s="303" t="s">
        <v>519</v>
      </c>
      <c r="O180" s="303" t="s">
        <v>242</v>
      </c>
      <c r="P180" s="148">
        <f t="shared" si="288"/>
        <v>0.4</v>
      </c>
      <c r="Q180" s="282">
        <v>1</v>
      </c>
      <c r="R180" s="282">
        <v>0</v>
      </c>
      <c r="S180" s="282" t="str">
        <f t="shared" si="289"/>
        <v>L + 12 Months</v>
      </c>
      <c r="T180" s="282" t="s">
        <v>13</v>
      </c>
      <c r="U180" s="303" t="s">
        <v>562</v>
      </c>
      <c r="V180" s="303" t="s">
        <v>33</v>
      </c>
      <c r="W180" s="303" t="s">
        <v>80</v>
      </c>
      <c r="X180" s="303" t="s">
        <v>567</v>
      </c>
      <c r="Y180" s="303" t="s">
        <v>568</v>
      </c>
      <c r="Z180" s="303" t="s">
        <v>344</v>
      </c>
      <c r="AA180" s="308">
        <v>4999956</v>
      </c>
      <c r="AB180" s="348"/>
      <c r="AC180" s="289">
        <f t="shared" si="290"/>
        <v>10</v>
      </c>
      <c r="AD180" s="88" cm="1">
        <f t="array" ref="AD180">IF(AC180=0,0,INDEX(Summary!$S$4:$S$7,MATCH(AC180,Summary!$R$4:$R$7)+1))</f>
        <v>0.6</v>
      </c>
      <c r="AE180" s="88">
        <f>IFERROR(INDEX(Summary!$Y$4:$Y$6,MATCH('Input Data'!K180,Summary!$U$4:$U$6,0)),0)</f>
        <v>0.4</v>
      </c>
      <c r="AF180" s="88" t="b">
        <f t="shared" si="291"/>
        <v>1</v>
      </c>
      <c r="AG180" s="89">
        <f>IF(AF180,INDEX('IG Equity Share'!$B:$B,MATCH(YEAR(I180),'IG Equity Share'!$A:$A,0)),0)</f>
        <v>7.4999999999999997E-2</v>
      </c>
      <c r="AH180" s="383">
        <f>AJ180*AG180*_xlfn.XLOOKUP(I180,'S3123 Consortium Share'!$A$3:$A$5,'S3123 Consortium Share'!$F$3:$F$5,,-1)</f>
        <v>156248.625</v>
      </c>
      <c r="AI180" s="14">
        <v>1</v>
      </c>
      <c r="AJ180" s="13">
        <f t="shared" ref="AJ180:AJ188" si="302">AA180</f>
        <v>4999956</v>
      </c>
      <c r="AK180" s="13">
        <f t="shared" ref="AK180:AK188" si="303">AJ180/AI180*Q180</f>
        <v>4999956</v>
      </c>
      <c r="AL180" s="13" t="str">
        <f t="shared" ref="AL180:AL188" si="304">V180</f>
        <v>FIBL</v>
      </c>
      <c r="AM180" s="52">
        <f t="shared" ref="AM180:AM188" si="305">YEAR(I180)</f>
        <v>2025</v>
      </c>
      <c r="AN180" s="4" t="e">
        <f>INDEX('[2]Input Data'!$AH:$AH,MATCH(A180,'[2]Input Data'!$A:$A,0),1)-AH180</f>
        <v>#N/A</v>
      </c>
      <c r="AO180" s="13">
        <f t="shared" ref="AO180:AU188" si="306">+IF(AND($I180&lt;=AO$8,$I180&gt;=AO$7),$AK180*AO$11,0)</f>
        <v>0</v>
      </c>
      <c r="AP180" s="13">
        <f t="shared" si="306"/>
        <v>0</v>
      </c>
      <c r="AQ180" s="13">
        <f t="shared" si="306"/>
        <v>0</v>
      </c>
      <c r="AR180" s="13">
        <f t="shared" si="306"/>
        <v>0</v>
      </c>
      <c r="AS180" s="13">
        <f t="shared" si="306"/>
        <v>0</v>
      </c>
      <c r="AT180" s="13">
        <f t="shared" si="306"/>
        <v>0</v>
      </c>
      <c r="AU180" s="13">
        <f t="shared" si="306"/>
        <v>999991.20000000007</v>
      </c>
      <c r="AV180" s="13">
        <f t="shared" si="241"/>
        <v>0</v>
      </c>
      <c r="AW180" s="13"/>
      <c r="AX180" s="13"/>
      <c r="AY180" s="13">
        <f t="shared" si="242"/>
        <v>999991.20000000007</v>
      </c>
      <c r="AZ180" s="13">
        <f t="shared" si="292"/>
        <v>0</v>
      </c>
      <c r="BA180" s="74"/>
      <c r="BB180" s="25">
        <f t="shared" si="293"/>
        <v>3999964.8</v>
      </c>
      <c r="BC180" s="13">
        <f t="shared" si="294"/>
        <v>0</v>
      </c>
      <c r="BD180" s="13" t="b">
        <f>AND(AF180,NOT(ISNUMBER(MATCH(G180,Table1[Excluded Spacecraft ID],0))))</f>
        <v>1</v>
      </c>
      <c r="BE180" s="13">
        <f>BD180*AK180*_xlfn.XLOOKUP(I180,Table2[Date From],Table2[Cession],"Error",-1)*_xlfn.XLOOKUP(I180,'S3123 Consortium Share'!$A$3:$A$5,'S3123 Consortium Share'!$F$3:$F$5,,-1)</f>
        <v>416663.00000000006</v>
      </c>
      <c r="BF180" s="13">
        <f t="shared" si="295"/>
        <v>3999964.8</v>
      </c>
      <c r="BG180" s="89" cm="1">
        <f t="array" ref="BG180">IF(V180="FIBL",0,INDEX('IGR QS'!$A$1:$D$570,MATCH('Input Data'!V180&amp;'Input Data'!W180&amp;'Input Data'!AM180,'IGR QS'!A:A&amp;'IGR QS'!B:B&amp;'IGR QS'!C:C,0),4))</f>
        <v>0</v>
      </c>
      <c r="BH180" s="13">
        <f t="shared" si="296"/>
        <v>0</v>
      </c>
      <c r="BI180" s="13">
        <f t="shared" si="297"/>
        <v>3999964.8</v>
      </c>
      <c r="BJ180" s="13">
        <f t="shared" ref="BJ180:BJ188" si="307">IF(AND(V180=FIID,(BI180&gt;FIID_Deductible)),MIN(BI180-FIID_Deductible,FIID_Limit),IF(AND(V180=FUL,(BI180&gt;FUL_Deductible)),MIN(BI180-FUL_Deductible,FUL_Limit),0))</f>
        <v>0</v>
      </c>
      <c r="BK180" s="13">
        <f t="shared" si="298"/>
        <v>0</v>
      </c>
      <c r="BL180" s="13">
        <f t="shared" si="299"/>
        <v>3999964.8</v>
      </c>
      <c r="BM180" s="21"/>
      <c r="BN180" s="13">
        <f t="shared" ref="BN180:BN188" si="308">SUMIFS($BL:$BL,$N:$N,$N180,$Q:$Q,1)</f>
        <v>16659733</v>
      </c>
      <c r="BO180" s="13">
        <f t="shared" ref="BO180:BO188" si="309">SUMIFS($BL:$BL,$N:$N,$N180,$Q:$Q,1,$AL:$AL,$BO$18)</f>
        <v>8659793.8000000007</v>
      </c>
      <c r="BP180" s="13">
        <f t="shared" ref="BP180:BP188" si="310">SUMIFS($BL:$BL,$N:$N,$N180,$V:$V,BP$18)</f>
        <v>0</v>
      </c>
      <c r="BQ180" s="13">
        <f t="shared" ref="BQ180:BQ188" si="311">SUMIFS($BK:$BK,$N:$N,$N180)</f>
        <v>8659793.8000000007</v>
      </c>
      <c r="BR180" s="13">
        <f t="shared" ref="BR180:BR188" si="312">SUMIFS($AY:$AY,$N:$N,$N180)</f>
        <v>6329881.7000000002</v>
      </c>
      <c r="BT180" s="13">
        <f t="shared" ref="BT180:BT188" si="313">SUMIFS($BF:$BF,$C:$C,$C180)</f>
        <v>3999964.8</v>
      </c>
      <c r="BU180" s="13">
        <f t="shared" ref="BU180:BU188" si="314">SUMIFS($BL:$BL,$C:$C,$C180)</f>
        <v>3999964.8</v>
      </c>
      <c r="BV180" s="13">
        <f t="shared" ref="BV180:BV188" si="315">SUMIFS($BK:$BK,$C:$C,$C180)</f>
        <v>0</v>
      </c>
      <c r="BW180" s="13">
        <f t="shared" ref="BW180:BW188" si="316">SUMIFS($AY:$AY,$C:$C,$C180)</f>
        <v>999991.20000000007</v>
      </c>
      <c r="BX180" s="13"/>
      <c r="BY180" s="25">
        <f t="shared" ref="BY180:BY188" si="317">IF($K180="GEO-GSO",$AK180*Proton_Flare_InsLoss,0)*Q180</f>
        <v>0</v>
      </c>
      <c r="BZ180" s="25">
        <f t="shared" ref="BZ180:BZ188" si="318">IF(AND($K180="GEO-GSO",AL180="FUL"),$AK180*Proton_Flare_InsLoss,0)*$Q180</f>
        <v>0</v>
      </c>
      <c r="CA180" s="25">
        <f t="shared" ref="CA180:CA188" si="319">IF(AND($K180="GEO-GSO",AL180="FIID"),$AK180*Proton_Flare_InsLoss,0)*$Q180</f>
        <v>0</v>
      </c>
      <c r="CB180" s="25">
        <f t="shared" ref="CB180:CB188" si="320">IF(AND($K180="GEO-GSO",AL180="FIBL"),$AK180*Proton_Flare_InsLoss,0)*$Q180</f>
        <v>0</v>
      </c>
      <c r="CC180" s="25">
        <f t="shared" ref="CC180:CC188" si="321">IF($K180="GEO-GSO",(AK180*BG180-BJ180)*Proton_Flare_InsLoss,0)*Q180</f>
        <v>0</v>
      </c>
      <c r="CD180" s="384">
        <f t="shared" ref="CD180:CD188" si="322">IF($K180="GEO-GSO",$AK180*Proton_Flare_InsLoss,0)*$Q180*$R180*0.2</f>
        <v>0</v>
      </c>
      <c r="CR180" s="25">
        <f t="shared" ref="CR180:CR188" si="323">IF(OR($K180="GEO-GSO",$K180="MEO"),$AK180*Generic_Defect_Loss,0)*$Q180*$P180</f>
        <v>0</v>
      </c>
      <c r="CS180" s="25">
        <f t="shared" ref="CS180:CT188" si="324">IF(AND(OR($K180="GEO-GSO",$K180="MEO"),$AL180=CS$19),$AK180*Generic_Defect_Loss,0)*$Q180*$P180</f>
        <v>0</v>
      </c>
      <c r="CT180" s="25">
        <f t="shared" si="324"/>
        <v>0</v>
      </c>
      <c r="CU180" s="25">
        <f t="shared" ref="CU180:CU188" si="325">IF(AND(OR($K180="GEO-GSO",$K180="MEO"),$AL180="FIBL"),$AK180*Generic_Defect_Loss,0)*$Q180*$P180</f>
        <v>0</v>
      </c>
      <c r="CV180" s="25">
        <f t="shared" ref="CV180:CV188" si="326">IF(OR($K180="GEO-GSO",$K180="MEO"),($AK180*BG180-BJ180)*Generic_Defect_Loss,0)*$Q180*$P180</f>
        <v>0</v>
      </c>
      <c r="CW180" s="25">
        <f t="shared" ref="CW180:CW188" si="327">IF(OR($K180="GEO-GSO",$K180="MEO"),$AK180*Generic_Defect_Loss,0)*$Q180*$P180*$R180*0.2</f>
        <v>0</v>
      </c>
      <c r="CY180" s="25">
        <f t="shared" ref="CY180:CY188" si="328">IF(OR($K180="GEO-GSO",$K180="MEO"),$AK180*Space_Debris_Loss,0)*$Q180*$AE180</f>
        <v>0</v>
      </c>
      <c r="CZ180" s="25">
        <f t="shared" ref="CZ180:CZ188" si="329">IF(AND(OR($K180="GEO-GSO",$K180="MEO"),$AL180=CZ$19),$AK180*Space_Debris_Loss,0)*$Q180*$AE180</f>
        <v>0</v>
      </c>
      <c r="DA180" s="25">
        <f t="shared" si="260"/>
        <v>0</v>
      </c>
      <c r="DB180" s="25">
        <f t="shared" ref="DB180:DB188" si="330">IF(AND(OR($K180="GEO-GSO",$K180="MEO"),$AL180="FIBL"),$AK180*Space_Debris_Loss,0)*$Q180*$AE180</f>
        <v>0</v>
      </c>
      <c r="DC180" s="25">
        <f t="shared" ref="DC180:DC188" si="331">IF(OR($K180="GEO-GSO",$K180="MEO"),($AK180*BG180-BJ180)*Space_Debris_Loss,0)*$Q180*$AE180</f>
        <v>0</v>
      </c>
      <c r="DD180" s="25">
        <f t="shared" ref="DD180:DD188" si="332">IF(OR($K180="GEO-GSO",$K180="MEO"),$AK180*1,0)*$Q180*$AE180*$R180*0.2</f>
        <v>0</v>
      </c>
    </row>
    <row r="181" spans="1:108" x14ac:dyDescent="0.35">
      <c r="A181" s="365" t="str">
        <f t="shared" si="208"/>
        <v>271177_329405</v>
      </c>
      <c r="B181" s="3">
        <v>271177</v>
      </c>
      <c r="C181" s="3">
        <v>329405</v>
      </c>
      <c r="D181" s="319" t="str">
        <f>IFERROR(MATCH(C181,'[4]Custom Earning Pattern Not Popu'!$B$5:$B$428,0),"NA")</f>
        <v>NA</v>
      </c>
      <c r="E181" s="3" t="s">
        <v>347</v>
      </c>
      <c r="F181" s="337">
        <v>18</v>
      </c>
      <c r="G181" s="3">
        <v>17950</v>
      </c>
      <c r="H181" s="336">
        <v>45912</v>
      </c>
      <c r="I181" s="336">
        <v>44880</v>
      </c>
      <c r="J181" s="336">
        <v>45975</v>
      </c>
      <c r="K181" s="3" t="s">
        <v>113</v>
      </c>
      <c r="L181" s="336">
        <v>45912</v>
      </c>
      <c r="M181" s="338">
        <v>46458</v>
      </c>
      <c r="N181" s="3" t="s">
        <v>233</v>
      </c>
      <c r="O181" s="3" t="s">
        <v>233</v>
      </c>
      <c r="P181" s="363">
        <f>INDEX($P$10:$P$14,MATCH(DATEDIF($AC$15,M181,"M"),$O$10:$O$14,1))</f>
        <v>0.4</v>
      </c>
      <c r="Q181" s="3">
        <v>1</v>
      </c>
      <c r="R181" s="3">
        <v>0</v>
      </c>
      <c r="S181" s="3" t="s">
        <v>347</v>
      </c>
      <c r="T181" s="3" t="s">
        <v>13</v>
      </c>
      <c r="U181" s="3" t="s">
        <v>570</v>
      </c>
      <c r="V181" s="3" t="s">
        <v>29</v>
      </c>
      <c r="W181" s="3" t="s">
        <v>80</v>
      </c>
      <c r="X181" s="3" t="s">
        <v>571</v>
      </c>
      <c r="Y181" s="3" t="s">
        <v>326</v>
      </c>
      <c r="Z181" s="3" t="s">
        <v>338</v>
      </c>
      <c r="AA181" s="257">
        <v>27222223</v>
      </c>
      <c r="AC181" s="289">
        <f t="shared" ref="AC181:AC182" si="333">IF(IF(K181="LEO",ROUNDUP(((M181-$AC$15)/30.5),0)*Q181,0)&lt;0,0,IF(K181="LEO",ROUNDUP(((M181-$AC$15)/30.5),0)*Q181,0))</f>
        <v>0</v>
      </c>
      <c r="AD181" s="88" cm="1">
        <f t="array" ref="AD181">IF(AC181=0,0,INDEX(Summary!$S$4:$S$7,MATCH(AC181,Summary!$R$4:$R$7)+1))</f>
        <v>0</v>
      </c>
      <c r="AE181" s="88">
        <f>IFERROR(INDEX(Summary!$Y$4:$Y$6,MATCH('Input Data'!K181,Summary!$U$4:$U$6,0)),0)</f>
        <v>0.05</v>
      </c>
      <c r="AF181" s="88" t="b">
        <f t="shared" ref="AF181:AF182" si="334">IF(I181&gt;=DATE(2024,7,1),TRUE,FALSE)</f>
        <v>0</v>
      </c>
      <c r="AG181" s="89">
        <f>IF(AF181,INDEX('IG Equity Share'!$B:$B,MATCH(YEAR(I181),'IG Equity Share'!$A:$A,0)),0)</f>
        <v>0</v>
      </c>
      <c r="AH181" s="383">
        <f>AJ181*AG181*_xlfn.XLOOKUP(I181,'S3123 Consortium Share'!$A$3:$A$5,'S3123 Consortium Share'!$F$3:$F$5,,-1)</f>
        <v>0</v>
      </c>
      <c r="AI181" s="14">
        <v>1</v>
      </c>
      <c r="AJ181" s="13">
        <f t="shared" si="302"/>
        <v>27222223</v>
      </c>
      <c r="AK181" s="13">
        <f t="shared" si="303"/>
        <v>27222223</v>
      </c>
      <c r="AL181" s="13" t="str">
        <f t="shared" si="304"/>
        <v>FUL</v>
      </c>
      <c r="AM181" s="52">
        <f t="shared" si="305"/>
        <v>2022</v>
      </c>
      <c r="AN181" s="4"/>
      <c r="AO181" s="13">
        <f t="shared" si="306"/>
        <v>0</v>
      </c>
      <c r="AP181" s="13">
        <f t="shared" si="306"/>
        <v>0</v>
      </c>
      <c r="AQ181" s="13">
        <f t="shared" si="306"/>
        <v>0</v>
      </c>
      <c r="AR181" s="13">
        <f t="shared" si="306"/>
        <v>5444444.6000000006</v>
      </c>
      <c r="AS181" s="13">
        <f t="shared" si="306"/>
        <v>0</v>
      </c>
      <c r="AT181" s="13">
        <f t="shared" si="306"/>
        <v>0</v>
      </c>
      <c r="AU181" s="13">
        <f t="shared" si="306"/>
        <v>0</v>
      </c>
      <c r="AV181" s="13">
        <f t="shared" ref="AV181:AV188" si="335">+IF(AND($I181&lt;=AV$8,$I181&gt;=AV$7),$AK181*AV$11,0)</f>
        <v>0</v>
      </c>
      <c r="AW181" s="13"/>
      <c r="AX181" s="13"/>
      <c r="AY181" s="13">
        <f t="shared" si="242"/>
        <v>5444444.6000000006</v>
      </c>
      <c r="AZ181" s="13">
        <f t="shared" ref="AZ181:AZ182" si="336">+AO181+AP181</f>
        <v>0</v>
      </c>
      <c r="BA181" s="74"/>
      <c r="BB181" s="25">
        <f t="shared" ref="BB181:BB182" si="337">+AK181-AY181</f>
        <v>21777778.399999999</v>
      </c>
      <c r="BC181" s="13">
        <f t="shared" ref="BC181:BC182" si="338">SUM(AO181)</f>
        <v>0</v>
      </c>
      <c r="BD181" s="13" t="b">
        <f>AND(AF181,NOT(ISNUMBER(MATCH(G181,Table1[Excluded Spacecraft ID],0))))</f>
        <v>0</v>
      </c>
      <c r="BE181" s="13">
        <f>BD181*AK181*_xlfn.XLOOKUP(I181,Table2[Date From],Table2[Cession],"Error",-1)*_xlfn.XLOOKUP(I181,'S3123 Consortium Share'!$A$3:$A$5,'S3123 Consortium Share'!$F$3:$F$5,,-1)</f>
        <v>0</v>
      </c>
      <c r="BF181" s="13">
        <f t="shared" ref="BF181:BF182" si="339">+BB181-BC181</f>
        <v>21777778.399999999</v>
      </c>
      <c r="BG181" s="89" cm="1">
        <f t="array" ref="BG181">IF(V181="FIBL",0,INDEX('IGR QS'!$A$1:$D$570,MATCH('Input Data'!V181&amp;'Input Data'!W181&amp;'Input Data'!AM181,'IGR QS'!A:A&amp;'IGR QS'!B:B&amp;'IGR QS'!C:C,0),4))</f>
        <v>0.4</v>
      </c>
      <c r="BH181" s="13">
        <f t="shared" ref="BH181:BH182" si="340">+BF181*BG181</f>
        <v>8711111.3599999994</v>
      </c>
      <c r="BI181" s="13">
        <f t="shared" ref="BI181:BI182" si="341">+BF181-BH181</f>
        <v>13066667.039999999</v>
      </c>
      <c r="BJ181" s="13">
        <f t="shared" si="307"/>
        <v>0</v>
      </c>
      <c r="BK181" s="13">
        <f t="shared" ref="BK181:BK182" si="342">BH181+BJ181</f>
        <v>8711111.3599999994</v>
      </c>
      <c r="BL181" s="13">
        <f t="shared" ref="BL181:BL182" si="343">+BI181-BJ181</f>
        <v>13066667.039999999</v>
      </c>
      <c r="BM181" s="21"/>
      <c r="BN181" s="13">
        <f t="shared" si="308"/>
        <v>45548263.152736805</v>
      </c>
      <c r="BO181" s="13">
        <f t="shared" si="309"/>
        <v>44546986.968158349</v>
      </c>
      <c r="BP181" s="13">
        <f t="shared" si="310"/>
        <v>1001276.1845784616</v>
      </c>
      <c r="BQ181" s="13">
        <f t="shared" si="311"/>
        <v>44620885.187436298</v>
      </c>
      <c r="BR181" s="13">
        <f t="shared" si="312"/>
        <v>22542287.085043281</v>
      </c>
      <c r="BT181" s="13">
        <f t="shared" si="313"/>
        <v>21777778.399999999</v>
      </c>
      <c r="BU181" s="13">
        <f t="shared" si="314"/>
        <v>13066667.039999999</v>
      </c>
      <c r="BV181" s="13">
        <f t="shared" si="315"/>
        <v>8711111.3599999994</v>
      </c>
      <c r="BW181" s="13">
        <f t="shared" si="316"/>
        <v>5444444.6000000006</v>
      </c>
      <c r="BX181" s="13"/>
      <c r="BY181" s="25">
        <f t="shared" si="317"/>
        <v>1361111.1500000001</v>
      </c>
      <c r="BZ181" s="25">
        <f t="shared" si="318"/>
        <v>1361111.1500000001</v>
      </c>
      <c r="CA181" s="25">
        <f t="shared" si="319"/>
        <v>0</v>
      </c>
      <c r="CB181" s="25">
        <f t="shared" si="320"/>
        <v>0</v>
      </c>
      <c r="CC181" s="25">
        <f t="shared" si="321"/>
        <v>544444.46000000008</v>
      </c>
      <c r="CD181" s="384">
        <f t="shared" si="322"/>
        <v>0</v>
      </c>
      <c r="CR181" s="25">
        <f t="shared" si="323"/>
        <v>5444444.6000000006</v>
      </c>
      <c r="CS181" s="25">
        <f t="shared" si="324"/>
        <v>5444444.6000000006</v>
      </c>
      <c r="CT181" s="25">
        <f t="shared" si="324"/>
        <v>0</v>
      </c>
      <c r="CU181" s="25">
        <f t="shared" si="325"/>
        <v>0</v>
      </c>
      <c r="CV181" s="25">
        <f t="shared" si="326"/>
        <v>2177777.8400000003</v>
      </c>
      <c r="CW181" s="25">
        <f t="shared" si="327"/>
        <v>0</v>
      </c>
      <c r="CY181" s="25">
        <f t="shared" si="328"/>
        <v>1361111.1500000001</v>
      </c>
      <c r="CZ181" s="25">
        <f t="shared" si="329"/>
        <v>1361111.1500000001</v>
      </c>
      <c r="DA181" s="25">
        <f t="shared" si="260"/>
        <v>0</v>
      </c>
      <c r="DB181" s="25">
        <f t="shared" si="330"/>
        <v>0</v>
      </c>
      <c r="DC181" s="25">
        <f t="shared" si="331"/>
        <v>544444.46000000008</v>
      </c>
      <c r="DD181" s="25">
        <f t="shared" si="332"/>
        <v>0</v>
      </c>
    </row>
    <row r="182" spans="1:108" x14ac:dyDescent="0.35">
      <c r="A182" s="365" t="str">
        <f t="shared" si="208"/>
        <v>276734_338150</v>
      </c>
      <c r="B182" s="3">
        <v>276734</v>
      </c>
      <c r="C182" s="3">
        <v>338150</v>
      </c>
      <c r="D182" s="319" t="str">
        <f>IFERROR(MATCH(C182,'[4]Custom Earning Pattern Not Popu'!$B$5:$B$428,0),"NA")</f>
        <v>NA</v>
      </c>
      <c r="E182" s="3" t="s">
        <v>347</v>
      </c>
      <c r="F182" s="337">
        <v>18</v>
      </c>
      <c r="G182" s="3">
        <v>17950</v>
      </c>
      <c r="H182" s="336">
        <v>45912</v>
      </c>
      <c r="I182" s="336">
        <v>44880</v>
      </c>
      <c r="J182" s="336">
        <v>45976</v>
      </c>
      <c r="K182" s="3" t="s">
        <v>113</v>
      </c>
      <c r="L182" s="336">
        <v>45912</v>
      </c>
      <c r="M182" s="338">
        <v>46458</v>
      </c>
      <c r="N182" s="3" t="s">
        <v>233</v>
      </c>
      <c r="O182" s="3" t="s">
        <v>233</v>
      </c>
      <c r="P182" s="363">
        <f t="shared" ref="P182:P188" si="344">INDEX($P$10:$P$14,MATCH(DATEDIF($AC$15,M182,"M"),$O$10:$O$14,1))</f>
        <v>0.4</v>
      </c>
      <c r="Q182" s="3">
        <v>1</v>
      </c>
      <c r="R182" s="3">
        <v>0</v>
      </c>
      <c r="S182" s="3" t="s">
        <v>347</v>
      </c>
      <c r="T182" s="3" t="s">
        <v>13</v>
      </c>
      <c r="U182" s="3" t="s">
        <v>570</v>
      </c>
      <c r="V182" s="3" t="s">
        <v>29</v>
      </c>
      <c r="W182" s="3" t="s">
        <v>80</v>
      </c>
      <c r="X182" s="3" t="s">
        <v>571</v>
      </c>
      <c r="Y182" s="3" t="s">
        <v>326</v>
      </c>
      <c r="Z182" s="3" t="s">
        <v>338</v>
      </c>
      <c r="AA182" s="257">
        <v>7777778</v>
      </c>
      <c r="AC182" s="289">
        <f t="shared" si="333"/>
        <v>0</v>
      </c>
      <c r="AD182" s="88" cm="1">
        <f t="array" ref="AD182">IF(AC182=0,0,INDEX(Summary!$S$4:$S$7,MATCH(AC182,Summary!$R$4:$R$7)+1))</f>
        <v>0</v>
      </c>
      <c r="AE182" s="88">
        <f>IFERROR(INDEX(Summary!$Y$4:$Y$6,MATCH('Input Data'!K182,Summary!$U$4:$U$6,0)),0)</f>
        <v>0.05</v>
      </c>
      <c r="AF182" s="88" t="b">
        <f t="shared" si="334"/>
        <v>0</v>
      </c>
      <c r="AG182" s="89">
        <f>IF(AF182,INDEX('IG Equity Share'!$B:$B,MATCH(YEAR(I182),'IG Equity Share'!$A:$A,0)),0)</f>
        <v>0</v>
      </c>
      <c r="AH182" s="383">
        <f>AJ182*AG182*_xlfn.XLOOKUP(I182,'S3123 Consortium Share'!$A$3:$A$5,'S3123 Consortium Share'!$F$3:$F$5,,-1)</f>
        <v>0</v>
      </c>
      <c r="AI182" s="14">
        <v>1</v>
      </c>
      <c r="AJ182" s="13">
        <f t="shared" si="302"/>
        <v>7777778</v>
      </c>
      <c r="AK182" s="13">
        <f t="shared" si="303"/>
        <v>7777778</v>
      </c>
      <c r="AL182" s="13" t="str">
        <f t="shared" si="304"/>
        <v>FUL</v>
      </c>
      <c r="AM182" s="52">
        <f t="shared" si="305"/>
        <v>2022</v>
      </c>
      <c r="AN182" s="4"/>
      <c r="AO182" s="13">
        <f t="shared" si="306"/>
        <v>0</v>
      </c>
      <c r="AP182" s="13">
        <f t="shared" si="306"/>
        <v>0</v>
      </c>
      <c r="AQ182" s="13">
        <f t="shared" si="306"/>
        <v>0</v>
      </c>
      <c r="AR182" s="13">
        <f t="shared" si="306"/>
        <v>1555555.6</v>
      </c>
      <c r="AS182" s="13">
        <f t="shared" si="306"/>
        <v>0</v>
      </c>
      <c r="AT182" s="13">
        <f t="shared" si="306"/>
        <v>0</v>
      </c>
      <c r="AU182" s="13">
        <f t="shared" si="306"/>
        <v>0</v>
      </c>
      <c r="AV182" s="13">
        <f t="shared" si="335"/>
        <v>0</v>
      </c>
      <c r="AW182" s="13"/>
      <c r="AX182" s="13"/>
      <c r="AY182" s="13">
        <f t="shared" si="242"/>
        <v>1555555.6</v>
      </c>
      <c r="AZ182" s="13">
        <f t="shared" si="336"/>
        <v>0</v>
      </c>
      <c r="BA182" s="74"/>
      <c r="BB182" s="25">
        <f t="shared" si="337"/>
        <v>6222222.4000000004</v>
      </c>
      <c r="BC182" s="13">
        <f t="shared" si="338"/>
        <v>0</v>
      </c>
      <c r="BD182" s="13" t="b">
        <f>AND(AF182,NOT(ISNUMBER(MATCH(G182,Table1[Excluded Spacecraft ID],0))))</f>
        <v>0</v>
      </c>
      <c r="BE182" s="13">
        <f>BD182*AK182*_xlfn.XLOOKUP(I182,Table2[Date From],Table2[Cession],"Error",-1)*_xlfn.XLOOKUP(I182,'S3123 Consortium Share'!$A$3:$A$5,'S3123 Consortium Share'!$F$3:$F$5,,-1)</f>
        <v>0</v>
      </c>
      <c r="BF182" s="13">
        <f t="shared" si="339"/>
        <v>6222222.4000000004</v>
      </c>
      <c r="BG182" s="89" cm="1">
        <f t="array" ref="BG182">IF(V182="FIBL",0,INDEX('IGR QS'!$A$1:$D$570,MATCH('Input Data'!V182&amp;'Input Data'!W182&amp;'Input Data'!AM182,'IGR QS'!A:A&amp;'IGR QS'!B:B&amp;'IGR QS'!C:C,0),4))</f>
        <v>0.4</v>
      </c>
      <c r="BH182" s="13">
        <f t="shared" si="340"/>
        <v>2488888.9600000004</v>
      </c>
      <c r="BI182" s="13">
        <f t="shared" si="341"/>
        <v>3733333.44</v>
      </c>
      <c r="BJ182" s="13">
        <f t="shared" si="307"/>
        <v>0</v>
      </c>
      <c r="BK182" s="13">
        <f t="shared" si="342"/>
        <v>2488888.9600000004</v>
      </c>
      <c r="BL182" s="13">
        <f t="shared" si="343"/>
        <v>3733333.44</v>
      </c>
      <c r="BM182" s="21"/>
      <c r="BN182" s="13">
        <f t="shared" si="308"/>
        <v>45548263.152736805</v>
      </c>
      <c r="BO182" s="13">
        <f t="shared" si="309"/>
        <v>44546986.968158349</v>
      </c>
      <c r="BP182" s="13">
        <f t="shared" si="310"/>
        <v>1001276.1845784616</v>
      </c>
      <c r="BQ182" s="13">
        <f t="shared" si="311"/>
        <v>44620885.187436298</v>
      </c>
      <c r="BR182" s="13">
        <f t="shared" si="312"/>
        <v>22542287.085043281</v>
      </c>
      <c r="BT182" s="13">
        <f t="shared" si="313"/>
        <v>6222222.4000000004</v>
      </c>
      <c r="BU182" s="13">
        <f t="shared" si="314"/>
        <v>3733333.44</v>
      </c>
      <c r="BV182" s="13">
        <f t="shared" si="315"/>
        <v>2488888.9600000004</v>
      </c>
      <c r="BW182" s="13">
        <f t="shared" si="316"/>
        <v>1555555.6</v>
      </c>
      <c r="BX182" s="13"/>
      <c r="BY182" s="25">
        <f t="shared" si="317"/>
        <v>388888.9</v>
      </c>
      <c r="BZ182" s="25">
        <f t="shared" si="318"/>
        <v>388888.9</v>
      </c>
      <c r="CA182" s="25">
        <f t="shared" si="319"/>
        <v>0</v>
      </c>
      <c r="CB182" s="25">
        <f t="shared" si="320"/>
        <v>0</v>
      </c>
      <c r="CC182" s="25">
        <f t="shared" si="321"/>
        <v>155555.56000000003</v>
      </c>
      <c r="CD182" s="384">
        <f t="shared" si="322"/>
        <v>0</v>
      </c>
      <c r="CR182" s="25">
        <f t="shared" si="323"/>
        <v>1555555.6</v>
      </c>
      <c r="CS182" s="25">
        <f t="shared" si="324"/>
        <v>1555555.6</v>
      </c>
      <c r="CT182" s="25">
        <f t="shared" si="324"/>
        <v>0</v>
      </c>
      <c r="CU182" s="25">
        <f t="shared" si="325"/>
        <v>0</v>
      </c>
      <c r="CV182" s="25">
        <f t="shared" si="326"/>
        <v>622222.24000000011</v>
      </c>
      <c r="CW182" s="25">
        <f t="shared" si="327"/>
        <v>0</v>
      </c>
      <c r="CY182" s="25">
        <f t="shared" si="328"/>
        <v>388888.9</v>
      </c>
      <c r="CZ182" s="25">
        <f t="shared" si="329"/>
        <v>388888.9</v>
      </c>
      <c r="DA182" s="25">
        <f t="shared" si="260"/>
        <v>0</v>
      </c>
      <c r="DB182" s="25">
        <f t="shared" si="330"/>
        <v>0</v>
      </c>
      <c r="DC182" s="25">
        <f t="shared" si="331"/>
        <v>155555.56000000003</v>
      </c>
      <c r="DD182" s="25">
        <f t="shared" si="332"/>
        <v>0</v>
      </c>
    </row>
    <row r="183" spans="1:108" s="352" customFormat="1" x14ac:dyDescent="0.35">
      <c r="A183" s="352" t="str">
        <f t="shared" si="208"/>
        <v>349445_475172</v>
      </c>
      <c r="B183" s="352">
        <v>349445</v>
      </c>
      <c r="C183" s="370">
        <v>475172</v>
      </c>
      <c r="D183" s="319">
        <f>IFERROR(MATCH(C183,'[4]Custom Earning Pattern Not Popu'!$B$5:$B$428,0),"NA")</f>
        <v>116</v>
      </c>
      <c r="E183" s="352" t="s">
        <v>229</v>
      </c>
      <c r="F183" s="352">
        <v>12</v>
      </c>
      <c r="G183" s="352">
        <v>18829</v>
      </c>
      <c r="H183" s="353">
        <v>46111</v>
      </c>
      <c r="I183" s="353">
        <v>45945</v>
      </c>
      <c r="J183" s="353">
        <v>46674</v>
      </c>
      <c r="K183" s="352" t="s">
        <v>16</v>
      </c>
      <c r="L183" s="353">
        <v>46111</v>
      </c>
      <c r="M183" s="353">
        <v>46476</v>
      </c>
      <c r="N183" s="352" t="s">
        <v>235</v>
      </c>
      <c r="O183" s="352" t="s">
        <v>235</v>
      </c>
      <c r="P183" s="364">
        <f t="shared" si="344"/>
        <v>0.4</v>
      </c>
      <c r="Q183" s="354">
        <v>1</v>
      </c>
      <c r="R183" s="354">
        <v>0</v>
      </c>
      <c r="S183" s="354" t="str">
        <f t="shared" ref="S183:S188" si="345">E183</f>
        <v>L + 12 Months</v>
      </c>
      <c r="T183" s="354" t="s">
        <v>13</v>
      </c>
      <c r="U183" s="352" t="s">
        <v>574</v>
      </c>
      <c r="V183" s="352" t="s">
        <v>29</v>
      </c>
      <c r="W183" s="352" t="s">
        <v>80</v>
      </c>
      <c r="X183" s="352" t="s">
        <v>575</v>
      </c>
      <c r="Y183" s="352" t="s">
        <v>576</v>
      </c>
      <c r="Z183" s="352" t="s">
        <v>338</v>
      </c>
      <c r="AA183" s="355">
        <v>2477105.9531910801</v>
      </c>
      <c r="AC183" s="289">
        <f t="shared" ref="AC183:AC188" si="346">IF(IF(K183="LEO",ROUNDUP(((M183-$AC$15)/30.5),0)*Q183,0)&lt;0,0,IF(K183="LEO",ROUNDUP(((M183-$AC$15)/30.5),0)*Q183,0))</f>
        <v>12</v>
      </c>
      <c r="AD183" s="88" cm="1">
        <f t="array" ref="AD183">IF(AC183=0,0,INDEX(Summary!$S$4:$S$7,MATCH(AC183,Summary!$R$4:$R$7)+1))</f>
        <v>0.8</v>
      </c>
      <c r="AE183" s="88">
        <f>IFERROR(INDEX(Summary!$Y$4:$Y$6,MATCH('Input Data'!K183,Summary!$U$4:$U$6,0)),0)</f>
        <v>0.4</v>
      </c>
      <c r="AF183" s="88" t="b">
        <f t="shared" ref="AF183:AF188" si="347">IF(I183&gt;=DATE(2024,7,1),TRUE,FALSE)</f>
        <v>1</v>
      </c>
      <c r="AG183" s="89">
        <f>IF(AF183,INDEX('IG Equity Share'!$B:$B,MATCH(YEAR(I183),'IG Equity Share'!$A:$A,0)),0)</f>
        <v>7.4999999999999997E-2</v>
      </c>
      <c r="AH183" s="383">
        <f>AJ183*AG183*_xlfn.XLOOKUP(I183,'S3123 Consortium Share'!$A$3:$A$5,'S3123 Consortium Share'!$F$3:$F$5,,-1)</f>
        <v>77409.561037221254</v>
      </c>
      <c r="AI183" s="14">
        <v>1</v>
      </c>
      <c r="AJ183" s="13">
        <f t="shared" si="302"/>
        <v>2477105.9531910801</v>
      </c>
      <c r="AK183" s="13">
        <f t="shared" si="303"/>
        <v>2477105.9531910801</v>
      </c>
      <c r="AL183" s="13" t="str">
        <f t="shared" si="304"/>
        <v>FUL</v>
      </c>
      <c r="AM183" s="52">
        <f t="shared" si="305"/>
        <v>2025</v>
      </c>
      <c r="AN183" s="4" t="e">
        <f>INDEX('[2]Input Data'!$AH:$AH,MATCH(A183,'[2]Input Data'!$A:$A,0),1)-AH183</f>
        <v>#N/A</v>
      </c>
      <c r="AO183" s="13">
        <f t="shared" si="306"/>
        <v>0</v>
      </c>
      <c r="AP183" s="13">
        <f t="shared" si="306"/>
        <v>0</v>
      </c>
      <c r="AQ183" s="13">
        <f t="shared" si="306"/>
        <v>0</v>
      </c>
      <c r="AR183" s="13">
        <f t="shared" si="306"/>
        <v>0</v>
      </c>
      <c r="AS183" s="13">
        <f t="shared" si="306"/>
        <v>0</v>
      </c>
      <c r="AT183" s="13">
        <f t="shared" si="306"/>
        <v>0</v>
      </c>
      <c r="AU183" s="13">
        <f t="shared" si="306"/>
        <v>495421.19063821604</v>
      </c>
      <c r="AV183" s="13">
        <f t="shared" si="335"/>
        <v>0</v>
      </c>
      <c r="AW183" s="13"/>
      <c r="AX183" s="13"/>
      <c r="AY183" s="13">
        <f t="shared" si="242"/>
        <v>495421.19063821604</v>
      </c>
      <c r="AZ183" s="13">
        <f t="shared" ref="AZ183:AZ188" si="348">+AO183+AP183</f>
        <v>0</v>
      </c>
      <c r="BA183" s="74"/>
      <c r="BB183" s="25">
        <f t="shared" ref="BB183:BB188" si="349">+AK183-AY183</f>
        <v>1981684.7625528642</v>
      </c>
      <c r="BC183" s="13">
        <f t="shared" ref="BC183:BC188" si="350">SUM(AO183)</f>
        <v>0</v>
      </c>
      <c r="BD183" s="13" t="b">
        <f>AND(AF183,NOT(ISNUMBER(MATCH(G183,Table1[Excluded Spacecraft ID],0))))</f>
        <v>1</v>
      </c>
      <c r="BE183" s="13">
        <f>BD183*AK183*_xlfn.XLOOKUP(I183,Table2[Date From],Table2[Cession],"Error",-1)*_xlfn.XLOOKUP(I183,'S3123 Consortium Share'!$A$3:$A$5,'S3123 Consortium Share'!$F$3:$F$5,,-1)</f>
        <v>206425.49609925668</v>
      </c>
      <c r="BF183" s="13">
        <f t="shared" ref="BF183:BF188" si="351">+BB183-BC183</f>
        <v>1981684.7625528642</v>
      </c>
      <c r="BG183" s="89" cm="1">
        <f t="array" ref="BG183">IF(V183="FIBL",0,INDEX('IGR QS'!$A$1:$D$570,MATCH('Input Data'!V183&amp;'Input Data'!W183&amp;'Input Data'!AM183,'IGR QS'!A:A&amp;'IGR QS'!B:B&amp;'IGR QS'!C:C,0),4))</f>
        <v>0.5</v>
      </c>
      <c r="BH183" s="13">
        <f t="shared" ref="BH183:BH188" si="352">+BF183*BG183</f>
        <v>990842.38127643208</v>
      </c>
      <c r="BI183" s="13">
        <f t="shared" ref="BI183:BI188" si="353">+BF183-BH183</f>
        <v>990842.38127643208</v>
      </c>
      <c r="BJ183" s="13">
        <f t="shared" si="307"/>
        <v>0</v>
      </c>
      <c r="BK183" s="13">
        <f t="shared" ref="BK183:BK188" si="354">BH183+BJ183</f>
        <v>990842.38127643208</v>
      </c>
      <c r="BL183" s="13">
        <f t="shared" ref="BL183:BL188" si="355">+BI183-BJ183</f>
        <v>990842.38127643208</v>
      </c>
      <c r="BM183" s="21"/>
      <c r="BN183" s="13">
        <f t="shared" si="308"/>
        <v>2333534.4488404761</v>
      </c>
      <c r="BO183" s="13">
        <f t="shared" si="309"/>
        <v>990842.38127643208</v>
      </c>
      <c r="BP183" s="13">
        <f t="shared" si="310"/>
        <v>1342692.0675640441</v>
      </c>
      <c r="BQ183" s="13">
        <f t="shared" si="311"/>
        <v>8599430.7641393486</v>
      </c>
      <c r="BR183" s="13">
        <f t="shared" si="312"/>
        <v>2733241.3032449563</v>
      </c>
      <c r="BS183"/>
      <c r="BT183" s="13">
        <f t="shared" si="313"/>
        <v>1981684.7625528642</v>
      </c>
      <c r="BU183" s="13">
        <f t="shared" si="314"/>
        <v>990842.38127643208</v>
      </c>
      <c r="BV183" s="13">
        <f t="shared" si="315"/>
        <v>990842.38127643208</v>
      </c>
      <c r="BW183" s="13">
        <f t="shared" si="316"/>
        <v>495421.19063821604</v>
      </c>
      <c r="BX183" s="13"/>
      <c r="BY183" s="25">
        <f t="shared" si="317"/>
        <v>0</v>
      </c>
      <c r="BZ183" s="25">
        <f t="shared" si="318"/>
        <v>0</v>
      </c>
      <c r="CA183" s="25">
        <f t="shared" si="319"/>
        <v>0</v>
      </c>
      <c r="CB183" s="25">
        <f t="shared" si="320"/>
        <v>0</v>
      </c>
      <c r="CC183" s="25">
        <f t="shared" si="321"/>
        <v>0</v>
      </c>
      <c r="CD183" s="384">
        <f t="shared" si="322"/>
        <v>0</v>
      </c>
      <c r="CE183"/>
      <c r="CF183"/>
      <c r="CG183"/>
      <c r="CH183"/>
      <c r="CI183"/>
      <c r="CJ183"/>
      <c r="CK183"/>
      <c r="CL183"/>
      <c r="CM183"/>
      <c r="CN183"/>
      <c r="CO183"/>
      <c r="CP183"/>
      <c r="CQ183"/>
      <c r="CR183" s="25">
        <f t="shared" si="323"/>
        <v>0</v>
      </c>
      <c r="CS183" s="25">
        <f t="shared" si="324"/>
        <v>0</v>
      </c>
      <c r="CT183" s="25">
        <f t="shared" si="324"/>
        <v>0</v>
      </c>
      <c r="CU183" s="25">
        <f t="shared" si="325"/>
        <v>0</v>
      </c>
      <c r="CV183" s="25">
        <f t="shared" si="326"/>
        <v>0</v>
      </c>
      <c r="CW183" s="25">
        <f t="shared" si="327"/>
        <v>0</v>
      </c>
      <c r="CX183"/>
      <c r="CY183" s="25">
        <f t="shared" si="328"/>
        <v>0</v>
      </c>
      <c r="CZ183" s="25">
        <f t="shared" si="329"/>
        <v>0</v>
      </c>
      <c r="DA183" s="25">
        <f t="shared" si="260"/>
        <v>0</v>
      </c>
      <c r="DB183" s="25">
        <f t="shared" si="330"/>
        <v>0</v>
      </c>
      <c r="DC183" s="25">
        <f t="shared" si="331"/>
        <v>0</v>
      </c>
      <c r="DD183" s="25">
        <f t="shared" si="332"/>
        <v>0</v>
      </c>
    </row>
    <row r="184" spans="1:108" s="352" customFormat="1" x14ac:dyDescent="0.35">
      <c r="A184" s="352" t="str">
        <f t="shared" si="208"/>
        <v>373574_518936</v>
      </c>
      <c r="B184" s="352">
        <v>373574</v>
      </c>
      <c r="C184" s="352">
        <v>518936</v>
      </c>
      <c r="D184" s="319" t="str">
        <f>IFERROR(MATCH(C184,'[4]Custom Earning Pattern Not Popu'!$B$5:$B$428,0),"NA")</f>
        <v>NA</v>
      </c>
      <c r="E184" s="352" t="s">
        <v>228</v>
      </c>
      <c r="F184" s="352">
        <v>12</v>
      </c>
      <c r="G184" s="352">
        <v>8948</v>
      </c>
      <c r="H184" s="353">
        <v>41123</v>
      </c>
      <c r="I184" s="353">
        <v>46091</v>
      </c>
      <c r="J184" s="353">
        <v>46455</v>
      </c>
      <c r="K184" s="352" t="s">
        <v>113</v>
      </c>
      <c r="L184" s="353">
        <v>46091</v>
      </c>
      <c r="M184" s="353">
        <v>46455</v>
      </c>
      <c r="N184" s="352" t="s">
        <v>238</v>
      </c>
      <c r="O184" s="352" t="s">
        <v>238</v>
      </c>
      <c r="P184" s="364">
        <f t="shared" si="344"/>
        <v>0.4</v>
      </c>
      <c r="Q184" s="354">
        <v>1</v>
      </c>
      <c r="R184" s="354">
        <v>0</v>
      </c>
      <c r="S184" s="354" t="str">
        <f t="shared" si="345"/>
        <v>In-Orbit</v>
      </c>
      <c r="T184" s="354" t="s">
        <v>13</v>
      </c>
      <c r="U184" s="352" t="s">
        <v>577</v>
      </c>
      <c r="V184" s="352" t="s">
        <v>31</v>
      </c>
      <c r="W184" s="352" t="s">
        <v>78</v>
      </c>
      <c r="X184" s="352" t="s">
        <v>578</v>
      </c>
      <c r="Y184" s="352" t="s">
        <v>329</v>
      </c>
      <c r="Z184" s="352" t="s">
        <v>337</v>
      </c>
      <c r="AA184" s="355">
        <v>2352960</v>
      </c>
      <c r="AC184" s="289">
        <f t="shared" si="346"/>
        <v>0</v>
      </c>
      <c r="AD184" s="88" cm="1">
        <f t="array" ref="AD184">IF(AC184=0,0,INDEX(Summary!$S$4:$S$7,MATCH(AC184,Summary!$R$4:$R$7)+1))</f>
        <v>0</v>
      </c>
      <c r="AE184" s="88">
        <f>IFERROR(INDEX(Summary!$Y$4:$Y$6,MATCH('Input Data'!K184,Summary!$U$4:$U$6,0)),0)</f>
        <v>0.05</v>
      </c>
      <c r="AF184" s="88" t="b">
        <f t="shared" si="347"/>
        <v>1</v>
      </c>
      <c r="AG184" s="89">
        <f>IF(AF184,INDEX('IG Equity Share'!$B:$B,MATCH(YEAR(I184),'IG Equity Share'!$A:$A,0)),0)</f>
        <v>7.4999999999999997E-2</v>
      </c>
      <c r="AH184" s="383">
        <f>AJ184*AG184*_xlfn.XLOOKUP(I184,'S3123 Consortium Share'!$A$3:$A$5,'S3123 Consortium Share'!$F$3:$F$5,,-1)</f>
        <v>88236</v>
      </c>
      <c r="AI184" s="14">
        <v>1</v>
      </c>
      <c r="AJ184" s="13">
        <f t="shared" si="302"/>
        <v>2352960</v>
      </c>
      <c r="AK184" s="13">
        <f t="shared" si="303"/>
        <v>2352960</v>
      </c>
      <c r="AL184" s="13" t="str">
        <f t="shared" si="304"/>
        <v>FIID</v>
      </c>
      <c r="AM184" s="52">
        <f t="shared" si="305"/>
        <v>2026</v>
      </c>
      <c r="AN184" s="4"/>
      <c r="AO184" s="13">
        <f t="shared" si="306"/>
        <v>0</v>
      </c>
      <c r="AP184" s="13">
        <f t="shared" si="306"/>
        <v>0</v>
      </c>
      <c r="AQ184" s="13">
        <f t="shared" si="306"/>
        <v>0</v>
      </c>
      <c r="AR184" s="13">
        <f t="shared" si="306"/>
        <v>0</v>
      </c>
      <c r="AS184" s="13">
        <f t="shared" si="306"/>
        <v>0</v>
      </c>
      <c r="AT184" s="13">
        <f t="shared" si="306"/>
        <v>0</v>
      </c>
      <c r="AU184" s="13">
        <f t="shared" si="306"/>
        <v>0</v>
      </c>
      <c r="AV184" s="13">
        <f t="shared" si="335"/>
        <v>470592</v>
      </c>
      <c r="AW184" s="13"/>
      <c r="AX184" s="13"/>
      <c r="AY184" s="13">
        <f t="shared" si="242"/>
        <v>470592</v>
      </c>
      <c r="AZ184" s="13">
        <f t="shared" si="348"/>
        <v>0</v>
      </c>
      <c r="BA184" s="74"/>
      <c r="BB184" s="25">
        <f t="shared" si="349"/>
        <v>1882368</v>
      </c>
      <c r="BC184" s="13">
        <f t="shared" si="350"/>
        <v>0</v>
      </c>
      <c r="BD184" s="13" t="b">
        <f>AND(AF184,NOT(ISNUMBER(MATCH(G184,Table1[Excluded Spacecraft ID],0))))</f>
        <v>1</v>
      </c>
      <c r="BE184" s="13">
        <f>BD184*AK184*_xlfn.XLOOKUP(I184,Table2[Date From],Table2[Cession],"Error",-1)*_xlfn.XLOOKUP(I184,'S3123 Consortium Share'!$A$3:$A$5,'S3123 Consortium Share'!$F$3:$F$5,,-1)</f>
        <v>235296</v>
      </c>
      <c r="BF184" s="13">
        <f t="shared" si="351"/>
        <v>1882368</v>
      </c>
      <c r="BG184" s="89" cm="1">
        <f t="array" ref="BG184">IF(V184="FIBL",0,INDEX('IGR QS'!$A$1:$D$570,MATCH('Input Data'!V184&amp;'Input Data'!W184&amp;'Input Data'!AM184,'IGR QS'!A:A&amp;'IGR QS'!B:B&amp;'IGR QS'!C:C,0),4))</f>
        <v>0.85</v>
      </c>
      <c r="BH184" s="13">
        <f t="shared" si="352"/>
        <v>1600012.8</v>
      </c>
      <c r="BI184" s="13">
        <f t="shared" si="353"/>
        <v>282355.19999999995</v>
      </c>
      <c r="BJ184" s="13">
        <f t="shared" si="307"/>
        <v>0</v>
      </c>
      <c r="BK184" s="13">
        <f t="shared" si="354"/>
        <v>1600012.8</v>
      </c>
      <c r="BL184" s="13">
        <f t="shared" si="355"/>
        <v>282355.19999999995</v>
      </c>
      <c r="BM184" s="21"/>
      <c r="BN184" s="13">
        <f t="shared" si="308"/>
        <v>3308663.1195200002</v>
      </c>
      <c r="BO184" s="13">
        <f t="shared" si="309"/>
        <v>3026307.91952</v>
      </c>
      <c r="BP184" s="13">
        <f t="shared" si="310"/>
        <v>282355.19999999995</v>
      </c>
      <c r="BQ184" s="13">
        <f t="shared" si="311"/>
        <v>4626320.7195199998</v>
      </c>
      <c r="BR184" s="13">
        <f t="shared" si="312"/>
        <v>1983745.95976</v>
      </c>
      <c r="BS184"/>
      <c r="BT184" s="13">
        <f t="shared" si="313"/>
        <v>1882368</v>
      </c>
      <c r="BU184" s="13">
        <f t="shared" si="314"/>
        <v>282355.19999999995</v>
      </c>
      <c r="BV184" s="13">
        <f t="shared" si="315"/>
        <v>1600012.8</v>
      </c>
      <c r="BW184" s="13">
        <f t="shared" si="316"/>
        <v>470592</v>
      </c>
      <c r="BX184" s="13"/>
      <c r="BY184" s="25">
        <f t="shared" si="317"/>
        <v>117648</v>
      </c>
      <c r="BZ184" s="25">
        <f t="shared" si="318"/>
        <v>0</v>
      </c>
      <c r="CA184" s="25">
        <f t="shared" si="319"/>
        <v>117648</v>
      </c>
      <c r="CB184" s="25">
        <f t="shared" si="320"/>
        <v>0</v>
      </c>
      <c r="CC184" s="25">
        <f t="shared" si="321"/>
        <v>100000.8</v>
      </c>
      <c r="CD184" s="384">
        <f t="shared" si="322"/>
        <v>0</v>
      </c>
      <c r="CE184"/>
      <c r="CF184"/>
      <c r="CG184"/>
      <c r="CH184"/>
      <c r="CI184"/>
      <c r="CJ184"/>
      <c r="CK184"/>
      <c r="CL184"/>
      <c r="CM184"/>
      <c r="CN184"/>
      <c r="CO184"/>
      <c r="CP184"/>
      <c r="CQ184"/>
      <c r="CR184" s="25">
        <f t="shared" si="323"/>
        <v>470592</v>
      </c>
      <c r="CS184" s="25">
        <f t="shared" si="324"/>
        <v>0</v>
      </c>
      <c r="CT184" s="25">
        <f t="shared" si="324"/>
        <v>470592</v>
      </c>
      <c r="CU184" s="25">
        <f t="shared" si="325"/>
        <v>0</v>
      </c>
      <c r="CV184" s="25">
        <f t="shared" si="326"/>
        <v>400003.2</v>
      </c>
      <c r="CW184" s="25">
        <f t="shared" si="327"/>
        <v>0</v>
      </c>
      <c r="CX184"/>
      <c r="CY184" s="25">
        <f t="shared" si="328"/>
        <v>117648</v>
      </c>
      <c r="CZ184" s="25">
        <f t="shared" si="329"/>
        <v>0</v>
      </c>
      <c r="DA184" s="25">
        <f t="shared" si="260"/>
        <v>117648</v>
      </c>
      <c r="DB184" s="25">
        <f t="shared" si="330"/>
        <v>0</v>
      </c>
      <c r="DC184" s="25">
        <f t="shared" si="331"/>
        <v>100000.8</v>
      </c>
      <c r="DD184" s="25">
        <f t="shared" si="332"/>
        <v>0</v>
      </c>
    </row>
    <row r="185" spans="1:108" s="352" customFormat="1" x14ac:dyDescent="0.35">
      <c r="A185" s="352" t="str">
        <f t="shared" si="208"/>
        <v>375192_522248</v>
      </c>
      <c r="B185" s="352">
        <v>375192</v>
      </c>
      <c r="C185" s="352">
        <v>522248</v>
      </c>
      <c r="D185" s="319" t="str">
        <f>IFERROR(MATCH(C185,'[4]Custom Earning Pattern Not Popu'!$B$5:$B$428,0),"NA")</f>
        <v>NA</v>
      </c>
      <c r="E185" s="352" t="s">
        <v>228</v>
      </c>
      <c r="F185" s="352">
        <v>12</v>
      </c>
      <c r="G185" s="352">
        <v>8296</v>
      </c>
      <c r="H185" s="353">
        <v>40508</v>
      </c>
      <c r="I185" s="353">
        <v>46091</v>
      </c>
      <c r="J185" s="353">
        <v>46455</v>
      </c>
      <c r="K185" s="352" t="s">
        <v>113</v>
      </c>
      <c r="L185" s="353">
        <v>46091</v>
      </c>
      <c r="M185" s="353">
        <v>46455</v>
      </c>
      <c r="N185" s="352" t="s">
        <v>579</v>
      </c>
      <c r="O185" s="352" t="s">
        <v>231</v>
      </c>
      <c r="P185" s="364">
        <f t="shared" si="344"/>
        <v>0.4</v>
      </c>
      <c r="Q185" s="354">
        <v>1</v>
      </c>
      <c r="R185" s="354">
        <v>0</v>
      </c>
      <c r="S185" s="354" t="str">
        <f t="shared" si="345"/>
        <v>In-Orbit</v>
      </c>
      <c r="T185" s="354" t="s">
        <v>13</v>
      </c>
      <c r="U185" s="352" t="s">
        <v>580</v>
      </c>
      <c r="V185" s="352" t="s">
        <v>29</v>
      </c>
      <c r="W185" s="352" t="s">
        <v>78</v>
      </c>
      <c r="X185" s="352" t="s">
        <v>581</v>
      </c>
      <c r="Y185" s="352" t="s">
        <v>582</v>
      </c>
      <c r="Z185" s="352" t="s">
        <v>337</v>
      </c>
      <c r="AA185" s="355">
        <v>1352952</v>
      </c>
      <c r="AC185" s="289">
        <f t="shared" si="346"/>
        <v>0</v>
      </c>
      <c r="AD185" s="88" cm="1">
        <f t="array" ref="AD185">IF(AC185=0,0,INDEX(Summary!$S$4:$S$7,MATCH(AC185,Summary!$R$4:$R$7)+1))</f>
        <v>0</v>
      </c>
      <c r="AE185" s="88">
        <f>IFERROR(INDEX(Summary!$Y$4:$Y$6,MATCH('Input Data'!K185,Summary!$U$4:$U$6,0)),0)</f>
        <v>0.05</v>
      </c>
      <c r="AF185" s="88" t="b">
        <f t="shared" si="347"/>
        <v>1</v>
      </c>
      <c r="AG185" s="89">
        <f>IF(AF185,INDEX('IG Equity Share'!$B:$B,MATCH(YEAR(I185),'IG Equity Share'!$A:$A,0)),0)</f>
        <v>7.4999999999999997E-2</v>
      </c>
      <c r="AH185" s="383">
        <f>AJ185*AG185*_xlfn.XLOOKUP(I185,'S3123 Consortium Share'!$A$3:$A$5,'S3123 Consortium Share'!$F$3:$F$5,,-1)</f>
        <v>50735.7</v>
      </c>
      <c r="AI185" s="14">
        <v>1</v>
      </c>
      <c r="AJ185" s="13">
        <f t="shared" si="302"/>
        <v>1352952</v>
      </c>
      <c r="AK185" s="13">
        <f t="shared" si="303"/>
        <v>1352952</v>
      </c>
      <c r="AL185" s="13" t="str">
        <f t="shared" si="304"/>
        <v>FUL</v>
      </c>
      <c r="AM185" s="52">
        <f t="shared" si="305"/>
        <v>2026</v>
      </c>
      <c r="AN185" s="4"/>
      <c r="AO185" s="13">
        <f t="shared" si="306"/>
        <v>0</v>
      </c>
      <c r="AP185" s="13">
        <f t="shared" si="306"/>
        <v>0</v>
      </c>
      <c r="AQ185" s="13">
        <f t="shared" si="306"/>
        <v>0</v>
      </c>
      <c r="AR185" s="13">
        <f t="shared" si="306"/>
        <v>0</v>
      </c>
      <c r="AS185" s="13">
        <f t="shared" si="306"/>
        <v>0</v>
      </c>
      <c r="AT185" s="13">
        <f t="shared" si="306"/>
        <v>0</v>
      </c>
      <c r="AU185" s="13">
        <f t="shared" si="306"/>
        <v>0</v>
      </c>
      <c r="AV185" s="13">
        <f t="shared" si="335"/>
        <v>270590.40000000002</v>
      </c>
      <c r="AW185" s="13"/>
      <c r="AX185" s="13"/>
      <c r="AY185" s="13">
        <f t="shared" si="242"/>
        <v>270590.40000000002</v>
      </c>
      <c r="AZ185" s="13">
        <f t="shared" si="348"/>
        <v>0</v>
      </c>
      <c r="BA185" s="74"/>
      <c r="BB185" s="25">
        <f t="shared" si="349"/>
        <v>1082361.6000000001</v>
      </c>
      <c r="BC185" s="13">
        <f t="shared" si="350"/>
        <v>0</v>
      </c>
      <c r="BD185" s="13" t="b">
        <f>AND(AF185,NOT(ISNUMBER(MATCH(G185,Table1[Excluded Spacecraft ID],0))))</f>
        <v>1</v>
      </c>
      <c r="BE185" s="13">
        <f>BD185*AK185*_xlfn.XLOOKUP(I185,Table2[Date From],Table2[Cession],"Error",-1)*_xlfn.XLOOKUP(I185,'S3123 Consortium Share'!$A$3:$A$5,'S3123 Consortium Share'!$F$3:$F$5,,-1)</f>
        <v>135295.20000000001</v>
      </c>
      <c r="BF185" s="13">
        <f t="shared" si="351"/>
        <v>1082361.6000000001</v>
      </c>
      <c r="BG185" s="89" cm="1">
        <f t="array" ref="BG185">IF(V185="FIBL",0,INDEX('IGR QS'!$A$1:$D$570,MATCH('Input Data'!V185&amp;'Input Data'!W185&amp;'Input Data'!AM185,'IGR QS'!A:A&amp;'IGR QS'!B:B&amp;'IGR QS'!C:C,0),4))</f>
        <v>0.5</v>
      </c>
      <c r="BH185" s="13">
        <f t="shared" si="352"/>
        <v>541180.80000000005</v>
      </c>
      <c r="BI185" s="13">
        <f t="shared" si="353"/>
        <v>541180.80000000005</v>
      </c>
      <c r="BJ185" s="13">
        <f t="shared" si="307"/>
        <v>0</v>
      </c>
      <c r="BK185" s="13">
        <f t="shared" si="354"/>
        <v>541180.80000000005</v>
      </c>
      <c r="BL185" s="13">
        <f t="shared" si="355"/>
        <v>541180.80000000005</v>
      </c>
      <c r="BM185" s="21"/>
      <c r="BN185" s="13">
        <f t="shared" si="308"/>
        <v>541180.80000000005</v>
      </c>
      <c r="BO185" s="13">
        <f t="shared" si="309"/>
        <v>541180.80000000005</v>
      </c>
      <c r="BP185" s="13">
        <f t="shared" si="310"/>
        <v>0</v>
      </c>
      <c r="BQ185" s="13">
        <f t="shared" si="311"/>
        <v>541180.80000000005</v>
      </c>
      <c r="BR185" s="13">
        <f t="shared" si="312"/>
        <v>270590.40000000002</v>
      </c>
      <c r="BS185"/>
      <c r="BT185" s="13">
        <f t="shared" si="313"/>
        <v>1082361.6000000001</v>
      </c>
      <c r="BU185" s="13">
        <f t="shared" si="314"/>
        <v>541180.80000000005</v>
      </c>
      <c r="BV185" s="13">
        <f t="shared" si="315"/>
        <v>541180.80000000005</v>
      </c>
      <c r="BW185" s="13">
        <f t="shared" si="316"/>
        <v>270590.40000000002</v>
      </c>
      <c r="BX185" s="13"/>
      <c r="BY185" s="25">
        <f t="shared" si="317"/>
        <v>67647.600000000006</v>
      </c>
      <c r="BZ185" s="25">
        <f t="shared" si="318"/>
        <v>67647.600000000006</v>
      </c>
      <c r="CA185" s="25">
        <f t="shared" si="319"/>
        <v>0</v>
      </c>
      <c r="CB185" s="25">
        <f t="shared" si="320"/>
        <v>0</v>
      </c>
      <c r="CC185" s="25">
        <f t="shared" si="321"/>
        <v>33823.800000000003</v>
      </c>
      <c r="CD185" s="384">
        <f t="shared" si="322"/>
        <v>0</v>
      </c>
      <c r="CE185"/>
      <c r="CF185"/>
      <c r="CG185"/>
      <c r="CH185"/>
      <c r="CI185"/>
      <c r="CJ185"/>
      <c r="CK185"/>
      <c r="CL185"/>
      <c r="CM185"/>
      <c r="CN185"/>
      <c r="CO185"/>
      <c r="CP185"/>
      <c r="CQ185"/>
      <c r="CR185" s="25">
        <f t="shared" si="323"/>
        <v>270590.40000000002</v>
      </c>
      <c r="CS185" s="25">
        <f t="shared" si="324"/>
        <v>270590.40000000002</v>
      </c>
      <c r="CT185" s="25">
        <f t="shared" si="324"/>
        <v>0</v>
      </c>
      <c r="CU185" s="25">
        <f t="shared" si="325"/>
        <v>0</v>
      </c>
      <c r="CV185" s="25">
        <f t="shared" si="326"/>
        <v>135295.20000000001</v>
      </c>
      <c r="CW185" s="25">
        <f t="shared" si="327"/>
        <v>0</v>
      </c>
      <c r="CX185"/>
      <c r="CY185" s="25">
        <f t="shared" si="328"/>
        <v>67647.600000000006</v>
      </c>
      <c r="CZ185" s="25">
        <f t="shared" si="329"/>
        <v>67647.600000000006</v>
      </c>
      <c r="DA185" s="25">
        <f t="shared" si="260"/>
        <v>0</v>
      </c>
      <c r="DB185" s="25">
        <f t="shared" si="330"/>
        <v>0</v>
      </c>
      <c r="DC185" s="25">
        <f t="shared" si="331"/>
        <v>33823.800000000003</v>
      </c>
      <c r="DD185" s="25">
        <f t="shared" si="332"/>
        <v>0</v>
      </c>
    </row>
    <row r="186" spans="1:108" s="352" customFormat="1" x14ac:dyDescent="0.35">
      <c r="A186" s="352" t="str">
        <f t="shared" si="208"/>
        <v>377845_526548</v>
      </c>
      <c r="B186" s="352">
        <v>377845</v>
      </c>
      <c r="C186" s="352">
        <v>526548</v>
      </c>
      <c r="D186" s="319" t="str">
        <f>IFERROR(MATCH(C186,'[4]Custom Earning Pattern Not Popu'!$B$5:$B$428,0),"NA")</f>
        <v>NA</v>
      </c>
      <c r="E186" s="352" t="s">
        <v>228</v>
      </c>
      <c r="F186" s="352">
        <v>12</v>
      </c>
      <c r="G186" s="352">
        <v>17110</v>
      </c>
      <c r="H186" s="353">
        <v>45655</v>
      </c>
      <c r="I186" s="353">
        <v>46080</v>
      </c>
      <c r="J186" s="353">
        <v>46444</v>
      </c>
      <c r="K186" s="352" t="s">
        <v>113</v>
      </c>
      <c r="L186" s="353">
        <v>46080</v>
      </c>
      <c r="M186" s="353">
        <v>46444</v>
      </c>
      <c r="N186" s="352" t="s">
        <v>583</v>
      </c>
      <c r="O186" s="352" t="s">
        <v>583</v>
      </c>
      <c r="P186" s="364">
        <f t="shared" si="344"/>
        <v>0.4</v>
      </c>
      <c r="Q186" s="354">
        <v>1</v>
      </c>
      <c r="R186" s="354">
        <v>0</v>
      </c>
      <c r="S186" s="354" t="str">
        <f t="shared" si="345"/>
        <v>In-Orbit</v>
      </c>
      <c r="T186" s="354" t="s">
        <v>13</v>
      </c>
      <c r="U186" s="352" t="s">
        <v>584</v>
      </c>
      <c r="V186" s="352" t="s">
        <v>29</v>
      </c>
      <c r="W186" s="352" t="s">
        <v>78</v>
      </c>
      <c r="X186" s="352" t="s">
        <v>585</v>
      </c>
      <c r="Y186" s="352" t="s">
        <v>586</v>
      </c>
      <c r="Z186" s="352" t="s">
        <v>338</v>
      </c>
      <c r="AA186" s="355">
        <v>563838.62832000002</v>
      </c>
      <c r="AC186" s="289">
        <f t="shared" si="346"/>
        <v>0</v>
      </c>
      <c r="AD186" s="88" cm="1">
        <f t="array" ref="AD186">IF(AC186=0,0,INDEX(Summary!$S$4:$S$7,MATCH(AC186,Summary!$R$4:$R$7)+1))</f>
        <v>0</v>
      </c>
      <c r="AE186" s="88">
        <f>IFERROR(INDEX(Summary!$Y$4:$Y$6,MATCH('Input Data'!K186,Summary!$U$4:$U$6,0)),0)</f>
        <v>0.05</v>
      </c>
      <c r="AF186" s="88" t="b">
        <f t="shared" si="347"/>
        <v>1</v>
      </c>
      <c r="AG186" s="89">
        <f>IF(AF186,INDEX('IG Equity Share'!$B:$B,MATCH(YEAR(I186),'IG Equity Share'!$A:$A,0)),0)</f>
        <v>7.4999999999999997E-2</v>
      </c>
      <c r="AH186" s="383">
        <f>AJ186*AG186*_xlfn.XLOOKUP(I186,'S3123 Consortium Share'!$A$3:$A$5,'S3123 Consortium Share'!$F$3:$F$5,,-1)</f>
        <v>21143.948562000001</v>
      </c>
      <c r="AI186" s="14">
        <v>1</v>
      </c>
      <c r="AJ186" s="13">
        <f t="shared" si="302"/>
        <v>563838.62832000002</v>
      </c>
      <c r="AK186" s="13">
        <f t="shared" si="303"/>
        <v>563838.62832000002</v>
      </c>
      <c r="AL186" s="13" t="str">
        <f t="shared" si="304"/>
        <v>FUL</v>
      </c>
      <c r="AM186" s="52">
        <f t="shared" si="305"/>
        <v>2026</v>
      </c>
      <c r="AN186" s="4"/>
      <c r="AO186" s="13">
        <f t="shared" si="306"/>
        <v>0</v>
      </c>
      <c r="AP186" s="13">
        <f t="shared" si="306"/>
        <v>0</v>
      </c>
      <c r="AQ186" s="13">
        <f t="shared" si="306"/>
        <v>0</v>
      </c>
      <c r="AR186" s="13">
        <f t="shared" si="306"/>
        <v>0</v>
      </c>
      <c r="AS186" s="13">
        <f t="shared" si="306"/>
        <v>0</v>
      </c>
      <c r="AT186" s="13">
        <f t="shared" si="306"/>
        <v>0</v>
      </c>
      <c r="AU186" s="13">
        <f t="shared" si="306"/>
        <v>0</v>
      </c>
      <c r="AV186" s="13">
        <f t="shared" si="335"/>
        <v>112767.72566400001</v>
      </c>
      <c r="AW186" s="13"/>
      <c r="AX186" s="13"/>
      <c r="AY186" s="13">
        <f t="shared" si="242"/>
        <v>112767.72566400001</v>
      </c>
      <c r="AZ186" s="13">
        <f t="shared" si="348"/>
        <v>0</v>
      </c>
      <c r="BA186" s="74"/>
      <c r="BB186" s="25">
        <f t="shared" si="349"/>
        <v>451070.90265599999</v>
      </c>
      <c r="BC186" s="13">
        <f t="shared" si="350"/>
        <v>0</v>
      </c>
      <c r="BD186" s="13" t="b">
        <f>AND(AF186,NOT(ISNUMBER(MATCH(G186,Table1[Excluded Spacecraft ID],0))))</f>
        <v>1</v>
      </c>
      <c r="BE186" s="13">
        <f>BD186*AK186*_xlfn.XLOOKUP(I186,Table2[Date From],Table2[Cession],"Error",-1)*_xlfn.XLOOKUP(I186,'S3123 Consortium Share'!$A$3:$A$5,'S3123 Consortium Share'!$F$3:$F$5,,-1)</f>
        <v>56383.862832000006</v>
      </c>
      <c r="BF186" s="13">
        <f t="shared" si="351"/>
        <v>451070.90265599999</v>
      </c>
      <c r="BG186" s="89" cm="1">
        <f t="array" ref="BG186">IF(V186="FIBL",0,INDEX('IGR QS'!$A$1:$D$570,MATCH('Input Data'!V186&amp;'Input Data'!W186&amp;'Input Data'!AM186,'IGR QS'!A:A&amp;'IGR QS'!B:B&amp;'IGR QS'!C:C,0),4))</f>
        <v>0.5</v>
      </c>
      <c r="BH186" s="13">
        <f t="shared" si="352"/>
        <v>225535.451328</v>
      </c>
      <c r="BI186" s="13">
        <f t="shared" si="353"/>
        <v>225535.451328</v>
      </c>
      <c r="BJ186" s="13">
        <f t="shared" si="307"/>
        <v>0</v>
      </c>
      <c r="BK186" s="13">
        <f t="shared" si="354"/>
        <v>225535.451328</v>
      </c>
      <c r="BL186" s="13">
        <f t="shared" si="355"/>
        <v>225535.451328</v>
      </c>
      <c r="BM186" s="21"/>
      <c r="BN186" s="13">
        <f t="shared" si="308"/>
        <v>719793.99359999993</v>
      </c>
      <c r="BO186" s="13">
        <f t="shared" si="309"/>
        <v>719793.99359999993</v>
      </c>
      <c r="BP186" s="13">
        <f t="shared" si="310"/>
        <v>0</v>
      </c>
      <c r="BQ186" s="13">
        <f t="shared" si="311"/>
        <v>719793.99359999993</v>
      </c>
      <c r="BR186" s="13">
        <f t="shared" si="312"/>
        <v>359896.99680000002</v>
      </c>
      <c r="BS186"/>
      <c r="BT186" s="13">
        <f t="shared" si="313"/>
        <v>451070.90265599999</v>
      </c>
      <c r="BU186" s="13">
        <f t="shared" si="314"/>
        <v>225535.451328</v>
      </c>
      <c r="BV186" s="13">
        <f t="shared" si="315"/>
        <v>225535.451328</v>
      </c>
      <c r="BW186" s="13">
        <f t="shared" si="316"/>
        <v>112767.72566400001</v>
      </c>
      <c r="BX186" s="13"/>
      <c r="BY186" s="25">
        <f t="shared" si="317"/>
        <v>28191.931416000003</v>
      </c>
      <c r="BZ186" s="25">
        <f t="shared" si="318"/>
        <v>28191.931416000003</v>
      </c>
      <c r="CA186" s="25">
        <f t="shared" si="319"/>
        <v>0</v>
      </c>
      <c r="CB186" s="25">
        <f t="shared" si="320"/>
        <v>0</v>
      </c>
      <c r="CC186" s="25">
        <f t="shared" si="321"/>
        <v>14095.965708000002</v>
      </c>
      <c r="CD186" s="384">
        <f t="shared" si="322"/>
        <v>0</v>
      </c>
      <c r="CE186"/>
      <c r="CF186"/>
      <c r="CG186"/>
      <c r="CH186"/>
      <c r="CI186"/>
      <c r="CJ186"/>
      <c r="CK186"/>
      <c r="CL186"/>
      <c r="CM186"/>
      <c r="CN186"/>
      <c r="CO186"/>
      <c r="CP186"/>
      <c r="CQ186"/>
      <c r="CR186" s="25">
        <f t="shared" si="323"/>
        <v>112767.72566400001</v>
      </c>
      <c r="CS186" s="25">
        <f t="shared" si="324"/>
        <v>112767.72566400001</v>
      </c>
      <c r="CT186" s="25">
        <f t="shared" si="324"/>
        <v>0</v>
      </c>
      <c r="CU186" s="25">
        <f t="shared" si="325"/>
        <v>0</v>
      </c>
      <c r="CV186" s="25">
        <f t="shared" si="326"/>
        <v>56383.862832000006</v>
      </c>
      <c r="CW186" s="25">
        <f t="shared" si="327"/>
        <v>0</v>
      </c>
      <c r="CX186"/>
      <c r="CY186" s="25">
        <f t="shared" si="328"/>
        <v>28191.931416000003</v>
      </c>
      <c r="CZ186" s="25">
        <f t="shared" si="329"/>
        <v>28191.931416000003</v>
      </c>
      <c r="DA186" s="25">
        <f t="shared" si="260"/>
        <v>0</v>
      </c>
      <c r="DB186" s="25">
        <f t="shared" si="330"/>
        <v>0</v>
      </c>
      <c r="DC186" s="25">
        <f t="shared" si="331"/>
        <v>14095.965708000002</v>
      </c>
      <c r="DD186" s="25">
        <f t="shared" si="332"/>
        <v>0</v>
      </c>
    </row>
    <row r="187" spans="1:108" s="352" customFormat="1" x14ac:dyDescent="0.35">
      <c r="A187" s="352" t="str">
        <f t="shared" si="208"/>
        <v>377845_526549</v>
      </c>
      <c r="B187" s="352">
        <v>377845</v>
      </c>
      <c r="C187" s="352">
        <v>526549</v>
      </c>
      <c r="D187" s="319" t="str">
        <f>IFERROR(MATCH(C187,'[4]Custom Earning Pattern Not Popu'!$B$5:$B$428,0),"NA")</f>
        <v>NA</v>
      </c>
      <c r="E187" s="352" t="s">
        <v>228</v>
      </c>
      <c r="F187" s="352">
        <v>12</v>
      </c>
      <c r="G187" s="352">
        <v>17111</v>
      </c>
      <c r="H187" s="353">
        <v>45655</v>
      </c>
      <c r="I187" s="353">
        <v>46080</v>
      </c>
      <c r="J187" s="353">
        <v>46444</v>
      </c>
      <c r="K187" s="352" t="s">
        <v>113</v>
      </c>
      <c r="L187" s="353">
        <v>46080</v>
      </c>
      <c r="M187" s="353">
        <v>46444</v>
      </c>
      <c r="N187" s="352" t="s">
        <v>583</v>
      </c>
      <c r="O187" s="352" t="s">
        <v>583</v>
      </c>
      <c r="P187" s="364">
        <f t="shared" si="344"/>
        <v>0.4</v>
      </c>
      <c r="Q187" s="354">
        <v>1</v>
      </c>
      <c r="R187" s="354">
        <v>0</v>
      </c>
      <c r="S187" s="354" t="str">
        <f t="shared" si="345"/>
        <v>In-Orbit</v>
      </c>
      <c r="T187" s="354" t="s">
        <v>13</v>
      </c>
      <c r="U187" s="352" t="s">
        <v>584</v>
      </c>
      <c r="V187" s="352" t="s">
        <v>29</v>
      </c>
      <c r="W187" s="352" t="s">
        <v>78</v>
      </c>
      <c r="X187" s="352" t="s">
        <v>587</v>
      </c>
      <c r="Y187" s="352" t="s">
        <v>586</v>
      </c>
      <c r="Z187" s="352" t="s">
        <v>338</v>
      </c>
      <c r="AA187" s="355">
        <v>563838.62832000002</v>
      </c>
      <c r="AC187" s="289">
        <f t="shared" si="346"/>
        <v>0</v>
      </c>
      <c r="AD187" s="88" cm="1">
        <f t="array" ref="AD187">IF(AC187=0,0,INDEX(Summary!$S$4:$S$7,MATCH(AC187,Summary!$R$4:$R$7)+1))</f>
        <v>0</v>
      </c>
      <c r="AE187" s="88">
        <f>IFERROR(INDEX(Summary!$Y$4:$Y$6,MATCH('Input Data'!K187,Summary!$U$4:$U$6,0)),0)</f>
        <v>0.05</v>
      </c>
      <c r="AF187" s="88" t="b">
        <f t="shared" si="347"/>
        <v>1</v>
      </c>
      <c r="AG187" s="89">
        <f>IF(AF187,INDEX('IG Equity Share'!$B:$B,MATCH(YEAR(I187),'IG Equity Share'!$A:$A,0)),0)</f>
        <v>7.4999999999999997E-2</v>
      </c>
      <c r="AH187" s="383">
        <f>AJ187*AG187*_xlfn.XLOOKUP(I187,'S3123 Consortium Share'!$A$3:$A$5,'S3123 Consortium Share'!$F$3:$F$5,,-1)</f>
        <v>21143.948562000001</v>
      </c>
      <c r="AI187" s="14">
        <v>1</v>
      </c>
      <c r="AJ187" s="13">
        <f t="shared" si="302"/>
        <v>563838.62832000002</v>
      </c>
      <c r="AK187" s="13">
        <f t="shared" si="303"/>
        <v>563838.62832000002</v>
      </c>
      <c r="AL187" s="13" t="str">
        <f t="shared" si="304"/>
        <v>FUL</v>
      </c>
      <c r="AM187" s="52">
        <f t="shared" si="305"/>
        <v>2026</v>
      </c>
      <c r="AN187" s="4"/>
      <c r="AO187" s="13">
        <f t="shared" si="306"/>
        <v>0</v>
      </c>
      <c r="AP187" s="13">
        <f t="shared" si="306"/>
        <v>0</v>
      </c>
      <c r="AQ187" s="13">
        <f t="shared" si="306"/>
        <v>0</v>
      </c>
      <c r="AR187" s="13">
        <f t="shared" si="306"/>
        <v>0</v>
      </c>
      <c r="AS187" s="13">
        <f t="shared" si="306"/>
        <v>0</v>
      </c>
      <c r="AT187" s="13">
        <f t="shared" si="306"/>
        <v>0</v>
      </c>
      <c r="AU187" s="13">
        <f t="shared" si="306"/>
        <v>0</v>
      </c>
      <c r="AV187" s="13">
        <f t="shared" si="335"/>
        <v>112767.72566400001</v>
      </c>
      <c r="AW187" s="13"/>
      <c r="AX187" s="13"/>
      <c r="AY187" s="13">
        <f t="shared" si="242"/>
        <v>112767.72566400001</v>
      </c>
      <c r="AZ187" s="13">
        <f t="shared" si="348"/>
        <v>0</v>
      </c>
      <c r="BA187" s="74"/>
      <c r="BB187" s="25">
        <f t="shared" si="349"/>
        <v>451070.90265599999</v>
      </c>
      <c r="BC187" s="13">
        <f t="shared" si="350"/>
        <v>0</v>
      </c>
      <c r="BD187" s="13" t="b">
        <f>AND(AF187,NOT(ISNUMBER(MATCH(G187,Table1[Excluded Spacecraft ID],0))))</f>
        <v>1</v>
      </c>
      <c r="BE187" s="13">
        <f>BD187*AK187*_xlfn.XLOOKUP(I187,Table2[Date From],Table2[Cession],"Error",-1)*_xlfn.XLOOKUP(I187,'S3123 Consortium Share'!$A$3:$A$5,'S3123 Consortium Share'!$F$3:$F$5,,-1)</f>
        <v>56383.862832000006</v>
      </c>
      <c r="BF187" s="13">
        <f t="shared" si="351"/>
        <v>451070.90265599999</v>
      </c>
      <c r="BG187" s="89" cm="1">
        <f t="array" ref="BG187">IF(V187="FIBL",0,INDEX('IGR QS'!$A$1:$D$570,MATCH('Input Data'!V187&amp;'Input Data'!W187&amp;'Input Data'!AM187,'IGR QS'!A:A&amp;'IGR QS'!B:B&amp;'IGR QS'!C:C,0),4))</f>
        <v>0.5</v>
      </c>
      <c r="BH187" s="13">
        <f t="shared" si="352"/>
        <v>225535.451328</v>
      </c>
      <c r="BI187" s="13">
        <f t="shared" si="353"/>
        <v>225535.451328</v>
      </c>
      <c r="BJ187" s="13">
        <f t="shared" si="307"/>
        <v>0</v>
      </c>
      <c r="BK187" s="13">
        <f t="shared" si="354"/>
        <v>225535.451328</v>
      </c>
      <c r="BL187" s="13">
        <f t="shared" si="355"/>
        <v>225535.451328</v>
      </c>
      <c r="BM187" s="21"/>
      <c r="BN187" s="13">
        <f t="shared" si="308"/>
        <v>719793.99359999993</v>
      </c>
      <c r="BO187" s="13">
        <f t="shared" si="309"/>
        <v>719793.99359999993</v>
      </c>
      <c r="BP187" s="13">
        <f t="shared" si="310"/>
        <v>0</v>
      </c>
      <c r="BQ187" s="13">
        <f t="shared" si="311"/>
        <v>719793.99359999993</v>
      </c>
      <c r="BR187" s="13">
        <f t="shared" si="312"/>
        <v>359896.99680000002</v>
      </c>
      <c r="BS187"/>
      <c r="BT187" s="13">
        <f t="shared" si="313"/>
        <v>451070.90265599999</v>
      </c>
      <c r="BU187" s="13">
        <f t="shared" si="314"/>
        <v>225535.451328</v>
      </c>
      <c r="BV187" s="13">
        <f t="shared" si="315"/>
        <v>225535.451328</v>
      </c>
      <c r="BW187" s="13">
        <f t="shared" si="316"/>
        <v>112767.72566400001</v>
      </c>
      <c r="BX187" s="13"/>
      <c r="BY187" s="25">
        <f t="shared" si="317"/>
        <v>28191.931416000003</v>
      </c>
      <c r="BZ187" s="25">
        <f t="shared" si="318"/>
        <v>28191.931416000003</v>
      </c>
      <c r="CA187" s="25">
        <f t="shared" si="319"/>
        <v>0</v>
      </c>
      <c r="CB187" s="25">
        <f t="shared" si="320"/>
        <v>0</v>
      </c>
      <c r="CC187" s="25">
        <f t="shared" si="321"/>
        <v>14095.965708000002</v>
      </c>
      <c r="CD187" s="384">
        <f t="shared" si="322"/>
        <v>0</v>
      </c>
      <c r="CE187"/>
      <c r="CF187"/>
      <c r="CG187"/>
      <c r="CH187"/>
      <c r="CI187"/>
      <c r="CJ187"/>
      <c r="CK187"/>
      <c r="CL187"/>
      <c r="CM187"/>
      <c r="CN187"/>
      <c r="CO187"/>
      <c r="CP187"/>
      <c r="CQ187"/>
      <c r="CR187" s="25">
        <f t="shared" si="323"/>
        <v>112767.72566400001</v>
      </c>
      <c r="CS187" s="25">
        <f t="shared" si="324"/>
        <v>112767.72566400001</v>
      </c>
      <c r="CT187" s="25">
        <f t="shared" si="324"/>
        <v>0</v>
      </c>
      <c r="CU187" s="25">
        <f t="shared" si="325"/>
        <v>0</v>
      </c>
      <c r="CV187" s="25">
        <f t="shared" si="326"/>
        <v>56383.862832000006</v>
      </c>
      <c r="CW187" s="25">
        <f t="shared" si="327"/>
        <v>0</v>
      </c>
      <c r="CX187"/>
      <c r="CY187" s="25">
        <f t="shared" si="328"/>
        <v>28191.931416000003</v>
      </c>
      <c r="CZ187" s="25">
        <f t="shared" si="329"/>
        <v>28191.931416000003</v>
      </c>
      <c r="DA187" s="25">
        <f t="shared" si="260"/>
        <v>0</v>
      </c>
      <c r="DB187" s="25">
        <f t="shared" si="330"/>
        <v>0</v>
      </c>
      <c r="DC187" s="25">
        <f t="shared" si="331"/>
        <v>14095.965708000002</v>
      </c>
      <c r="DD187" s="25">
        <f t="shared" si="332"/>
        <v>0</v>
      </c>
    </row>
    <row r="188" spans="1:108" s="352" customFormat="1" x14ac:dyDescent="0.35">
      <c r="A188" s="352" t="str">
        <f t="shared" si="208"/>
        <v>377845_526550</v>
      </c>
      <c r="B188" s="352">
        <v>377845</v>
      </c>
      <c r="C188" s="352">
        <v>526550</v>
      </c>
      <c r="D188" s="319" t="str">
        <f>IFERROR(MATCH(C188,'[4]Custom Earning Pattern Not Popu'!$B$5:$B$428,0),"NA")</f>
        <v>NA</v>
      </c>
      <c r="E188" s="352" t="s">
        <v>228</v>
      </c>
      <c r="F188" s="352">
        <v>12</v>
      </c>
      <c r="G188" s="352">
        <v>21570</v>
      </c>
      <c r="H188" s="353">
        <v>45655</v>
      </c>
      <c r="I188" s="353">
        <v>46080</v>
      </c>
      <c r="J188" s="353">
        <v>46444</v>
      </c>
      <c r="K188" s="352" t="s">
        <v>113</v>
      </c>
      <c r="L188" s="353">
        <v>46080</v>
      </c>
      <c r="M188" s="353">
        <v>46444</v>
      </c>
      <c r="N188" s="352" t="s">
        <v>583</v>
      </c>
      <c r="O188" s="352" t="s">
        <v>583</v>
      </c>
      <c r="P188" s="364">
        <f t="shared" si="344"/>
        <v>0.4</v>
      </c>
      <c r="Q188" s="354">
        <v>1</v>
      </c>
      <c r="R188" s="354">
        <v>0</v>
      </c>
      <c r="S188" s="354" t="str">
        <f t="shared" si="345"/>
        <v>In-Orbit</v>
      </c>
      <c r="T188" s="354" t="s">
        <v>13</v>
      </c>
      <c r="U188" s="352" t="s">
        <v>584</v>
      </c>
      <c r="V188" s="352" t="s">
        <v>29</v>
      </c>
      <c r="W188" s="352" t="s">
        <v>78</v>
      </c>
      <c r="X188" s="352" t="s">
        <v>588</v>
      </c>
      <c r="Y188" s="352" t="s">
        <v>586</v>
      </c>
      <c r="Z188" s="352" t="s">
        <v>338</v>
      </c>
      <c r="AA188" s="355">
        <v>671807.72736000002</v>
      </c>
      <c r="AC188" s="289">
        <f t="shared" si="346"/>
        <v>0</v>
      </c>
      <c r="AD188" s="88" cm="1">
        <f t="array" ref="AD188">IF(AC188=0,0,INDEX(Summary!$S$4:$S$7,MATCH(AC188,Summary!$R$4:$R$7)+1))</f>
        <v>0</v>
      </c>
      <c r="AE188" s="88">
        <f>IFERROR(INDEX(Summary!$Y$4:$Y$6,MATCH('Input Data'!K188,Summary!$U$4:$U$6,0)),0)</f>
        <v>0.05</v>
      </c>
      <c r="AF188" s="88" t="b">
        <f t="shared" si="347"/>
        <v>1</v>
      </c>
      <c r="AG188" s="89">
        <f>IF(AF188,INDEX('IG Equity Share'!$B:$B,MATCH(YEAR(I188),'IG Equity Share'!$A:$A,0)),0)</f>
        <v>7.4999999999999997E-2</v>
      </c>
      <c r="AH188" s="383">
        <f>AJ188*AG188*_xlfn.XLOOKUP(I188,'S3123 Consortium Share'!$A$3:$A$5,'S3123 Consortium Share'!$F$3:$F$5,,-1)</f>
        <v>25192.789776000001</v>
      </c>
      <c r="AI188" s="14">
        <v>1</v>
      </c>
      <c r="AJ188" s="13">
        <f t="shared" si="302"/>
        <v>671807.72736000002</v>
      </c>
      <c r="AK188" s="13">
        <f t="shared" si="303"/>
        <v>671807.72736000002</v>
      </c>
      <c r="AL188" s="13" t="str">
        <f t="shared" si="304"/>
        <v>FUL</v>
      </c>
      <c r="AM188" s="52">
        <f t="shared" si="305"/>
        <v>2026</v>
      </c>
      <c r="AN188" s="4"/>
      <c r="AO188" s="13">
        <f t="shared" si="306"/>
        <v>0</v>
      </c>
      <c r="AP188" s="13">
        <f t="shared" si="306"/>
        <v>0</v>
      </c>
      <c r="AQ188" s="13">
        <f t="shared" si="306"/>
        <v>0</v>
      </c>
      <c r="AR188" s="13">
        <f t="shared" si="306"/>
        <v>0</v>
      </c>
      <c r="AS188" s="13">
        <f t="shared" si="306"/>
        <v>0</v>
      </c>
      <c r="AT188" s="13">
        <f t="shared" si="306"/>
        <v>0</v>
      </c>
      <c r="AU188" s="13">
        <f t="shared" si="306"/>
        <v>0</v>
      </c>
      <c r="AV188" s="13">
        <f t="shared" si="335"/>
        <v>134361.545472</v>
      </c>
      <c r="AW188" s="13"/>
      <c r="AX188" s="13"/>
      <c r="AY188" s="13">
        <f t="shared" si="242"/>
        <v>134361.545472</v>
      </c>
      <c r="AZ188" s="13">
        <f t="shared" si="348"/>
        <v>0</v>
      </c>
      <c r="BA188" s="74"/>
      <c r="BB188" s="25">
        <f t="shared" si="349"/>
        <v>537446.18188799999</v>
      </c>
      <c r="BC188" s="13">
        <f t="shared" si="350"/>
        <v>0</v>
      </c>
      <c r="BD188" s="13" t="b">
        <f>AND(AF188,NOT(ISNUMBER(MATCH(G188,Table1[Excluded Spacecraft ID],0))))</f>
        <v>1</v>
      </c>
      <c r="BE188" s="13">
        <f>BD188*AK188*_xlfn.XLOOKUP(I188,Table2[Date From],Table2[Cession],"Error",-1)*_xlfn.XLOOKUP(I188,'S3123 Consortium Share'!$A$3:$A$5,'S3123 Consortium Share'!$F$3:$F$5,,-1)</f>
        <v>67180.772735999999</v>
      </c>
      <c r="BF188" s="13">
        <f t="shared" si="351"/>
        <v>537446.18188799999</v>
      </c>
      <c r="BG188" s="89" cm="1">
        <f t="array" ref="BG188">IF(V188="FIBL",0,INDEX('IGR QS'!$A$1:$D$570,MATCH('Input Data'!V188&amp;'Input Data'!W188&amp;'Input Data'!AM188,'IGR QS'!A:A&amp;'IGR QS'!B:B&amp;'IGR QS'!C:C,0),4))</f>
        <v>0.5</v>
      </c>
      <c r="BH188" s="13">
        <f t="shared" si="352"/>
        <v>268723.090944</v>
      </c>
      <c r="BI188" s="13">
        <f t="shared" si="353"/>
        <v>268723.090944</v>
      </c>
      <c r="BJ188" s="13">
        <f t="shared" si="307"/>
        <v>0</v>
      </c>
      <c r="BK188" s="13">
        <f t="shared" si="354"/>
        <v>268723.090944</v>
      </c>
      <c r="BL188" s="13">
        <f t="shared" si="355"/>
        <v>268723.090944</v>
      </c>
      <c r="BM188" s="21"/>
      <c r="BN188" s="13">
        <f t="shared" si="308"/>
        <v>719793.99359999993</v>
      </c>
      <c r="BO188" s="13">
        <f t="shared" si="309"/>
        <v>719793.99359999993</v>
      </c>
      <c r="BP188" s="13">
        <f t="shared" si="310"/>
        <v>0</v>
      </c>
      <c r="BQ188" s="13">
        <f t="shared" si="311"/>
        <v>719793.99359999993</v>
      </c>
      <c r="BR188" s="13">
        <f t="shared" si="312"/>
        <v>359896.99680000002</v>
      </c>
      <c r="BS188"/>
      <c r="BT188" s="13">
        <f t="shared" si="313"/>
        <v>537446.18188799999</v>
      </c>
      <c r="BU188" s="13">
        <f t="shared" si="314"/>
        <v>268723.090944</v>
      </c>
      <c r="BV188" s="13">
        <f t="shared" si="315"/>
        <v>268723.090944</v>
      </c>
      <c r="BW188" s="13">
        <f t="shared" si="316"/>
        <v>134361.545472</v>
      </c>
      <c r="BX188" s="13"/>
      <c r="BY188" s="25">
        <f t="shared" si="317"/>
        <v>33590.386367999999</v>
      </c>
      <c r="BZ188" s="25">
        <f t="shared" si="318"/>
        <v>33590.386367999999</v>
      </c>
      <c r="CA188" s="25">
        <f t="shared" si="319"/>
        <v>0</v>
      </c>
      <c r="CB188" s="25">
        <f t="shared" si="320"/>
        <v>0</v>
      </c>
      <c r="CC188" s="25">
        <f t="shared" si="321"/>
        <v>16795.193184</v>
      </c>
      <c r="CD188" s="384">
        <f t="shared" si="322"/>
        <v>0</v>
      </c>
      <c r="CE188"/>
      <c r="CF188"/>
      <c r="CG188"/>
      <c r="CH188"/>
      <c r="CI188"/>
      <c r="CJ188"/>
      <c r="CK188"/>
      <c r="CL188"/>
      <c r="CM188"/>
      <c r="CN188"/>
      <c r="CO188"/>
      <c r="CP188"/>
      <c r="CQ188"/>
      <c r="CR188" s="25">
        <f t="shared" si="323"/>
        <v>134361.545472</v>
      </c>
      <c r="CS188" s="25">
        <f t="shared" si="324"/>
        <v>134361.545472</v>
      </c>
      <c r="CT188" s="25">
        <f t="shared" si="324"/>
        <v>0</v>
      </c>
      <c r="CU188" s="25">
        <f t="shared" si="325"/>
        <v>0</v>
      </c>
      <c r="CV188" s="25">
        <f t="shared" si="326"/>
        <v>67180.772735999999</v>
      </c>
      <c r="CW188" s="25">
        <f t="shared" si="327"/>
        <v>0</v>
      </c>
      <c r="CX188"/>
      <c r="CY188" s="25">
        <f t="shared" si="328"/>
        <v>33590.386367999999</v>
      </c>
      <c r="CZ188" s="25">
        <f t="shared" si="329"/>
        <v>33590.386367999999</v>
      </c>
      <c r="DA188" s="25">
        <f t="shared" si="260"/>
        <v>0</v>
      </c>
      <c r="DB188" s="25">
        <f t="shared" si="330"/>
        <v>0</v>
      </c>
      <c r="DC188" s="25">
        <f t="shared" si="331"/>
        <v>16795.193184</v>
      </c>
      <c r="DD188" s="25">
        <f t="shared" si="332"/>
        <v>0</v>
      </c>
    </row>
    <row r="190" spans="1:108" x14ac:dyDescent="0.35">
      <c r="BE190" s="21"/>
    </row>
    <row r="192" spans="1:108" x14ac:dyDescent="0.35">
      <c r="C192" s="372"/>
      <c r="D192" t="s">
        <v>597</v>
      </c>
    </row>
    <row r="193" spans="3:4" x14ac:dyDescent="0.35">
      <c r="C193" s="361"/>
      <c r="D193" t="s">
        <v>598</v>
      </c>
    </row>
  </sheetData>
  <autoFilter ref="A19:DD188" xr:uid="{9EC145E1-75F1-446D-BC3B-E7818A4494BE}"/>
  <sortState xmlns:xlrd2="http://schemas.microsoft.com/office/spreadsheetml/2017/richdata2" ref="CH39">
    <sortCondition ref="CH39"/>
  </sortState>
  <mergeCells count="4">
    <mergeCell ref="BY18:CD18"/>
    <mergeCell ref="CI18:CN18"/>
    <mergeCell ref="CR18:CW18"/>
    <mergeCell ref="CY18:DD18"/>
  </mergeCells>
  <conditionalFormatting sqref="CI16:CK16">
    <cfRule type="expression" dxfId="2" priority="1">
      <formula>$CI$16</formula>
    </cfRule>
  </conditionalFormatting>
  <pageMargins left="0.7" right="0.7" top="0.75" bottom="0.75" header="0.3" footer="0.3"/>
  <pageSetup paperSize="9"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0DE7-514C-4C17-ACA6-8E8713ABA48F}">
  <sheetPr codeName="Sheet21">
    <tabColor rgb="FFFF33CC"/>
  </sheetPr>
  <dimension ref="B2:H199"/>
  <sheetViews>
    <sheetView topLeftCell="A9" workbookViewId="0">
      <selection activeCell="E24" sqref="E24"/>
    </sheetView>
  </sheetViews>
  <sheetFormatPr defaultRowHeight="14.5" x14ac:dyDescent="0.35"/>
  <cols>
    <col min="2" max="2" width="40.36328125" bestFit="1" customWidth="1"/>
    <col min="3" max="3" width="45.6328125" customWidth="1"/>
    <col min="4" max="4" width="36" customWidth="1"/>
    <col min="5" max="5" width="20" customWidth="1"/>
  </cols>
  <sheetData>
    <row r="2" spans="2:8" x14ac:dyDescent="0.35">
      <c r="B2" s="5" t="s">
        <v>498</v>
      </c>
    </row>
    <row r="3" spans="2:8" x14ac:dyDescent="0.35">
      <c r="B3" s="77" t="s">
        <v>500</v>
      </c>
      <c r="C3" s="267" t="s">
        <v>601</v>
      </c>
      <c r="E3" t="s">
        <v>516</v>
      </c>
      <c r="H3" s="281" t="s">
        <v>542</v>
      </c>
    </row>
    <row r="4" spans="2:8" x14ac:dyDescent="0.35">
      <c r="B4" s="77" t="s">
        <v>499</v>
      </c>
      <c r="C4" s="268">
        <v>2026</v>
      </c>
    </row>
    <row r="5" spans="2:8" x14ac:dyDescent="0.35">
      <c r="B5" s="77" t="s">
        <v>513</v>
      </c>
      <c r="C5" s="269">
        <v>100000000</v>
      </c>
    </row>
    <row r="6" spans="2:8" x14ac:dyDescent="0.35">
      <c r="B6" s="77" t="s">
        <v>514</v>
      </c>
      <c r="C6" s="269">
        <v>150000000</v>
      </c>
    </row>
    <row r="7" spans="2:8" x14ac:dyDescent="0.35">
      <c r="B7" s="77" t="s">
        <v>501</v>
      </c>
      <c r="C7" s="269">
        <v>30000000</v>
      </c>
    </row>
    <row r="8" spans="2:8" x14ac:dyDescent="0.35">
      <c r="B8" s="77" t="s">
        <v>502</v>
      </c>
      <c r="C8" s="269">
        <v>15000000</v>
      </c>
    </row>
    <row r="9" spans="2:8" x14ac:dyDescent="0.35">
      <c r="B9" s="77" t="s">
        <v>504</v>
      </c>
      <c r="C9" s="271">
        <v>0.55000000000000004</v>
      </c>
    </row>
    <row r="10" spans="2:8" x14ac:dyDescent="0.35">
      <c r="B10" s="77" t="s">
        <v>506</v>
      </c>
      <c r="C10" s="272">
        <f>C9-0.05</f>
        <v>0.5</v>
      </c>
    </row>
    <row r="11" spans="2:8" ht="34.5" customHeight="1" x14ac:dyDescent="0.35">
      <c r="B11" s="206" t="s">
        <v>503</v>
      </c>
      <c r="C11" s="461" t="s">
        <v>505</v>
      </c>
      <c r="D11" s="461"/>
      <c r="E11" s="281" t="s">
        <v>572</v>
      </c>
    </row>
    <row r="14" spans="2:8" x14ac:dyDescent="0.35">
      <c r="B14" s="180" t="s">
        <v>455</v>
      </c>
      <c r="C14" s="180" t="s">
        <v>512</v>
      </c>
      <c r="D14" s="180" t="s">
        <v>509</v>
      </c>
      <c r="E14" s="180" t="s">
        <v>515</v>
      </c>
    </row>
    <row r="15" spans="2:8" x14ac:dyDescent="0.35">
      <c r="B15" s="77" t="s">
        <v>36</v>
      </c>
      <c r="C15" s="273">
        <f>Summary!D5</f>
        <v>47706969.120397568</v>
      </c>
      <c r="D15" s="262">
        <f>MEDIAN(C15-$C$8,$C$7,0)</f>
        <v>30000000</v>
      </c>
      <c r="E15" s="276">
        <f>MEDIAN(D15-$C$6,0,$C$5)</f>
        <v>0</v>
      </c>
    </row>
    <row r="16" spans="2:8" x14ac:dyDescent="0.35">
      <c r="B16" s="77" t="s">
        <v>38</v>
      </c>
      <c r="C16" s="274">
        <f>Summary!D6</f>
        <v>267843601.85336688</v>
      </c>
      <c r="D16" s="263">
        <f>MEDIAN(C16-$C$8,$C$7,0)</f>
        <v>30000000</v>
      </c>
      <c r="E16" s="277">
        <f t="shared" ref="E16:E19" si="0">MEDIAN(D16-$C$6,0,$C$5)</f>
        <v>0</v>
      </c>
    </row>
    <row r="17" spans="2:5" x14ac:dyDescent="0.35">
      <c r="B17" s="77" t="s">
        <v>39</v>
      </c>
      <c r="C17" s="274">
        <f>Summary!D7</f>
        <v>133349351.03564525</v>
      </c>
      <c r="D17" s="263">
        <f>MEDIAN(C17-$C$8,$C$7,0)</f>
        <v>30000000</v>
      </c>
      <c r="E17" s="277">
        <f t="shared" si="0"/>
        <v>0</v>
      </c>
    </row>
    <row r="18" spans="2:5" x14ac:dyDescent="0.35">
      <c r="B18" s="77" t="s">
        <v>40</v>
      </c>
      <c r="C18" s="274">
        <f>Summary!D8</f>
        <v>108771647.68476349</v>
      </c>
      <c r="D18" s="263">
        <f t="shared" ref="D18:D19" si="1">MEDIAN(C18-$C$8,$C$7,0)</f>
        <v>30000000</v>
      </c>
      <c r="E18" s="277">
        <f t="shared" si="0"/>
        <v>0</v>
      </c>
    </row>
    <row r="19" spans="2:5" x14ac:dyDescent="0.35">
      <c r="B19" s="77" t="s">
        <v>69</v>
      </c>
      <c r="C19" s="275">
        <f ca="1">Summary!D9</f>
        <v>39999960</v>
      </c>
      <c r="D19" s="264">
        <f t="shared" ca="1" si="1"/>
        <v>24999960</v>
      </c>
      <c r="E19" s="278">
        <f t="shared" ca="1" si="0"/>
        <v>0</v>
      </c>
    </row>
    <row r="22" spans="2:5" x14ac:dyDescent="0.35">
      <c r="B22" s="5" t="s">
        <v>507</v>
      </c>
    </row>
    <row r="23" spans="2:5" x14ac:dyDescent="0.35">
      <c r="B23" s="206" t="s">
        <v>508</v>
      </c>
      <c r="C23" s="268" t="str">
        <f>Summary!C6</f>
        <v>Airbus Defence and Space (Toulouse)</v>
      </c>
    </row>
    <row r="24" spans="2:5" x14ac:dyDescent="0.35">
      <c r="B24" s="206" t="s">
        <v>510</v>
      </c>
      <c r="C24" s="269">
        <f>SUM(D28:D199)</f>
        <v>60118924.398716241</v>
      </c>
    </row>
    <row r="25" spans="2:5" x14ac:dyDescent="0.35">
      <c r="B25" s="206" t="s">
        <v>511</v>
      </c>
      <c r="C25" s="270">
        <f>MEDIAN(C24-$C$6,0,$C$5)</f>
        <v>0</v>
      </c>
    </row>
    <row r="26" spans="2:5" ht="43.5" x14ac:dyDescent="0.35">
      <c r="C26" s="287" t="s">
        <v>543</v>
      </c>
    </row>
    <row r="27" spans="2:5" x14ac:dyDescent="0.35">
      <c r="B27" s="77" t="s">
        <v>122</v>
      </c>
      <c r="C27" s="77" t="s">
        <v>496</v>
      </c>
      <c r="D27" s="77" t="s">
        <v>509</v>
      </c>
    </row>
    <row r="28" spans="2:5" x14ac:dyDescent="0.35">
      <c r="B28" s="183" t="str" cm="1">
        <f t="array" ref="B28:B47">_xlfn.UNIQUE(_xlfn._xlws.FILTER('Input Data'!$X$20:$X$189,('Input Data'!$N$20:$N$189='Multiline XOL Check'!$C$23)))</f>
        <v>Arabsat BADR 7</v>
      </c>
      <c r="C28" s="259" cm="1">
        <f t="array" ref="C28:C47">SUMIF('Input Data'!X20:X189,_xlfn.ANCHORARRAY('Multiline XOL Check'!B28),'Input Data'!AA20:AA189)</f>
        <v>9517167.3330825903</v>
      </c>
      <c r="D28" s="262">
        <f>MEDIAN(C28-$C$8,0,$C$7)</f>
        <v>0</v>
      </c>
    </row>
    <row r="29" spans="2:5" x14ac:dyDescent="0.35">
      <c r="B29" s="185" t="str">
        <v>E3B</v>
      </c>
      <c r="C29" s="33">
        <v>8995750.7919540908</v>
      </c>
      <c r="D29" s="263">
        <f t="shared" ref="D29:D92" si="2">MEDIAN(C29-$C$8,0,$C$7)</f>
        <v>0</v>
      </c>
    </row>
    <row r="30" spans="2:5" x14ac:dyDescent="0.35">
      <c r="B30" s="185" t="str">
        <v>E36C</v>
      </c>
      <c r="C30" s="33">
        <v>11617716.6076576</v>
      </c>
      <c r="D30" s="263">
        <f t="shared" si="2"/>
        <v>0</v>
      </c>
    </row>
    <row r="31" spans="2:5" x14ac:dyDescent="0.35">
      <c r="B31" s="185" t="str">
        <v>E172B</v>
      </c>
      <c r="C31" s="33">
        <v>10746231.046425199</v>
      </c>
      <c r="D31" s="263">
        <f t="shared" si="2"/>
        <v>0</v>
      </c>
    </row>
    <row r="32" spans="2:5" x14ac:dyDescent="0.35">
      <c r="B32" s="185" t="str">
        <v>CO3D 1</v>
      </c>
      <c r="C32" s="33">
        <v>2196138.3852966102</v>
      </c>
      <c r="D32" s="263">
        <f t="shared" si="2"/>
        <v>0</v>
      </c>
    </row>
    <row r="33" spans="2:4" x14ac:dyDescent="0.35">
      <c r="B33" s="185" t="str">
        <v>CO3D 2</v>
      </c>
      <c r="C33" s="33">
        <v>2196138.3852966102</v>
      </c>
      <c r="D33" s="263">
        <f t="shared" si="2"/>
        <v>0</v>
      </c>
    </row>
    <row r="34" spans="2:4" x14ac:dyDescent="0.35">
      <c r="B34" s="185" t="str">
        <v>CO3D 3</v>
      </c>
      <c r="C34" s="33">
        <v>2196138.3852966102</v>
      </c>
      <c r="D34" s="263">
        <f t="shared" si="2"/>
        <v>0</v>
      </c>
    </row>
    <row r="35" spans="2:4" x14ac:dyDescent="0.35">
      <c r="B35" s="185" t="str">
        <v>CO3D 4</v>
      </c>
      <c r="C35" s="33">
        <v>2196138.3852966102</v>
      </c>
      <c r="D35" s="263">
        <f t="shared" si="2"/>
        <v>0</v>
      </c>
    </row>
    <row r="36" spans="2:4" x14ac:dyDescent="0.35">
      <c r="B36" s="185" t="str">
        <v>E13G</v>
      </c>
      <c r="C36" s="33">
        <v>19814782.423728701</v>
      </c>
      <c r="D36" s="263">
        <f t="shared" si="2"/>
        <v>4814782.4237287007</v>
      </c>
    </row>
    <row r="37" spans="2:4" x14ac:dyDescent="0.35">
      <c r="B37" s="185" t="str">
        <v>E13F</v>
      </c>
      <c r="C37" s="33">
        <v>19814782.423728701</v>
      </c>
      <c r="D37" s="263">
        <f t="shared" si="2"/>
        <v>4814782.4237287007</v>
      </c>
    </row>
    <row r="38" spans="2:4" x14ac:dyDescent="0.35">
      <c r="B38" s="185" t="str">
        <v>SPAINSAT NG-1</v>
      </c>
      <c r="C38" s="33">
        <v>28857627.37544075</v>
      </c>
      <c r="D38" s="263">
        <f t="shared" si="2"/>
        <v>13857627.37544075</v>
      </c>
    </row>
    <row r="39" spans="2:4" x14ac:dyDescent="0.35">
      <c r="B39" s="185" t="str">
        <v>SPAINSAT NG-2</v>
      </c>
      <c r="C39" s="33">
        <v>26601157.9806302</v>
      </c>
      <c r="D39" s="263">
        <f t="shared" si="2"/>
        <v>11601157.9806302</v>
      </c>
    </row>
    <row r="40" spans="2:4" x14ac:dyDescent="0.35">
      <c r="B40" s="185" t="str">
        <v>INMARSAT 6-F1</v>
      </c>
      <c r="C40" s="33">
        <v>30041791.496321999</v>
      </c>
      <c r="D40" s="263">
        <f t="shared" si="2"/>
        <v>15041791.496321999</v>
      </c>
    </row>
    <row r="41" spans="2:4" x14ac:dyDescent="0.35">
      <c r="B41" s="185" t="str">
        <v>PLEIADES NEO 3</v>
      </c>
      <c r="C41" s="33">
        <v>10003270.3710598</v>
      </c>
      <c r="D41" s="263">
        <f t="shared" si="2"/>
        <v>0</v>
      </c>
    </row>
    <row r="42" spans="2:4" x14ac:dyDescent="0.35">
      <c r="B42" s="185" t="str">
        <v>TIBA 1 (NAVISAT 12A)</v>
      </c>
      <c r="C42" s="33">
        <v>21459222.698865999</v>
      </c>
      <c r="D42" s="263">
        <f t="shared" si="2"/>
        <v>6459222.6988659985</v>
      </c>
    </row>
    <row r="43" spans="2:4" x14ac:dyDescent="0.35">
      <c r="B43" s="185" t="str">
        <v>MEASAT 3B</v>
      </c>
      <c r="C43" s="33">
        <v>5257731.9499999797</v>
      </c>
      <c r="D43" s="263">
        <f t="shared" si="2"/>
        <v>0</v>
      </c>
    </row>
    <row r="44" spans="2:4" x14ac:dyDescent="0.35">
      <c r="B44" s="185" t="str">
        <v>MEASAT 3D</v>
      </c>
      <c r="C44" s="33">
        <v>12989690.69999999</v>
      </c>
      <c r="D44" s="263">
        <f t="shared" si="2"/>
        <v>0</v>
      </c>
    </row>
    <row r="45" spans="2:4" x14ac:dyDescent="0.35">
      <c r="B45" s="185" t="str">
        <v>TURKSAT 5B</v>
      </c>
      <c r="C45" s="33">
        <v>12702481.834499288</v>
      </c>
      <c r="D45" s="263">
        <f t="shared" si="2"/>
        <v>0</v>
      </c>
    </row>
    <row r="46" spans="2:4" x14ac:dyDescent="0.35">
      <c r="B46" s="185" t="str">
        <v>TURKSAT 5A</v>
      </c>
      <c r="C46" s="33">
        <v>12110083.278785599</v>
      </c>
      <c r="D46" s="263">
        <f t="shared" si="2"/>
        <v>0</v>
      </c>
    </row>
    <row r="47" spans="2:4" x14ac:dyDescent="0.35">
      <c r="B47" s="185" t="str">
        <v>THURAYA 4-NGS</v>
      </c>
      <c r="C47" s="33">
        <v>18529559.999999899</v>
      </c>
      <c r="D47" s="263">
        <f t="shared" si="2"/>
        <v>3529559.9999998994</v>
      </c>
    </row>
    <row r="48" spans="2:4" x14ac:dyDescent="0.35">
      <c r="B48" s="185"/>
      <c r="C48" s="33"/>
      <c r="D48" s="263">
        <f t="shared" si="2"/>
        <v>0</v>
      </c>
    </row>
    <row r="49" spans="2:4" x14ac:dyDescent="0.35">
      <c r="B49" s="185"/>
      <c r="C49" s="33"/>
      <c r="D49" s="263">
        <f t="shared" si="2"/>
        <v>0</v>
      </c>
    </row>
    <row r="50" spans="2:4" x14ac:dyDescent="0.35">
      <c r="B50" s="185"/>
      <c r="C50" s="33"/>
      <c r="D50" s="263">
        <f t="shared" si="2"/>
        <v>0</v>
      </c>
    </row>
    <row r="51" spans="2:4" x14ac:dyDescent="0.35">
      <c r="B51" s="185"/>
      <c r="C51" s="33"/>
      <c r="D51" s="263">
        <f t="shared" si="2"/>
        <v>0</v>
      </c>
    </row>
    <row r="52" spans="2:4" x14ac:dyDescent="0.35">
      <c r="B52" s="185"/>
      <c r="C52" s="33"/>
      <c r="D52" s="263">
        <f t="shared" si="2"/>
        <v>0</v>
      </c>
    </row>
    <row r="53" spans="2:4" x14ac:dyDescent="0.35">
      <c r="B53" s="185"/>
      <c r="C53" s="33"/>
      <c r="D53" s="263">
        <f t="shared" si="2"/>
        <v>0</v>
      </c>
    </row>
    <row r="54" spans="2:4" x14ac:dyDescent="0.35">
      <c r="B54" s="187"/>
      <c r="C54" s="260"/>
      <c r="D54" s="264">
        <f t="shared" si="2"/>
        <v>0</v>
      </c>
    </row>
    <row r="55" spans="2:4" x14ac:dyDescent="0.35">
      <c r="D55" s="33">
        <f t="shared" si="2"/>
        <v>0</v>
      </c>
    </row>
    <row r="56" spans="2:4" x14ac:dyDescent="0.35">
      <c r="D56" s="33">
        <f t="shared" si="2"/>
        <v>0</v>
      </c>
    </row>
    <row r="57" spans="2:4" x14ac:dyDescent="0.35">
      <c r="D57" s="33">
        <f t="shared" si="2"/>
        <v>0</v>
      </c>
    </row>
    <row r="58" spans="2:4" x14ac:dyDescent="0.35">
      <c r="D58" s="33">
        <f t="shared" si="2"/>
        <v>0</v>
      </c>
    </row>
    <row r="59" spans="2:4" x14ac:dyDescent="0.35">
      <c r="D59" s="33">
        <f t="shared" si="2"/>
        <v>0</v>
      </c>
    </row>
    <row r="60" spans="2:4" x14ac:dyDescent="0.35">
      <c r="D60" s="33">
        <f t="shared" si="2"/>
        <v>0</v>
      </c>
    </row>
    <row r="61" spans="2:4" x14ac:dyDescent="0.35">
      <c r="D61" s="33">
        <f t="shared" si="2"/>
        <v>0</v>
      </c>
    </row>
    <row r="62" spans="2:4" x14ac:dyDescent="0.35">
      <c r="D62" s="33">
        <f t="shared" si="2"/>
        <v>0</v>
      </c>
    </row>
    <row r="63" spans="2:4" x14ac:dyDescent="0.35">
      <c r="D63" s="33">
        <f t="shared" si="2"/>
        <v>0</v>
      </c>
    </row>
    <row r="64" spans="2:4" x14ac:dyDescent="0.35">
      <c r="D64" s="33">
        <f t="shared" si="2"/>
        <v>0</v>
      </c>
    </row>
    <row r="65" spans="4:4" x14ac:dyDescent="0.35">
      <c r="D65" s="33">
        <f t="shared" si="2"/>
        <v>0</v>
      </c>
    </row>
    <row r="66" spans="4:4" x14ac:dyDescent="0.35">
      <c r="D66" s="33">
        <f t="shared" si="2"/>
        <v>0</v>
      </c>
    </row>
    <row r="67" spans="4:4" x14ac:dyDescent="0.35">
      <c r="D67" s="33">
        <f t="shared" si="2"/>
        <v>0</v>
      </c>
    </row>
    <row r="68" spans="4:4" x14ac:dyDescent="0.35">
      <c r="D68" s="33">
        <f t="shared" si="2"/>
        <v>0</v>
      </c>
    </row>
    <row r="69" spans="4:4" x14ac:dyDescent="0.35">
      <c r="D69" s="33">
        <f t="shared" si="2"/>
        <v>0</v>
      </c>
    </row>
    <row r="70" spans="4:4" x14ac:dyDescent="0.35">
      <c r="D70" s="33">
        <f t="shared" si="2"/>
        <v>0</v>
      </c>
    </row>
    <row r="71" spans="4:4" x14ac:dyDescent="0.35">
      <c r="D71" s="33">
        <f t="shared" si="2"/>
        <v>0</v>
      </c>
    </row>
    <row r="72" spans="4:4" x14ac:dyDescent="0.35">
      <c r="D72" s="33">
        <f t="shared" si="2"/>
        <v>0</v>
      </c>
    </row>
    <row r="73" spans="4:4" x14ac:dyDescent="0.35">
      <c r="D73" s="33">
        <f t="shared" si="2"/>
        <v>0</v>
      </c>
    </row>
    <row r="74" spans="4:4" x14ac:dyDescent="0.35">
      <c r="D74" s="33">
        <f t="shared" si="2"/>
        <v>0</v>
      </c>
    </row>
    <row r="75" spans="4:4" x14ac:dyDescent="0.35">
      <c r="D75" s="33">
        <f t="shared" si="2"/>
        <v>0</v>
      </c>
    </row>
    <row r="76" spans="4:4" x14ac:dyDescent="0.35">
      <c r="D76" s="33">
        <f t="shared" si="2"/>
        <v>0</v>
      </c>
    </row>
    <row r="77" spans="4:4" x14ac:dyDescent="0.35">
      <c r="D77" s="33">
        <f t="shared" si="2"/>
        <v>0</v>
      </c>
    </row>
    <row r="78" spans="4:4" x14ac:dyDescent="0.35">
      <c r="D78" s="33">
        <f t="shared" si="2"/>
        <v>0</v>
      </c>
    </row>
    <row r="79" spans="4:4" x14ac:dyDescent="0.35">
      <c r="D79" s="33">
        <f t="shared" si="2"/>
        <v>0</v>
      </c>
    </row>
    <row r="80" spans="4:4" x14ac:dyDescent="0.35">
      <c r="D80" s="33">
        <f t="shared" si="2"/>
        <v>0</v>
      </c>
    </row>
    <row r="81" spans="4:4" x14ac:dyDescent="0.35">
      <c r="D81" s="33">
        <f t="shared" si="2"/>
        <v>0</v>
      </c>
    </row>
    <row r="82" spans="4:4" x14ac:dyDescent="0.35">
      <c r="D82" s="33">
        <f t="shared" si="2"/>
        <v>0</v>
      </c>
    </row>
    <row r="83" spans="4:4" x14ac:dyDescent="0.35">
      <c r="D83" s="33">
        <f t="shared" si="2"/>
        <v>0</v>
      </c>
    </row>
    <row r="84" spans="4:4" x14ac:dyDescent="0.35">
      <c r="D84" s="33">
        <f t="shared" si="2"/>
        <v>0</v>
      </c>
    </row>
    <row r="85" spans="4:4" x14ac:dyDescent="0.35">
      <c r="D85" s="33">
        <f t="shared" si="2"/>
        <v>0</v>
      </c>
    </row>
    <row r="86" spans="4:4" x14ac:dyDescent="0.35">
      <c r="D86" s="33">
        <f t="shared" si="2"/>
        <v>0</v>
      </c>
    </row>
    <row r="87" spans="4:4" x14ac:dyDescent="0.35">
      <c r="D87" s="33">
        <f t="shared" si="2"/>
        <v>0</v>
      </c>
    </row>
    <row r="88" spans="4:4" x14ac:dyDescent="0.35">
      <c r="D88" s="33">
        <f t="shared" si="2"/>
        <v>0</v>
      </c>
    </row>
    <row r="89" spans="4:4" x14ac:dyDescent="0.35">
      <c r="D89" s="33">
        <f t="shared" si="2"/>
        <v>0</v>
      </c>
    </row>
    <row r="90" spans="4:4" x14ac:dyDescent="0.35">
      <c r="D90" s="33">
        <f t="shared" si="2"/>
        <v>0</v>
      </c>
    </row>
    <row r="91" spans="4:4" x14ac:dyDescent="0.35">
      <c r="D91" s="33">
        <f t="shared" si="2"/>
        <v>0</v>
      </c>
    </row>
    <row r="92" spans="4:4" x14ac:dyDescent="0.35">
      <c r="D92" s="33">
        <f t="shared" si="2"/>
        <v>0</v>
      </c>
    </row>
    <row r="93" spans="4:4" x14ac:dyDescent="0.35">
      <c r="D93" s="33">
        <f t="shared" ref="D93:D156" si="3">MEDIAN(C93-$C$8,0,$C$7)</f>
        <v>0</v>
      </c>
    </row>
    <row r="94" spans="4:4" x14ac:dyDescent="0.35">
      <c r="D94" s="33">
        <f t="shared" si="3"/>
        <v>0</v>
      </c>
    </row>
    <row r="95" spans="4:4" x14ac:dyDescent="0.35">
      <c r="D95" s="33">
        <f t="shared" si="3"/>
        <v>0</v>
      </c>
    </row>
    <row r="96" spans="4:4" x14ac:dyDescent="0.35">
      <c r="D96" s="33">
        <f t="shared" si="3"/>
        <v>0</v>
      </c>
    </row>
    <row r="97" spans="4:4" x14ac:dyDescent="0.35">
      <c r="D97" s="33">
        <f t="shared" si="3"/>
        <v>0</v>
      </c>
    </row>
    <row r="98" spans="4:4" x14ac:dyDescent="0.35">
      <c r="D98" s="33">
        <f t="shared" si="3"/>
        <v>0</v>
      </c>
    </row>
    <row r="99" spans="4:4" x14ac:dyDescent="0.35">
      <c r="D99" s="33">
        <f t="shared" si="3"/>
        <v>0</v>
      </c>
    </row>
    <row r="100" spans="4:4" x14ac:dyDescent="0.35">
      <c r="D100" s="33">
        <f t="shared" si="3"/>
        <v>0</v>
      </c>
    </row>
    <row r="101" spans="4:4" x14ac:dyDescent="0.35">
      <c r="D101" s="33">
        <f t="shared" si="3"/>
        <v>0</v>
      </c>
    </row>
    <row r="102" spans="4:4" x14ac:dyDescent="0.35">
      <c r="D102" s="33">
        <f t="shared" si="3"/>
        <v>0</v>
      </c>
    </row>
    <row r="103" spans="4:4" x14ac:dyDescent="0.35">
      <c r="D103" s="33">
        <f t="shared" si="3"/>
        <v>0</v>
      </c>
    </row>
    <row r="104" spans="4:4" x14ac:dyDescent="0.35">
      <c r="D104" s="33">
        <f t="shared" si="3"/>
        <v>0</v>
      </c>
    </row>
    <row r="105" spans="4:4" x14ac:dyDescent="0.35">
      <c r="D105" s="33">
        <f t="shared" si="3"/>
        <v>0</v>
      </c>
    </row>
    <row r="106" spans="4:4" x14ac:dyDescent="0.35">
      <c r="D106" s="33">
        <f t="shared" si="3"/>
        <v>0</v>
      </c>
    </row>
    <row r="107" spans="4:4" x14ac:dyDescent="0.35">
      <c r="D107" s="33">
        <f t="shared" si="3"/>
        <v>0</v>
      </c>
    </row>
    <row r="108" spans="4:4" x14ac:dyDescent="0.35">
      <c r="D108" s="33">
        <f t="shared" si="3"/>
        <v>0</v>
      </c>
    </row>
    <row r="109" spans="4:4" x14ac:dyDescent="0.35">
      <c r="D109" s="33">
        <f t="shared" si="3"/>
        <v>0</v>
      </c>
    </row>
    <row r="110" spans="4:4" x14ac:dyDescent="0.35">
      <c r="D110" s="33">
        <f t="shared" si="3"/>
        <v>0</v>
      </c>
    </row>
    <row r="111" spans="4:4" x14ac:dyDescent="0.35">
      <c r="D111" s="33">
        <f t="shared" si="3"/>
        <v>0</v>
      </c>
    </row>
    <row r="112" spans="4:4" x14ac:dyDescent="0.35">
      <c r="D112" s="33">
        <f t="shared" si="3"/>
        <v>0</v>
      </c>
    </row>
    <row r="113" spans="4:4" x14ac:dyDescent="0.35">
      <c r="D113" s="33">
        <f t="shared" si="3"/>
        <v>0</v>
      </c>
    </row>
    <row r="114" spans="4:4" x14ac:dyDescent="0.35">
      <c r="D114" s="33">
        <f t="shared" si="3"/>
        <v>0</v>
      </c>
    </row>
    <row r="115" spans="4:4" x14ac:dyDescent="0.35">
      <c r="D115" s="33">
        <f t="shared" si="3"/>
        <v>0</v>
      </c>
    </row>
    <row r="116" spans="4:4" x14ac:dyDescent="0.35">
      <c r="D116" s="33">
        <f t="shared" si="3"/>
        <v>0</v>
      </c>
    </row>
    <row r="117" spans="4:4" x14ac:dyDescent="0.35">
      <c r="D117" s="33">
        <f t="shared" si="3"/>
        <v>0</v>
      </c>
    </row>
    <row r="118" spans="4:4" x14ac:dyDescent="0.35">
      <c r="D118" s="33">
        <f t="shared" si="3"/>
        <v>0</v>
      </c>
    </row>
    <row r="119" spans="4:4" x14ac:dyDescent="0.35">
      <c r="D119" s="33">
        <f t="shared" si="3"/>
        <v>0</v>
      </c>
    </row>
    <row r="120" spans="4:4" x14ac:dyDescent="0.35">
      <c r="D120" s="33">
        <f t="shared" si="3"/>
        <v>0</v>
      </c>
    </row>
    <row r="121" spans="4:4" x14ac:dyDescent="0.35">
      <c r="D121" s="33">
        <f t="shared" si="3"/>
        <v>0</v>
      </c>
    </row>
    <row r="122" spans="4:4" x14ac:dyDescent="0.35">
      <c r="D122" s="33">
        <f t="shared" si="3"/>
        <v>0</v>
      </c>
    </row>
    <row r="123" spans="4:4" x14ac:dyDescent="0.35">
      <c r="D123" s="33">
        <f t="shared" si="3"/>
        <v>0</v>
      </c>
    </row>
    <row r="124" spans="4:4" x14ac:dyDescent="0.35">
      <c r="D124" s="33">
        <f t="shared" si="3"/>
        <v>0</v>
      </c>
    </row>
    <row r="125" spans="4:4" x14ac:dyDescent="0.35">
      <c r="D125" s="33">
        <f t="shared" si="3"/>
        <v>0</v>
      </c>
    </row>
    <row r="126" spans="4:4" x14ac:dyDescent="0.35">
      <c r="D126" s="33">
        <f t="shared" si="3"/>
        <v>0</v>
      </c>
    </row>
    <row r="127" spans="4:4" x14ac:dyDescent="0.35">
      <c r="D127" s="33">
        <f t="shared" si="3"/>
        <v>0</v>
      </c>
    </row>
    <row r="128" spans="4:4" x14ac:dyDescent="0.35">
      <c r="D128" s="33">
        <f t="shared" si="3"/>
        <v>0</v>
      </c>
    </row>
    <row r="129" spans="4:4" x14ac:dyDescent="0.35">
      <c r="D129" s="33">
        <f t="shared" si="3"/>
        <v>0</v>
      </c>
    </row>
    <row r="130" spans="4:4" x14ac:dyDescent="0.35">
      <c r="D130" s="33">
        <f t="shared" si="3"/>
        <v>0</v>
      </c>
    </row>
    <row r="131" spans="4:4" x14ac:dyDescent="0.35">
      <c r="D131" s="33">
        <f t="shared" si="3"/>
        <v>0</v>
      </c>
    </row>
    <row r="132" spans="4:4" x14ac:dyDescent="0.35">
      <c r="D132" s="33">
        <f t="shared" si="3"/>
        <v>0</v>
      </c>
    </row>
    <row r="133" spans="4:4" x14ac:dyDescent="0.35">
      <c r="D133" s="33">
        <f t="shared" si="3"/>
        <v>0</v>
      </c>
    </row>
    <row r="134" spans="4:4" x14ac:dyDescent="0.35">
      <c r="D134" s="33">
        <f t="shared" si="3"/>
        <v>0</v>
      </c>
    </row>
    <row r="135" spans="4:4" x14ac:dyDescent="0.35">
      <c r="D135" s="33">
        <f t="shared" si="3"/>
        <v>0</v>
      </c>
    </row>
    <row r="136" spans="4:4" x14ac:dyDescent="0.35">
      <c r="D136" s="33">
        <f t="shared" si="3"/>
        <v>0</v>
      </c>
    </row>
    <row r="137" spans="4:4" x14ac:dyDescent="0.35">
      <c r="D137" s="33">
        <f t="shared" si="3"/>
        <v>0</v>
      </c>
    </row>
    <row r="138" spans="4:4" x14ac:dyDescent="0.35">
      <c r="D138" s="33">
        <f t="shared" si="3"/>
        <v>0</v>
      </c>
    </row>
    <row r="139" spans="4:4" x14ac:dyDescent="0.35">
      <c r="D139" s="33">
        <f t="shared" si="3"/>
        <v>0</v>
      </c>
    </row>
    <row r="140" spans="4:4" x14ac:dyDescent="0.35">
      <c r="D140" s="33">
        <f t="shared" si="3"/>
        <v>0</v>
      </c>
    </row>
    <row r="141" spans="4:4" x14ac:dyDescent="0.35">
      <c r="D141" s="33">
        <f t="shared" si="3"/>
        <v>0</v>
      </c>
    </row>
    <row r="142" spans="4:4" x14ac:dyDescent="0.35">
      <c r="D142" s="33">
        <f t="shared" si="3"/>
        <v>0</v>
      </c>
    </row>
    <row r="143" spans="4:4" x14ac:dyDescent="0.35">
      <c r="D143" s="33">
        <f t="shared" si="3"/>
        <v>0</v>
      </c>
    </row>
    <row r="144" spans="4:4" x14ac:dyDescent="0.35">
      <c r="D144" s="33">
        <f t="shared" si="3"/>
        <v>0</v>
      </c>
    </row>
    <row r="145" spans="4:4" x14ac:dyDescent="0.35">
      <c r="D145" s="33">
        <f t="shared" si="3"/>
        <v>0</v>
      </c>
    </row>
    <row r="146" spans="4:4" x14ac:dyDescent="0.35">
      <c r="D146" s="33">
        <f t="shared" si="3"/>
        <v>0</v>
      </c>
    </row>
    <row r="147" spans="4:4" x14ac:dyDescent="0.35">
      <c r="D147" s="33">
        <f t="shared" si="3"/>
        <v>0</v>
      </c>
    </row>
    <row r="148" spans="4:4" x14ac:dyDescent="0.35">
      <c r="D148" s="33">
        <f t="shared" si="3"/>
        <v>0</v>
      </c>
    </row>
    <row r="149" spans="4:4" x14ac:dyDescent="0.35">
      <c r="D149" s="33">
        <f t="shared" si="3"/>
        <v>0</v>
      </c>
    </row>
    <row r="150" spans="4:4" x14ac:dyDescent="0.35">
      <c r="D150" s="33">
        <f t="shared" si="3"/>
        <v>0</v>
      </c>
    </row>
    <row r="151" spans="4:4" x14ac:dyDescent="0.35">
      <c r="D151" s="33">
        <f t="shared" si="3"/>
        <v>0</v>
      </c>
    </row>
    <row r="152" spans="4:4" x14ac:dyDescent="0.35">
      <c r="D152" s="33">
        <f t="shared" si="3"/>
        <v>0</v>
      </c>
    </row>
    <row r="153" spans="4:4" x14ac:dyDescent="0.35">
      <c r="D153" s="33">
        <f t="shared" si="3"/>
        <v>0</v>
      </c>
    </row>
    <row r="154" spans="4:4" x14ac:dyDescent="0.35">
      <c r="D154" s="33">
        <f t="shared" si="3"/>
        <v>0</v>
      </c>
    </row>
    <row r="155" spans="4:4" x14ac:dyDescent="0.35">
      <c r="D155" s="33">
        <f t="shared" si="3"/>
        <v>0</v>
      </c>
    </row>
    <row r="156" spans="4:4" x14ac:dyDescent="0.35">
      <c r="D156" s="33">
        <f t="shared" si="3"/>
        <v>0</v>
      </c>
    </row>
    <row r="157" spans="4:4" x14ac:dyDescent="0.35">
      <c r="D157" s="33">
        <f t="shared" ref="D157:D199" si="4">MEDIAN(C157-$C$8,0,$C$7)</f>
        <v>0</v>
      </c>
    </row>
    <row r="158" spans="4:4" x14ac:dyDescent="0.35">
      <c r="D158" s="33">
        <f t="shared" si="4"/>
        <v>0</v>
      </c>
    </row>
    <row r="159" spans="4:4" x14ac:dyDescent="0.35">
      <c r="D159" s="33">
        <f t="shared" si="4"/>
        <v>0</v>
      </c>
    </row>
    <row r="160" spans="4:4" x14ac:dyDescent="0.35">
      <c r="D160" s="33">
        <f t="shared" si="4"/>
        <v>0</v>
      </c>
    </row>
    <row r="161" spans="4:4" x14ac:dyDescent="0.35">
      <c r="D161" s="33">
        <f t="shared" si="4"/>
        <v>0</v>
      </c>
    </row>
    <row r="162" spans="4:4" x14ac:dyDescent="0.35">
      <c r="D162" s="33">
        <f t="shared" si="4"/>
        <v>0</v>
      </c>
    </row>
    <row r="163" spans="4:4" x14ac:dyDescent="0.35">
      <c r="D163" s="33">
        <f t="shared" si="4"/>
        <v>0</v>
      </c>
    </row>
    <row r="164" spans="4:4" x14ac:dyDescent="0.35">
      <c r="D164" s="33">
        <f t="shared" si="4"/>
        <v>0</v>
      </c>
    </row>
    <row r="165" spans="4:4" x14ac:dyDescent="0.35">
      <c r="D165" s="33">
        <f t="shared" si="4"/>
        <v>0</v>
      </c>
    </row>
    <row r="166" spans="4:4" x14ac:dyDescent="0.35">
      <c r="D166" s="33">
        <f t="shared" si="4"/>
        <v>0</v>
      </c>
    </row>
    <row r="167" spans="4:4" x14ac:dyDescent="0.35">
      <c r="D167" s="33">
        <f t="shared" si="4"/>
        <v>0</v>
      </c>
    </row>
    <row r="168" spans="4:4" x14ac:dyDescent="0.35">
      <c r="D168" s="33">
        <f t="shared" si="4"/>
        <v>0</v>
      </c>
    </row>
    <row r="169" spans="4:4" x14ac:dyDescent="0.35">
      <c r="D169" s="33">
        <f t="shared" si="4"/>
        <v>0</v>
      </c>
    </row>
    <row r="170" spans="4:4" x14ac:dyDescent="0.35">
      <c r="D170" s="33">
        <f t="shared" si="4"/>
        <v>0</v>
      </c>
    </row>
    <row r="171" spans="4:4" x14ac:dyDescent="0.35">
      <c r="D171" s="33">
        <f t="shared" si="4"/>
        <v>0</v>
      </c>
    </row>
    <row r="172" spans="4:4" x14ac:dyDescent="0.35">
      <c r="D172" s="33">
        <f t="shared" si="4"/>
        <v>0</v>
      </c>
    </row>
    <row r="173" spans="4:4" x14ac:dyDescent="0.35">
      <c r="D173" s="33">
        <f t="shared" si="4"/>
        <v>0</v>
      </c>
    </row>
    <row r="174" spans="4:4" x14ac:dyDescent="0.35">
      <c r="D174" s="33">
        <f t="shared" si="4"/>
        <v>0</v>
      </c>
    </row>
    <row r="175" spans="4:4" x14ac:dyDescent="0.35">
      <c r="D175" s="33">
        <f t="shared" si="4"/>
        <v>0</v>
      </c>
    </row>
    <row r="176" spans="4:4" x14ac:dyDescent="0.35">
      <c r="D176" s="33">
        <f t="shared" si="4"/>
        <v>0</v>
      </c>
    </row>
    <row r="177" spans="4:4" x14ac:dyDescent="0.35">
      <c r="D177" s="33">
        <f t="shared" si="4"/>
        <v>0</v>
      </c>
    </row>
    <row r="178" spans="4:4" x14ac:dyDescent="0.35">
      <c r="D178" s="33">
        <f t="shared" si="4"/>
        <v>0</v>
      </c>
    </row>
    <row r="179" spans="4:4" x14ac:dyDescent="0.35">
      <c r="D179" s="33">
        <f t="shared" si="4"/>
        <v>0</v>
      </c>
    </row>
    <row r="180" spans="4:4" x14ac:dyDescent="0.35">
      <c r="D180" s="33">
        <f t="shared" si="4"/>
        <v>0</v>
      </c>
    </row>
    <row r="181" spans="4:4" x14ac:dyDescent="0.35">
      <c r="D181" s="33">
        <f t="shared" si="4"/>
        <v>0</v>
      </c>
    </row>
    <row r="182" spans="4:4" x14ac:dyDescent="0.35">
      <c r="D182" s="33">
        <f t="shared" si="4"/>
        <v>0</v>
      </c>
    </row>
    <row r="183" spans="4:4" x14ac:dyDescent="0.35">
      <c r="D183" s="33">
        <f t="shared" si="4"/>
        <v>0</v>
      </c>
    </row>
    <row r="184" spans="4:4" x14ac:dyDescent="0.35">
      <c r="D184" s="33">
        <f t="shared" si="4"/>
        <v>0</v>
      </c>
    </row>
    <row r="185" spans="4:4" x14ac:dyDescent="0.35">
      <c r="D185" s="33">
        <f t="shared" si="4"/>
        <v>0</v>
      </c>
    </row>
    <row r="186" spans="4:4" x14ac:dyDescent="0.35">
      <c r="D186" s="33">
        <f t="shared" si="4"/>
        <v>0</v>
      </c>
    </row>
    <row r="187" spans="4:4" x14ac:dyDescent="0.35">
      <c r="D187" s="33">
        <f t="shared" si="4"/>
        <v>0</v>
      </c>
    </row>
    <row r="188" spans="4:4" x14ac:dyDescent="0.35">
      <c r="D188" s="33">
        <f t="shared" si="4"/>
        <v>0</v>
      </c>
    </row>
    <row r="189" spans="4:4" x14ac:dyDescent="0.35">
      <c r="D189" s="33">
        <f t="shared" si="4"/>
        <v>0</v>
      </c>
    </row>
    <row r="190" spans="4:4" x14ac:dyDescent="0.35">
      <c r="D190" s="33">
        <f t="shared" si="4"/>
        <v>0</v>
      </c>
    </row>
    <row r="191" spans="4:4" x14ac:dyDescent="0.35">
      <c r="D191" s="33">
        <f t="shared" si="4"/>
        <v>0</v>
      </c>
    </row>
    <row r="192" spans="4:4" x14ac:dyDescent="0.35">
      <c r="D192" s="33">
        <f t="shared" si="4"/>
        <v>0</v>
      </c>
    </row>
    <row r="193" spans="4:4" x14ac:dyDescent="0.35">
      <c r="D193" s="33">
        <f t="shared" si="4"/>
        <v>0</v>
      </c>
    </row>
    <row r="194" spans="4:4" x14ac:dyDescent="0.35">
      <c r="D194" s="33">
        <f t="shared" si="4"/>
        <v>0</v>
      </c>
    </row>
    <row r="195" spans="4:4" x14ac:dyDescent="0.35">
      <c r="D195" s="33">
        <f t="shared" si="4"/>
        <v>0</v>
      </c>
    </row>
    <row r="196" spans="4:4" x14ac:dyDescent="0.35">
      <c r="D196" s="33">
        <f t="shared" si="4"/>
        <v>0</v>
      </c>
    </row>
    <row r="197" spans="4:4" x14ac:dyDescent="0.35">
      <c r="D197" s="33">
        <f t="shared" si="4"/>
        <v>0</v>
      </c>
    </row>
    <row r="198" spans="4:4" x14ac:dyDescent="0.35">
      <c r="D198" s="33">
        <f t="shared" si="4"/>
        <v>0</v>
      </c>
    </row>
    <row r="199" spans="4:4" x14ac:dyDescent="0.35">
      <c r="D199" s="33">
        <f t="shared" si="4"/>
        <v>0</v>
      </c>
    </row>
  </sheetData>
  <mergeCells count="1">
    <mergeCell ref="C11:D11"/>
  </mergeCells>
  <hyperlinks>
    <hyperlink ref="C3" r:id="rId1" display="https://fidelisinsurance.sharepoint.com/:x:/s/FidelisMGUUnderwriting/IQDWD6IKNbIxR51G2H9nJYUFAXHa0Ui_it_KryCSDJXGanY?e=XVhYpw" xr:uid="{8B8734E5-655E-4D24-B8F8-E58E8556238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1D33-248C-41DF-B38D-5DBDE9A2C17E}">
  <sheetPr codeName="Sheet22"/>
  <dimension ref="A1:B4"/>
  <sheetViews>
    <sheetView workbookViewId="0">
      <selection activeCell="I27" sqref="I27"/>
    </sheetView>
  </sheetViews>
  <sheetFormatPr defaultRowHeight="14.5" x14ac:dyDescent="0.35"/>
  <sheetData>
    <row r="1" spans="1:2" x14ac:dyDescent="0.35">
      <c r="A1" t="s">
        <v>126</v>
      </c>
      <c r="B1" t="s">
        <v>394</v>
      </c>
    </row>
    <row r="2" spans="1:2" x14ac:dyDescent="0.35">
      <c r="A2">
        <v>2024</v>
      </c>
      <c r="B2" s="227">
        <v>9.9000000000000005E-2</v>
      </c>
    </row>
    <row r="3" spans="1:2" x14ac:dyDescent="0.35">
      <c r="A3">
        <v>2025</v>
      </c>
      <c r="B3" s="227">
        <v>7.4999999999999997E-2</v>
      </c>
    </row>
    <row r="4" spans="1:2" x14ac:dyDescent="0.35">
      <c r="A4" s="349">
        <v>2026</v>
      </c>
      <c r="B4" s="350">
        <v>7.4999999999999997E-2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B4D91-3FD4-4C04-B187-F2ACE77120AE}">
  <sheetPr codeName="Sheet23">
    <tabColor theme="7" tint="0.39997558519241921"/>
  </sheetPr>
  <dimension ref="A1:F5"/>
  <sheetViews>
    <sheetView zoomScale="133" workbookViewId="0">
      <selection activeCell="D39" sqref="D39"/>
    </sheetView>
  </sheetViews>
  <sheetFormatPr defaultRowHeight="14.5" x14ac:dyDescent="0.35"/>
  <cols>
    <col min="1" max="1" width="12.54296875" customWidth="1"/>
    <col min="2" max="2" width="27.54296875" bestFit="1" customWidth="1"/>
    <col min="3" max="3" width="11.90625" bestFit="1" customWidth="1"/>
    <col min="4" max="4" width="11.90625" customWidth="1"/>
    <col min="5" max="5" width="9.90625" bestFit="1" customWidth="1"/>
    <col min="6" max="6" width="14.6328125" bestFit="1" customWidth="1"/>
  </cols>
  <sheetData>
    <row r="1" spans="1:6" x14ac:dyDescent="0.35">
      <c r="B1" t="s">
        <v>630</v>
      </c>
    </row>
    <row r="2" spans="1:6" x14ac:dyDescent="0.35">
      <c r="A2" t="s">
        <v>599</v>
      </c>
      <c r="B2" t="s">
        <v>625</v>
      </c>
      <c r="C2" t="s">
        <v>626</v>
      </c>
      <c r="D2" t="s">
        <v>632</v>
      </c>
      <c r="E2" t="s">
        <v>631</v>
      </c>
      <c r="F2" t="s">
        <v>600</v>
      </c>
    </row>
    <row r="3" spans="1:6" x14ac:dyDescent="0.35">
      <c r="A3" s="2">
        <v>44866</v>
      </c>
      <c r="B3" s="33">
        <v>30000000</v>
      </c>
      <c r="C3" s="33">
        <v>12500000</v>
      </c>
      <c r="D3" s="33">
        <v>0</v>
      </c>
      <c r="E3" s="33">
        <v>6000000</v>
      </c>
      <c r="F3" s="450">
        <f>C3/B3</f>
        <v>0.41666666666666669</v>
      </c>
    </row>
    <row r="4" spans="1:6" x14ac:dyDescent="0.35">
      <c r="A4" s="2">
        <v>46023</v>
      </c>
      <c r="B4" s="33">
        <v>30000000</v>
      </c>
      <c r="C4" s="33">
        <v>15000000</v>
      </c>
      <c r="D4" s="33">
        <v>0</v>
      </c>
      <c r="E4" s="33">
        <v>6000000</v>
      </c>
      <c r="F4" s="450">
        <f>C4/B4</f>
        <v>0.5</v>
      </c>
    </row>
    <row r="5" spans="1:6" x14ac:dyDescent="0.35">
      <c r="A5" s="2">
        <v>46113</v>
      </c>
      <c r="B5" s="33">
        <v>30000000</v>
      </c>
      <c r="C5" s="33">
        <v>10000000</v>
      </c>
      <c r="D5" s="33">
        <v>5000000</v>
      </c>
      <c r="E5" s="33">
        <v>6000000</v>
      </c>
      <c r="F5" s="204">
        <f>C5/B5</f>
        <v>0.33333333333333331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91EF-8C34-4210-B556-1222AEDBE3AF}">
  <sheetPr codeName="Sheet24">
    <tabColor theme="7" tint="0.39997558519241921"/>
  </sheetPr>
  <dimension ref="B2:O7"/>
  <sheetViews>
    <sheetView topLeftCell="I1" zoomScale="130" zoomScaleNormal="130" workbookViewId="0">
      <selection activeCell="F3" sqref="F3:O4"/>
    </sheetView>
  </sheetViews>
  <sheetFormatPr defaultRowHeight="14.5" x14ac:dyDescent="0.35"/>
  <cols>
    <col min="2" max="2" width="31.453125" customWidth="1"/>
    <col min="3" max="3" width="24.36328125" customWidth="1"/>
    <col min="4" max="4" width="20.90625" customWidth="1"/>
    <col min="6" max="6" width="18.453125" customWidth="1"/>
    <col min="7" max="7" width="32.08984375" customWidth="1"/>
    <col min="8" max="9" width="24.453125" customWidth="1"/>
    <col min="10" max="10" width="52.36328125" bestFit="1" customWidth="1"/>
    <col min="11" max="11" width="26.90625" customWidth="1"/>
    <col min="12" max="12" width="10.90625" bestFit="1" customWidth="1"/>
    <col min="13" max="13" width="11.6328125" bestFit="1" customWidth="1"/>
    <col min="14" max="14" width="14.453125" bestFit="1" customWidth="1"/>
    <col min="15" max="15" width="64.08984375" bestFit="1" customWidth="1"/>
  </cols>
  <sheetData>
    <row r="2" spans="2:15" x14ac:dyDescent="0.35">
      <c r="H2" s="71" t="s">
        <v>85</v>
      </c>
      <c r="J2" s="71" t="s">
        <v>634</v>
      </c>
    </row>
    <row r="3" spans="2:15" x14ac:dyDescent="0.35">
      <c r="B3" t="s">
        <v>617</v>
      </c>
      <c r="C3" t="s">
        <v>618</v>
      </c>
      <c r="D3" t="s">
        <v>127</v>
      </c>
      <c r="F3" t="s">
        <v>616</v>
      </c>
      <c r="G3" t="s">
        <v>615</v>
      </c>
      <c r="H3" t="s">
        <v>614</v>
      </c>
      <c r="J3" s="409" t="s">
        <v>637</v>
      </c>
      <c r="K3" s="409" t="s">
        <v>624</v>
      </c>
      <c r="L3" s="409" t="s">
        <v>625</v>
      </c>
      <c r="M3" s="409" t="s">
        <v>626</v>
      </c>
      <c r="N3" s="409" t="s">
        <v>635</v>
      </c>
      <c r="O3" s="409" t="s">
        <v>627</v>
      </c>
    </row>
    <row r="4" spans="2:15" x14ac:dyDescent="0.35">
      <c r="B4" s="2">
        <v>44866</v>
      </c>
      <c r="C4" s="2">
        <v>46387</v>
      </c>
      <c r="D4" s="407">
        <v>0.2</v>
      </c>
      <c r="F4">
        <v>14294</v>
      </c>
      <c r="G4" t="s">
        <v>612</v>
      </c>
      <c r="H4" t="b">
        <f>ISNUMBER(MATCH(Table1[[#This Row],[Excluded Spacecraft Name]],'Input Data'!$X$20:$X$188,0))</f>
        <v>1</v>
      </c>
      <c r="J4" s="268" t="s">
        <v>628</v>
      </c>
      <c r="K4" s="259">
        <v>30000000</v>
      </c>
      <c r="L4" s="259">
        <f>30/48.5*K4</f>
        <v>18556701.030927837</v>
      </c>
      <c r="M4" s="259">
        <f>(12.5/48.5)*K4</f>
        <v>7731958.7628865968</v>
      </c>
      <c r="N4" s="259">
        <f>M4*0.2</f>
        <v>1546391.7525773195</v>
      </c>
      <c r="O4" s="262">
        <f>N4+L4</f>
        <v>20103092.783505157</v>
      </c>
    </row>
    <row r="5" spans="2:15" x14ac:dyDescent="0.35">
      <c r="F5">
        <v>13257</v>
      </c>
      <c r="G5" t="s">
        <v>613</v>
      </c>
      <c r="H5" t="b">
        <f>ISNUMBER(MATCH(Table1[[#This Row],[Excluded Spacecraft Name]],'Input Data'!$X$20:$X$188,0))</f>
        <v>1</v>
      </c>
      <c r="J5" s="414" t="s">
        <v>629</v>
      </c>
      <c r="K5" s="260">
        <v>15000000</v>
      </c>
      <c r="L5" s="260">
        <f>30/48.5*K5</f>
        <v>9278350.5154639184</v>
      </c>
      <c r="M5" s="260">
        <f>(12.5/48.5)*K5</f>
        <v>3865979.3814432984</v>
      </c>
      <c r="N5" s="260">
        <f>M5*0.2</f>
        <v>773195.87628865975</v>
      </c>
      <c r="O5" s="264">
        <f>N5+L5</f>
        <v>10051546.391752578</v>
      </c>
    </row>
    <row r="6" spans="2:15" x14ac:dyDescent="0.35">
      <c r="F6">
        <v>10590</v>
      </c>
      <c r="G6" t="s">
        <v>314</v>
      </c>
      <c r="H6" t="b">
        <f>ISNUMBER(MATCH(Table1[[#This Row],[Excluded Spacecraft Name]],'Input Data'!$X$20:$X$188,0))</f>
        <v>1</v>
      </c>
      <c r="J6" s="413" t="s">
        <v>314</v>
      </c>
      <c r="K6" s="410">
        <f>K4+K5</f>
        <v>45000000</v>
      </c>
      <c r="L6" s="411">
        <f>L4+L5</f>
        <v>27835051.546391755</v>
      </c>
      <c r="M6" s="411">
        <f>M4+M5</f>
        <v>11597938.144329894</v>
      </c>
      <c r="N6" s="410">
        <f>N5+N4</f>
        <v>2319587.6288659791</v>
      </c>
      <c r="O6" s="412">
        <f>O4+O5</f>
        <v>30154639.175257735</v>
      </c>
    </row>
    <row r="7" spans="2:15" x14ac:dyDescent="0.35">
      <c r="O7" s="71" t="s">
        <v>636</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2A7F-621B-4493-81CE-658B2AC453DA}">
  <sheetPr codeName="Sheet25">
    <tabColor theme="4" tint="0.39997558519241921"/>
  </sheetPr>
  <dimension ref="A1:G10"/>
  <sheetViews>
    <sheetView workbookViewId="0">
      <selection activeCell="H17" sqref="H17"/>
    </sheetView>
  </sheetViews>
  <sheetFormatPr defaultRowHeight="14.5" x14ac:dyDescent="0.35"/>
  <cols>
    <col min="1" max="2" width="15.6328125" bestFit="1" customWidth="1"/>
    <col min="3" max="3" width="15.453125" bestFit="1" customWidth="1"/>
    <col min="4" max="4" width="17.6328125" bestFit="1" customWidth="1"/>
    <col min="5" max="5" width="11.6328125" customWidth="1"/>
    <col min="6" max="6" width="18.36328125" bestFit="1" customWidth="1"/>
  </cols>
  <sheetData>
    <row r="1" spans="1:7" x14ac:dyDescent="0.35">
      <c r="A1" t="s">
        <v>599</v>
      </c>
      <c r="B1" t="s">
        <v>605</v>
      </c>
      <c r="C1" t="s">
        <v>606</v>
      </c>
      <c r="D1" t="s">
        <v>607</v>
      </c>
      <c r="E1" t="s">
        <v>127</v>
      </c>
      <c r="F1" t="s">
        <v>608</v>
      </c>
    </row>
    <row r="2" spans="1:7" x14ac:dyDescent="0.35">
      <c r="A2" s="2">
        <v>42005</v>
      </c>
      <c r="B2" s="2">
        <v>45473</v>
      </c>
      <c r="C2" t="s">
        <v>609</v>
      </c>
      <c r="D2">
        <v>2</v>
      </c>
      <c r="E2">
        <v>1</v>
      </c>
      <c r="F2">
        <v>48500000</v>
      </c>
    </row>
    <row r="3" spans="1:7" x14ac:dyDescent="0.35">
      <c r="A3" s="2">
        <v>42005</v>
      </c>
      <c r="B3" s="2">
        <v>45473</v>
      </c>
      <c r="C3" t="s">
        <v>610</v>
      </c>
      <c r="D3">
        <v>5</v>
      </c>
      <c r="E3">
        <v>0</v>
      </c>
      <c r="F3">
        <v>0</v>
      </c>
    </row>
    <row r="4" spans="1:7" x14ac:dyDescent="0.35">
      <c r="A4" s="2">
        <v>45474</v>
      </c>
      <c r="B4" s="2">
        <v>46022</v>
      </c>
      <c r="C4" t="s">
        <v>609</v>
      </c>
      <c r="D4">
        <v>2</v>
      </c>
      <c r="E4" s="395">
        <v>0.61855669999999996</v>
      </c>
      <c r="F4">
        <v>30000000</v>
      </c>
      <c r="G4" s="394">
        <f>F4/48500000</f>
        <v>0.61855670103092786</v>
      </c>
    </row>
    <row r="5" spans="1:7" x14ac:dyDescent="0.35">
      <c r="A5" s="2">
        <v>45474</v>
      </c>
      <c r="B5" s="2">
        <v>46022</v>
      </c>
      <c r="C5" t="s">
        <v>610</v>
      </c>
      <c r="D5">
        <v>5</v>
      </c>
      <c r="E5" s="395">
        <v>0.25773200000000002</v>
      </c>
      <c r="F5">
        <v>12500000</v>
      </c>
      <c r="G5" s="394">
        <f>F5/48500000</f>
        <v>0.25773195876288657</v>
      </c>
    </row>
    <row r="6" spans="1:7" x14ac:dyDescent="0.35">
      <c r="A6" s="2">
        <v>46023</v>
      </c>
      <c r="B6" s="2">
        <v>46112</v>
      </c>
      <c r="C6" t="s">
        <v>609</v>
      </c>
      <c r="D6">
        <v>2</v>
      </c>
      <c r="E6" s="395">
        <v>0.58823999999999999</v>
      </c>
      <c r="F6">
        <v>30000000</v>
      </c>
      <c r="G6" s="394">
        <f>F6/51000000</f>
        <v>0.58823529411764708</v>
      </c>
    </row>
    <row r="7" spans="1:7" x14ac:dyDescent="0.35">
      <c r="A7" s="2">
        <v>46023</v>
      </c>
      <c r="B7" s="2">
        <v>46112</v>
      </c>
      <c r="C7" t="s">
        <v>610</v>
      </c>
      <c r="D7">
        <v>5</v>
      </c>
      <c r="E7" s="395">
        <v>0.29411999999999999</v>
      </c>
      <c r="F7">
        <v>15000000</v>
      </c>
      <c r="G7" s="394">
        <f>F7/51000000</f>
        <v>0.29411764705882354</v>
      </c>
    </row>
    <row r="8" spans="1:7" x14ac:dyDescent="0.35">
      <c r="A8" s="396">
        <v>46113</v>
      </c>
      <c r="B8" s="336">
        <v>46203</v>
      </c>
      <c r="C8" s="394" t="s">
        <v>609</v>
      </c>
      <c r="D8" s="394">
        <v>2</v>
      </c>
      <c r="E8" s="397">
        <v>0.58823529411764708</v>
      </c>
      <c r="F8" s="394">
        <v>30000000</v>
      </c>
      <c r="G8" s="394">
        <f>F8/51000000</f>
        <v>0.58823529411764708</v>
      </c>
    </row>
    <row r="9" spans="1:7" x14ac:dyDescent="0.35">
      <c r="A9" s="396">
        <v>46113</v>
      </c>
      <c r="B9" s="336">
        <v>46203</v>
      </c>
      <c r="C9" s="394" t="s">
        <v>610</v>
      </c>
      <c r="D9" s="394">
        <v>5</v>
      </c>
      <c r="E9" s="397">
        <v>0.19607843137254902</v>
      </c>
      <c r="F9" s="394">
        <v>10000000</v>
      </c>
      <c r="G9" s="394">
        <f>F9/51000000</f>
        <v>0.19607843137254902</v>
      </c>
    </row>
    <row r="10" spans="1:7" x14ac:dyDescent="0.35">
      <c r="A10" s="396">
        <v>46113</v>
      </c>
      <c r="B10" s="336">
        <v>46203</v>
      </c>
      <c r="C10" s="394" t="s">
        <v>611</v>
      </c>
      <c r="D10" s="3"/>
      <c r="E10" s="397">
        <v>9.8039215686274508E-2</v>
      </c>
      <c r="F10" s="394">
        <v>5000000</v>
      </c>
      <c r="G10" s="394">
        <f>F10/51000000</f>
        <v>9.8039215686274508E-2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B4F6-8B65-4F98-B19C-AFB3806EE2C4}">
  <sheetPr codeName="Sheet19"/>
  <dimension ref="A1:N50"/>
  <sheetViews>
    <sheetView workbookViewId="0"/>
  </sheetViews>
  <sheetFormatPr defaultRowHeight="14.5" x14ac:dyDescent="0.35"/>
  <cols>
    <col min="2" max="2" width="11.453125" customWidth="1"/>
    <col min="3" max="3" width="15.36328125" customWidth="1"/>
    <col min="4" max="4" width="14.08984375" customWidth="1"/>
    <col min="5" max="5" width="11.453125" customWidth="1"/>
    <col min="6" max="6" width="10.08984375" bestFit="1" customWidth="1"/>
    <col min="7" max="7" width="13.453125" bestFit="1" customWidth="1"/>
    <col min="8" max="8" width="12.36328125" customWidth="1"/>
    <col min="9" max="9" width="14" customWidth="1"/>
    <col min="10" max="11" width="36.36328125" bestFit="1" customWidth="1"/>
    <col min="12" max="12" width="20" bestFit="1" customWidth="1"/>
    <col min="13" max="14" width="11.08984375" bestFit="1" customWidth="1"/>
  </cols>
  <sheetData>
    <row r="1" spans="1:11" x14ac:dyDescent="0.35">
      <c r="B1" t="s">
        <v>157</v>
      </c>
      <c r="H1" t="s">
        <v>158</v>
      </c>
    </row>
    <row r="2" spans="1:11" x14ac:dyDescent="0.35">
      <c r="B2" s="12" t="s">
        <v>116</v>
      </c>
      <c r="C2" s="12" t="s">
        <v>11</v>
      </c>
      <c r="D2" s="12" t="s">
        <v>28</v>
      </c>
      <c r="H2" s="162" t="s">
        <v>116</v>
      </c>
      <c r="I2" s="162" t="s">
        <v>11</v>
      </c>
      <c r="J2" s="162" t="s">
        <v>28</v>
      </c>
    </row>
    <row r="3" spans="1:11" x14ac:dyDescent="0.35">
      <c r="A3" s="462"/>
      <c r="B3" s="165">
        <v>369185</v>
      </c>
      <c r="C3" s="14">
        <v>1</v>
      </c>
      <c r="D3" s="13">
        <v>9999982</v>
      </c>
      <c r="E3" t="e">
        <f>VLOOKUP(B3,$H$3:$J$34,3,FALSE)</f>
        <v>#N/A</v>
      </c>
      <c r="H3" s="163">
        <v>345907</v>
      </c>
      <c r="I3" s="163">
        <v>0</v>
      </c>
      <c r="J3" s="164">
        <v>0</v>
      </c>
      <c r="K3">
        <f>VLOOKUP(H3,$B$3:$D$35,3,FALSE)</f>
        <v>0</v>
      </c>
    </row>
    <row r="4" spans="1:11" x14ac:dyDescent="0.35">
      <c r="A4" s="462"/>
      <c r="B4" s="165">
        <v>366255</v>
      </c>
      <c r="C4" s="14">
        <v>1</v>
      </c>
      <c r="D4" s="13">
        <v>32056384</v>
      </c>
      <c r="E4" t="e">
        <f t="shared" ref="E4:E35" si="0">VLOOKUP(B4,$H$3:$J$34,3,FALSE)</f>
        <v>#N/A</v>
      </c>
      <c r="H4" s="163">
        <v>341458</v>
      </c>
      <c r="I4" s="163">
        <v>0</v>
      </c>
      <c r="J4" s="164">
        <v>0</v>
      </c>
      <c r="K4">
        <f t="shared" ref="K4:K34" si="1">VLOOKUP(H4,$B$3:$D$35,3,FALSE)</f>
        <v>0</v>
      </c>
    </row>
    <row r="5" spans="1:11" x14ac:dyDescent="0.35">
      <c r="B5" s="14">
        <v>345907</v>
      </c>
      <c r="C5" s="14">
        <v>0</v>
      </c>
      <c r="D5" s="13">
        <v>0</v>
      </c>
      <c r="E5">
        <f t="shared" si="0"/>
        <v>0</v>
      </c>
      <c r="H5" s="163">
        <v>341459</v>
      </c>
      <c r="I5" s="163">
        <v>0</v>
      </c>
      <c r="J5" s="164">
        <v>0</v>
      </c>
      <c r="K5">
        <f t="shared" si="1"/>
        <v>0</v>
      </c>
    </row>
    <row r="6" spans="1:11" x14ac:dyDescent="0.35">
      <c r="B6" s="14">
        <v>341458</v>
      </c>
      <c r="C6" s="14">
        <v>0</v>
      </c>
      <c r="D6" s="13">
        <v>0</v>
      </c>
      <c r="E6">
        <f t="shared" si="0"/>
        <v>0</v>
      </c>
      <c r="H6" s="163">
        <v>341460</v>
      </c>
      <c r="I6" s="163">
        <v>0</v>
      </c>
      <c r="J6" s="164">
        <v>0</v>
      </c>
      <c r="K6">
        <f t="shared" si="1"/>
        <v>0</v>
      </c>
    </row>
    <row r="7" spans="1:11" x14ac:dyDescent="0.35">
      <c r="B7" s="14">
        <v>341459</v>
      </c>
      <c r="C7" s="14">
        <v>0</v>
      </c>
      <c r="D7" s="13">
        <v>0</v>
      </c>
      <c r="E7">
        <f t="shared" si="0"/>
        <v>0</v>
      </c>
      <c r="H7" s="163">
        <v>341461</v>
      </c>
      <c r="I7" s="163">
        <v>0</v>
      </c>
      <c r="J7" s="164">
        <v>0</v>
      </c>
      <c r="K7">
        <f t="shared" si="1"/>
        <v>0</v>
      </c>
    </row>
    <row r="8" spans="1:11" x14ac:dyDescent="0.35">
      <c r="B8" s="14">
        <v>341460</v>
      </c>
      <c r="C8" s="14">
        <v>0</v>
      </c>
      <c r="D8" s="13">
        <v>0</v>
      </c>
      <c r="E8">
        <f t="shared" si="0"/>
        <v>0</v>
      </c>
      <c r="H8" s="163">
        <v>236131</v>
      </c>
      <c r="I8" s="163">
        <v>1</v>
      </c>
      <c r="J8" s="164">
        <v>34952537</v>
      </c>
      <c r="K8">
        <f t="shared" si="1"/>
        <v>34952537</v>
      </c>
    </row>
    <row r="9" spans="1:11" x14ac:dyDescent="0.35">
      <c r="B9" s="14">
        <v>341461</v>
      </c>
      <c r="C9" s="14">
        <v>0</v>
      </c>
      <c r="D9" s="13">
        <v>0</v>
      </c>
      <c r="E9">
        <f t="shared" si="0"/>
        <v>0</v>
      </c>
      <c r="H9" s="163">
        <v>340160</v>
      </c>
      <c r="I9" s="163">
        <v>0</v>
      </c>
      <c r="J9" s="164">
        <v>0</v>
      </c>
      <c r="K9">
        <f t="shared" si="1"/>
        <v>0</v>
      </c>
    </row>
    <row r="10" spans="1:11" x14ac:dyDescent="0.35">
      <c r="B10" s="14">
        <v>340160</v>
      </c>
      <c r="C10" s="14">
        <v>0</v>
      </c>
      <c r="D10" s="13">
        <v>0</v>
      </c>
      <c r="E10">
        <f t="shared" si="0"/>
        <v>0</v>
      </c>
      <c r="H10" s="163">
        <v>340161</v>
      </c>
      <c r="I10" s="163">
        <v>0</v>
      </c>
      <c r="J10" s="164">
        <v>0</v>
      </c>
      <c r="K10">
        <f t="shared" si="1"/>
        <v>0</v>
      </c>
    </row>
    <row r="11" spans="1:11" x14ac:dyDescent="0.35">
      <c r="B11" s="14">
        <v>340161</v>
      </c>
      <c r="C11" s="14">
        <v>0</v>
      </c>
      <c r="D11" s="13">
        <v>0</v>
      </c>
      <c r="E11">
        <f t="shared" si="0"/>
        <v>0</v>
      </c>
      <c r="H11" s="163">
        <v>340162</v>
      </c>
      <c r="I11" s="163">
        <v>0</v>
      </c>
      <c r="J11" s="164">
        <v>0</v>
      </c>
      <c r="K11">
        <f t="shared" si="1"/>
        <v>0</v>
      </c>
    </row>
    <row r="12" spans="1:11" x14ac:dyDescent="0.35">
      <c r="B12" s="14">
        <v>340162</v>
      </c>
      <c r="C12" s="14">
        <v>0</v>
      </c>
      <c r="D12" s="13">
        <v>0</v>
      </c>
      <c r="E12">
        <f t="shared" si="0"/>
        <v>0</v>
      </c>
      <c r="H12" s="163">
        <v>340163</v>
      </c>
      <c r="I12" s="163">
        <v>0</v>
      </c>
      <c r="J12" s="164">
        <v>0</v>
      </c>
      <c r="K12">
        <f t="shared" si="1"/>
        <v>0</v>
      </c>
    </row>
    <row r="13" spans="1:11" x14ac:dyDescent="0.35">
      <c r="B13" s="14">
        <v>340163</v>
      </c>
      <c r="C13" s="14">
        <v>0</v>
      </c>
      <c r="D13" s="13">
        <v>0</v>
      </c>
      <c r="E13">
        <f t="shared" si="0"/>
        <v>0</v>
      </c>
      <c r="H13" s="163">
        <v>236133</v>
      </c>
      <c r="I13" s="163">
        <v>1</v>
      </c>
      <c r="J13" s="164">
        <v>23153677</v>
      </c>
      <c r="K13">
        <f t="shared" si="1"/>
        <v>23153677</v>
      </c>
    </row>
    <row r="14" spans="1:11" x14ac:dyDescent="0.35">
      <c r="B14" s="14">
        <v>337321</v>
      </c>
      <c r="C14" s="14">
        <v>1</v>
      </c>
      <c r="D14" s="13">
        <v>5669644.9642227003</v>
      </c>
      <c r="E14">
        <f t="shared" si="0"/>
        <v>5669644.9642227003</v>
      </c>
      <c r="H14" s="163">
        <v>236134</v>
      </c>
      <c r="I14" s="163">
        <v>1</v>
      </c>
      <c r="J14" s="164">
        <v>22544823</v>
      </c>
      <c r="K14">
        <f t="shared" si="1"/>
        <v>22544823</v>
      </c>
    </row>
    <row r="15" spans="1:11" x14ac:dyDescent="0.35">
      <c r="B15" s="14">
        <v>337322</v>
      </c>
      <c r="C15" s="14">
        <v>1</v>
      </c>
      <c r="D15" s="13">
        <v>6319980.2310412303</v>
      </c>
      <c r="E15">
        <f t="shared" si="0"/>
        <v>6319980.2310412303</v>
      </c>
      <c r="H15" s="163">
        <v>236138</v>
      </c>
      <c r="I15" s="163">
        <v>1</v>
      </c>
      <c r="J15" s="164">
        <v>24491526</v>
      </c>
      <c r="K15">
        <f t="shared" si="1"/>
        <v>24491526</v>
      </c>
    </row>
    <row r="16" spans="1:11" x14ac:dyDescent="0.35">
      <c r="B16" s="14">
        <v>337323</v>
      </c>
      <c r="C16" s="14">
        <v>1</v>
      </c>
      <c r="D16" s="13">
        <v>6535928.0857926998</v>
      </c>
      <c r="E16">
        <f t="shared" si="0"/>
        <v>6535928.0857926998</v>
      </c>
      <c r="H16" s="163">
        <v>236137</v>
      </c>
      <c r="I16" s="163">
        <v>1</v>
      </c>
      <c r="J16" s="164">
        <v>22694551</v>
      </c>
      <c r="K16">
        <f t="shared" si="1"/>
        <v>22694551</v>
      </c>
    </row>
    <row r="17" spans="2:11" x14ac:dyDescent="0.35">
      <c r="B17" s="14">
        <v>337283</v>
      </c>
      <c r="C17" s="14">
        <v>1</v>
      </c>
      <c r="D17" s="13">
        <v>2535791.1815881599</v>
      </c>
      <c r="E17">
        <f t="shared" si="0"/>
        <v>2535791.1815881599</v>
      </c>
      <c r="H17" s="163">
        <v>323145</v>
      </c>
      <c r="I17" s="163">
        <v>1</v>
      </c>
      <c r="J17" s="164">
        <v>2882680.7321719201</v>
      </c>
      <c r="K17">
        <f t="shared" si="1"/>
        <v>2882680.7321719201</v>
      </c>
    </row>
    <row r="18" spans="2:11" x14ac:dyDescent="0.35">
      <c r="B18" s="14">
        <v>337284</v>
      </c>
      <c r="C18" s="14">
        <v>1</v>
      </c>
      <c r="D18" s="13">
        <v>2535791.1815881599</v>
      </c>
      <c r="E18">
        <f t="shared" si="0"/>
        <v>2535791.1815881599</v>
      </c>
      <c r="H18" s="163">
        <v>333736</v>
      </c>
      <c r="I18" s="163">
        <v>0</v>
      </c>
      <c r="J18" s="164">
        <v>0</v>
      </c>
      <c r="K18">
        <f t="shared" si="1"/>
        <v>40000000</v>
      </c>
    </row>
    <row r="19" spans="2:11" x14ac:dyDescent="0.35">
      <c r="B19" s="14">
        <v>337285</v>
      </c>
      <c r="C19" s="14">
        <v>1</v>
      </c>
      <c r="D19" s="13">
        <v>2535791.1815881599</v>
      </c>
      <c r="E19">
        <f t="shared" si="0"/>
        <v>2535791.1815881599</v>
      </c>
      <c r="H19" s="163">
        <v>323144</v>
      </c>
      <c r="I19" s="163">
        <v>1</v>
      </c>
      <c r="J19" s="164">
        <v>3472012.36348092</v>
      </c>
      <c r="K19">
        <f t="shared" si="1"/>
        <v>3472012.36348092</v>
      </c>
    </row>
    <row r="20" spans="2:11" x14ac:dyDescent="0.35">
      <c r="B20" s="165">
        <v>333736</v>
      </c>
      <c r="C20" s="14">
        <v>1</v>
      </c>
      <c r="D20" s="13">
        <v>40000000</v>
      </c>
      <c r="E20">
        <f t="shared" si="0"/>
        <v>0</v>
      </c>
      <c r="H20" s="163">
        <v>337322</v>
      </c>
      <c r="I20" s="163">
        <v>1</v>
      </c>
      <c r="J20" s="164">
        <v>6319980.2310412303</v>
      </c>
      <c r="K20">
        <f t="shared" si="1"/>
        <v>6319980.2310412303</v>
      </c>
    </row>
    <row r="21" spans="2:11" x14ac:dyDescent="0.35">
      <c r="B21" s="14">
        <v>332242</v>
      </c>
      <c r="C21" s="14">
        <v>1</v>
      </c>
      <c r="D21" s="13">
        <v>10000000</v>
      </c>
      <c r="E21">
        <f t="shared" si="0"/>
        <v>10000000</v>
      </c>
      <c r="H21" s="163">
        <v>337284</v>
      </c>
      <c r="I21" s="163">
        <v>1</v>
      </c>
      <c r="J21" s="164">
        <v>2535791.1815881599</v>
      </c>
      <c r="K21">
        <f t="shared" si="1"/>
        <v>2535791.1815881599</v>
      </c>
    </row>
    <row r="22" spans="2:11" x14ac:dyDescent="0.35">
      <c r="B22" s="14">
        <v>323144</v>
      </c>
      <c r="C22" s="14">
        <v>1</v>
      </c>
      <c r="D22" s="13">
        <v>3472012.36348092</v>
      </c>
      <c r="E22">
        <f t="shared" si="0"/>
        <v>3472012.36348092</v>
      </c>
      <c r="H22" s="163">
        <v>337321</v>
      </c>
      <c r="I22" s="163">
        <v>1</v>
      </c>
      <c r="J22" s="164">
        <v>5669644.9642227003</v>
      </c>
      <c r="K22">
        <f t="shared" si="1"/>
        <v>5669644.9642227003</v>
      </c>
    </row>
    <row r="23" spans="2:11" x14ac:dyDescent="0.35">
      <c r="B23" s="14">
        <v>323145</v>
      </c>
      <c r="C23" s="14">
        <v>1</v>
      </c>
      <c r="D23" s="13">
        <v>2882680.7321719201</v>
      </c>
      <c r="E23">
        <f t="shared" si="0"/>
        <v>2882680.7321719201</v>
      </c>
      <c r="H23" s="163">
        <v>337283</v>
      </c>
      <c r="I23" s="163">
        <v>1</v>
      </c>
      <c r="J23" s="164">
        <v>2535791.1815881599</v>
      </c>
      <c r="K23">
        <f t="shared" si="1"/>
        <v>2535791.1815881599</v>
      </c>
    </row>
    <row r="24" spans="2:11" x14ac:dyDescent="0.35">
      <c r="B24" s="14">
        <v>320711</v>
      </c>
      <c r="C24" s="14">
        <v>0</v>
      </c>
      <c r="D24" s="13">
        <v>0</v>
      </c>
      <c r="E24">
        <f t="shared" si="0"/>
        <v>0</v>
      </c>
      <c r="H24" s="163">
        <v>337323</v>
      </c>
      <c r="I24" s="163">
        <v>1</v>
      </c>
      <c r="J24" s="164">
        <v>6535928.0857926998</v>
      </c>
      <c r="K24">
        <f t="shared" si="1"/>
        <v>6535928.0857926998</v>
      </c>
    </row>
    <row r="25" spans="2:11" x14ac:dyDescent="0.35">
      <c r="B25" s="14">
        <v>320712</v>
      </c>
      <c r="C25" s="14">
        <v>0</v>
      </c>
      <c r="D25" s="13">
        <v>0</v>
      </c>
      <c r="E25">
        <f t="shared" si="0"/>
        <v>0</v>
      </c>
      <c r="H25" s="163">
        <v>337285</v>
      </c>
      <c r="I25" s="163">
        <v>1</v>
      </c>
      <c r="J25" s="164">
        <v>2535791.1815881599</v>
      </c>
      <c r="K25">
        <f t="shared" si="1"/>
        <v>2535791.1815881599</v>
      </c>
    </row>
    <row r="26" spans="2:11" x14ac:dyDescent="0.35">
      <c r="B26" s="14">
        <v>320720</v>
      </c>
      <c r="C26" s="14">
        <v>0</v>
      </c>
      <c r="D26" s="13">
        <v>0</v>
      </c>
      <c r="E26">
        <f t="shared" si="0"/>
        <v>0</v>
      </c>
      <c r="H26" s="163">
        <v>320711</v>
      </c>
      <c r="I26" s="163">
        <v>0</v>
      </c>
      <c r="J26" s="164">
        <v>0</v>
      </c>
      <c r="K26">
        <f t="shared" si="1"/>
        <v>0</v>
      </c>
    </row>
    <row r="27" spans="2:11" x14ac:dyDescent="0.35">
      <c r="B27" s="14">
        <v>320721</v>
      </c>
      <c r="C27" s="14">
        <v>0</v>
      </c>
      <c r="D27" s="13">
        <v>0</v>
      </c>
      <c r="E27">
        <f t="shared" si="0"/>
        <v>0</v>
      </c>
      <c r="H27" s="163">
        <v>320712</v>
      </c>
      <c r="I27" s="163">
        <v>0</v>
      </c>
      <c r="J27" s="164">
        <v>0</v>
      </c>
      <c r="K27">
        <f t="shared" si="1"/>
        <v>0</v>
      </c>
    </row>
    <row r="28" spans="2:11" x14ac:dyDescent="0.35">
      <c r="B28" s="14">
        <v>320759</v>
      </c>
      <c r="C28" s="14">
        <v>0</v>
      </c>
      <c r="D28" s="13">
        <v>0</v>
      </c>
      <c r="E28">
        <f t="shared" si="0"/>
        <v>0</v>
      </c>
      <c r="H28" s="163">
        <v>320720</v>
      </c>
      <c r="I28" s="163">
        <v>0</v>
      </c>
      <c r="J28" s="164">
        <v>0</v>
      </c>
      <c r="K28">
        <f t="shared" si="1"/>
        <v>0</v>
      </c>
    </row>
    <row r="29" spans="2:11" x14ac:dyDescent="0.35">
      <c r="B29" s="14">
        <v>320760</v>
      </c>
      <c r="C29" s="14">
        <v>0</v>
      </c>
      <c r="D29" s="13">
        <v>0</v>
      </c>
      <c r="E29">
        <f t="shared" si="0"/>
        <v>0</v>
      </c>
      <c r="H29" s="163">
        <v>320721</v>
      </c>
      <c r="I29" s="163">
        <v>0</v>
      </c>
      <c r="J29" s="164">
        <v>0</v>
      </c>
      <c r="K29">
        <f t="shared" si="1"/>
        <v>0</v>
      </c>
    </row>
    <row r="30" spans="2:11" x14ac:dyDescent="0.35">
      <c r="B30" s="14">
        <v>236131</v>
      </c>
      <c r="C30" s="14">
        <v>1</v>
      </c>
      <c r="D30" s="13">
        <v>34952537</v>
      </c>
      <c r="E30">
        <f t="shared" si="0"/>
        <v>34952537</v>
      </c>
      <c r="H30" s="163">
        <v>320759</v>
      </c>
      <c r="I30" s="163">
        <v>0</v>
      </c>
      <c r="J30" s="164">
        <v>0</v>
      </c>
      <c r="K30">
        <f t="shared" si="1"/>
        <v>0</v>
      </c>
    </row>
    <row r="31" spans="2:11" x14ac:dyDescent="0.35">
      <c r="B31" s="165">
        <v>236132</v>
      </c>
      <c r="C31" s="14">
        <v>1</v>
      </c>
      <c r="D31" s="13">
        <v>33949792</v>
      </c>
      <c r="E31">
        <f t="shared" si="0"/>
        <v>0</v>
      </c>
      <c r="H31" s="163">
        <v>320760</v>
      </c>
      <c r="I31" s="163">
        <v>0</v>
      </c>
      <c r="J31" s="164">
        <v>0</v>
      </c>
      <c r="K31">
        <f t="shared" si="1"/>
        <v>0</v>
      </c>
    </row>
    <row r="32" spans="2:11" x14ac:dyDescent="0.35">
      <c r="B32" s="14">
        <v>236133</v>
      </c>
      <c r="C32" s="14">
        <v>1</v>
      </c>
      <c r="D32" s="13">
        <v>23153677</v>
      </c>
      <c r="E32">
        <f t="shared" si="0"/>
        <v>23153677</v>
      </c>
      <c r="H32" s="166">
        <v>321556</v>
      </c>
      <c r="I32" s="163">
        <v>1</v>
      </c>
      <c r="J32" s="164">
        <v>31999998</v>
      </c>
      <c r="K32" t="e">
        <f>VLOOKUP(H32,$B$3:$D$35,3,FALSE)</f>
        <v>#N/A</v>
      </c>
    </row>
    <row r="33" spans="2:14" x14ac:dyDescent="0.35">
      <c r="B33" s="14">
        <v>236134</v>
      </c>
      <c r="C33" s="14">
        <v>1</v>
      </c>
      <c r="D33" s="13">
        <v>22544823</v>
      </c>
      <c r="E33">
        <f t="shared" si="0"/>
        <v>22544823</v>
      </c>
      <c r="H33" s="163">
        <v>332242</v>
      </c>
      <c r="I33" s="163">
        <v>1</v>
      </c>
      <c r="J33" s="164">
        <v>10000000</v>
      </c>
      <c r="K33">
        <f t="shared" si="1"/>
        <v>10000000</v>
      </c>
    </row>
    <row r="34" spans="2:14" x14ac:dyDescent="0.35">
      <c r="B34" s="14">
        <v>236137</v>
      </c>
      <c r="C34" s="14">
        <v>1</v>
      </c>
      <c r="D34" s="13">
        <v>22694551</v>
      </c>
      <c r="E34">
        <f t="shared" si="0"/>
        <v>22694551</v>
      </c>
      <c r="H34" s="163">
        <v>236132</v>
      </c>
      <c r="I34" s="163">
        <v>0</v>
      </c>
      <c r="J34" s="164">
        <v>0</v>
      </c>
      <c r="K34">
        <f t="shared" si="1"/>
        <v>33949792</v>
      </c>
    </row>
    <row r="35" spans="2:14" x14ac:dyDescent="0.35">
      <c r="B35" s="14">
        <v>236138</v>
      </c>
      <c r="C35" s="14">
        <v>1</v>
      </c>
      <c r="D35" s="13">
        <v>24491526</v>
      </c>
      <c r="E35">
        <f t="shared" si="0"/>
        <v>24491526</v>
      </c>
      <c r="J35" s="4">
        <f>SUM(J2:J34)</f>
        <v>202324731.92147398</v>
      </c>
    </row>
    <row r="36" spans="2:14" x14ac:dyDescent="0.35">
      <c r="D36" s="4">
        <f>SUM(D3:D35)</f>
        <v>286330891.92147398</v>
      </c>
      <c r="J36" s="4">
        <f>J35+'[5]SES Fleet'!$C$20</f>
        <v>213207694.70148873</v>
      </c>
    </row>
    <row r="37" spans="2:14" x14ac:dyDescent="0.35">
      <c r="D37" s="4" t="e">
        <f>D36+#REF!</f>
        <v>#REF!</v>
      </c>
    </row>
    <row r="39" spans="2:14" x14ac:dyDescent="0.35">
      <c r="D39" s="4" t="e">
        <f>D37-J36</f>
        <v>#REF!</v>
      </c>
    </row>
    <row r="41" spans="2:14" x14ac:dyDescent="0.35">
      <c r="B41" t="s">
        <v>197</v>
      </c>
      <c r="F41" s="4"/>
    </row>
    <row r="42" spans="2:14" x14ac:dyDescent="0.35">
      <c r="B42" t="s">
        <v>196</v>
      </c>
      <c r="K42" s="4"/>
    </row>
    <row r="44" spans="2:14" x14ac:dyDescent="0.35">
      <c r="B44" s="12" t="s">
        <v>116</v>
      </c>
      <c r="C44" s="12" t="s">
        <v>118</v>
      </c>
      <c r="D44" s="12" t="s">
        <v>1</v>
      </c>
      <c r="E44" s="32" t="s">
        <v>2</v>
      </c>
      <c r="F44" s="12" t="s">
        <v>3</v>
      </c>
      <c r="G44" s="12" t="s">
        <v>4</v>
      </c>
      <c r="H44" s="12" t="s">
        <v>5</v>
      </c>
      <c r="I44" s="32" t="s">
        <v>6</v>
      </c>
      <c r="J44" s="32" t="s">
        <v>7</v>
      </c>
      <c r="K44" s="12" t="s">
        <v>8</v>
      </c>
      <c r="L44" s="34" t="s">
        <v>125</v>
      </c>
    </row>
    <row r="45" spans="2:14" x14ac:dyDescent="0.35">
      <c r="B45" s="165">
        <v>369185</v>
      </c>
      <c r="C45" s="14">
        <v>10335</v>
      </c>
      <c r="D45" s="14" t="s">
        <v>17</v>
      </c>
      <c r="E45" s="31">
        <v>43368</v>
      </c>
      <c r="F45" s="31">
        <v>45195</v>
      </c>
      <c r="G45" s="31">
        <v>45560</v>
      </c>
      <c r="H45" s="14" t="s">
        <v>113</v>
      </c>
      <c r="I45" s="31">
        <v>45195</v>
      </c>
      <c r="J45" s="31">
        <v>45560</v>
      </c>
      <c r="K45" s="14" t="s">
        <v>18</v>
      </c>
      <c r="L45" s="35">
        <v>9999982</v>
      </c>
      <c r="M45" s="463" t="s">
        <v>198</v>
      </c>
      <c r="N45" s="464">
        <f>D3+D4+D31+D20</f>
        <v>116006158</v>
      </c>
    </row>
    <row r="46" spans="2:14" x14ac:dyDescent="0.35">
      <c r="B46" s="165">
        <v>366255</v>
      </c>
      <c r="C46" s="14">
        <v>8993</v>
      </c>
      <c r="D46" s="14" t="s">
        <v>17</v>
      </c>
      <c r="E46" s="31">
        <v>41515</v>
      </c>
      <c r="F46" s="31">
        <v>45146</v>
      </c>
      <c r="G46" s="31">
        <v>45511</v>
      </c>
      <c r="H46" s="14" t="s">
        <v>113</v>
      </c>
      <c r="I46" s="31">
        <v>45146</v>
      </c>
      <c r="J46" s="31">
        <v>45511</v>
      </c>
      <c r="K46" s="14" t="s">
        <v>18</v>
      </c>
      <c r="L46" s="35">
        <v>32056384</v>
      </c>
      <c r="M46" s="463"/>
      <c r="N46" s="465"/>
    </row>
    <row r="47" spans="2:14" x14ac:dyDescent="0.35">
      <c r="B47" s="165">
        <v>333736</v>
      </c>
      <c r="C47" s="14">
        <v>12051</v>
      </c>
      <c r="D47" s="14" t="s">
        <v>12</v>
      </c>
      <c r="E47" s="31">
        <v>45136</v>
      </c>
      <c r="F47" s="31">
        <v>44926</v>
      </c>
      <c r="G47" s="31">
        <v>46021</v>
      </c>
      <c r="H47" s="14" t="s">
        <v>113</v>
      </c>
      <c r="I47" s="31">
        <v>45136</v>
      </c>
      <c r="J47" s="31">
        <v>45500</v>
      </c>
      <c r="K47" s="14" t="s">
        <v>18</v>
      </c>
      <c r="L47" s="35">
        <v>40000000</v>
      </c>
      <c r="M47" s="463"/>
      <c r="N47" s="465"/>
    </row>
    <row r="48" spans="2:14" x14ac:dyDescent="0.35">
      <c r="B48" s="165">
        <v>236132</v>
      </c>
      <c r="C48" s="14">
        <v>15152</v>
      </c>
      <c r="D48" s="14" t="s">
        <v>12</v>
      </c>
      <c r="E48" s="31">
        <v>45141</v>
      </c>
      <c r="F48" s="31">
        <v>44531</v>
      </c>
      <c r="G48" s="31">
        <v>45657</v>
      </c>
      <c r="H48" s="14" t="s">
        <v>113</v>
      </c>
      <c r="I48" s="31">
        <v>45141</v>
      </c>
      <c r="J48" s="31">
        <v>45505</v>
      </c>
      <c r="K48" s="14" t="s">
        <v>18</v>
      </c>
      <c r="L48" s="35">
        <v>33949792</v>
      </c>
      <c r="M48" s="463"/>
      <c r="N48" s="465"/>
    </row>
    <row r="49" spans="2:14" x14ac:dyDescent="0.35">
      <c r="B49" s="166">
        <v>321556</v>
      </c>
      <c r="C49" s="14">
        <v>8993</v>
      </c>
      <c r="D49" s="14" t="s">
        <v>17</v>
      </c>
      <c r="E49" s="31">
        <v>41515</v>
      </c>
      <c r="F49" s="31">
        <v>44781</v>
      </c>
      <c r="G49" s="31">
        <v>45145</v>
      </c>
      <c r="H49" s="14" t="s">
        <v>113</v>
      </c>
      <c r="I49" s="31">
        <v>44781</v>
      </c>
      <c r="J49" s="31">
        <v>45145</v>
      </c>
      <c r="K49" s="14" t="s">
        <v>18</v>
      </c>
      <c r="L49" s="35">
        <v>31999998</v>
      </c>
      <c r="M49" s="6" t="s">
        <v>199</v>
      </c>
      <c r="N49" s="73">
        <f>J32</f>
        <v>31999998</v>
      </c>
    </row>
    <row r="50" spans="2:14" x14ac:dyDescent="0.35">
      <c r="N50" s="167">
        <f>N45-N49</f>
        <v>84006160</v>
      </c>
    </row>
  </sheetData>
  <mergeCells count="3">
    <mergeCell ref="A3:A4"/>
    <mergeCell ref="M45:M48"/>
    <mergeCell ref="N45:N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CBAF-0789-4AFF-A25A-1B6B4986D0CF}">
  <sheetPr codeName="Sheet12"/>
  <dimension ref="B1:J170"/>
  <sheetViews>
    <sheetView workbookViewId="0"/>
  </sheetViews>
  <sheetFormatPr defaultRowHeight="14.5" x14ac:dyDescent="0.35"/>
  <cols>
    <col min="3" max="3" width="99.54296875" bestFit="1" customWidth="1"/>
    <col min="4" max="4" width="12.54296875" bestFit="1" customWidth="1"/>
    <col min="5" max="6" width="11.54296875" customWidth="1"/>
    <col min="8" max="8" width="99.54296875" bestFit="1" customWidth="1"/>
    <col min="9" max="9" width="11.54296875" bestFit="1" customWidth="1"/>
  </cols>
  <sheetData>
    <row r="1" spans="2:10" x14ac:dyDescent="0.35">
      <c r="B1" t="s">
        <v>157</v>
      </c>
      <c r="G1" t="s">
        <v>158</v>
      </c>
    </row>
    <row r="2" spans="2:10" x14ac:dyDescent="0.35">
      <c r="B2" cm="1">
        <f t="array" ref="B2:B170">_xlfn._xlws.FILTER('Input Data'!$C:$C,'Input Data'!$Q:$Q=1)</f>
        <v>1</v>
      </c>
      <c r="C2" t="str">
        <f>VLOOKUP(B2,'Input Data'!$C$19:$AA$39,18,0)</f>
        <v>NULL</v>
      </c>
      <c r="D2" s="87">
        <f>VLOOKUP(B2,'Input Data'!$C$19:$BF$39,50,0)</f>
        <v>0</v>
      </c>
      <c r="E2" s="87" t="e">
        <f>MATCH(C2,$H:$H,0)</f>
        <v>#N/A</v>
      </c>
      <c r="F2" s="87"/>
      <c r="G2" t="e" cm="1">
        <f t="array" ref="G2">_xlfn._xlws.FILTER(#REF!,#REF!=1)</f>
        <v>#REF!</v>
      </c>
      <c r="H2" t="e">
        <f>VLOOKUP(G2,#REF!,18,0)</f>
        <v>#REF!</v>
      </c>
      <c r="I2" s="87" t="e">
        <f>VLOOKUP(G2,#REF!,50,0)</f>
        <v>#REF!</v>
      </c>
      <c r="J2" t="e">
        <f>MATCH(G2,B:B,0)</f>
        <v>#REF!</v>
      </c>
    </row>
    <row r="3" spans="2:10" x14ac:dyDescent="0.35">
      <c r="B3">
        <v>2</v>
      </c>
      <c r="C3" t="str">
        <f>VLOOKUP(B3,'Input Data'!$C$19:$AA$39,18,0)</f>
        <v>NULL</v>
      </c>
      <c r="D3" s="87">
        <f>VLOOKUP(B3,'Input Data'!$C$19:$BF$39,50,0)</f>
        <v>0</v>
      </c>
      <c r="E3" s="87" t="e">
        <f t="shared" ref="E3:E66" si="0">MATCH(C3,$H:$H,0)</f>
        <v>#N/A</v>
      </c>
      <c r="F3" s="87"/>
      <c r="H3" t="e">
        <f>VLOOKUP(G3,#REF!,18,0)</f>
        <v>#REF!</v>
      </c>
      <c r="I3" s="87" t="e">
        <f>VLOOKUP(G3,#REF!,50,0)</f>
        <v>#REF!</v>
      </c>
      <c r="J3" t="e">
        <f t="shared" ref="J3:J65" si="1">MATCH(G3,B:B,0)</f>
        <v>#N/A</v>
      </c>
    </row>
    <row r="4" spans="2:10" x14ac:dyDescent="0.35">
      <c r="B4">
        <v>3</v>
      </c>
      <c r="C4" t="str">
        <f>VLOOKUP(B4,'Input Data'!$C$19:$AA$39,18,0)</f>
        <v>NULL</v>
      </c>
      <c r="D4" s="87">
        <f>VLOOKUP(B4,'Input Data'!$C$19:$BF$39,50,0)</f>
        <v>0</v>
      </c>
      <c r="E4" s="87" t="e">
        <f t="shared" si="0"/>
        <v>#N/A</v>
      </c>
      <c r="F4" s="87"/>
      <c r="H4" t="e">
        <f>VLOOKUP(G4,#REF!,18,0)</f>
        <v>#REF!</v>
      </c>
      <c r="I4" s="87" t="e">
        <f>VLOOKUP(G4,#REF!,50,0)</f>
        <v>#REF!</v>
      </c>
      <c r="J4" t="e">
        <f t="shared" si="1"/>
        <v>#N/A</v>
      </c>
    </row>
    <row r="5" spans="2:10" x14ac:dyDescent="0.35">
      <c r="B5">
        <v>4</v>
      </c>
      <c r="C5" t="str">
        <f>VLOOKUP(B5,'Input Data'!$C$19:$AA$39,18,0)</f>
        <v>NULL</v>
      </c>
      <c r="D5" s="87">
        <f>VLOOKUP(B5,'Input Data'!$C$19:$BF$39,50,0)</f>
        <v>0</v>
      </c>
      <c r="E5" s="87" t="e">
        <f t="shared" si="0"/>
        <v>#N/A</v>
      </c>
      <c r="F5" s="87"/>
      <c r="H5" t="e">
        <f>VLOOKUP(G5,#REF!,18,0)</f>
        <v>#REF!</v>
      </c>
      <c r="I5" s="87" t="e">
        <f>VLOOKUP(G5,#REF!,50,0)</f>
        <v>#REF!</v>
      </c>
      <c r="J5" t="e">
        <f t="shared" si="1"/>
        <v>#N/A</v>
      </c>
    </row>
    <row r="6" spans="2:10" x14ac:dyDescent="0.35">
      <c r="B6">
        <v>5</v>
      </c>
      <c r="C6" t="str">
        <f>VLOOKUP(B6,'Input Data'!$C$19:$AA$39,18,0)</f>
        <v>NULL</v>
      </c>
      <c r="D6" s="87">
        <f>VLOOKUP(B6,'Input Data'!$C$19:$BF$39,50,0)</f>
        <v>0</v>
      </c>
      <c r="E6" s="87" t="e">
        <f t="shared" si="0"/>
        <v>#N/A</v>
      </c>
      <c r="F6" s="87"/>
      <c r="H6" t="e">
        <f>VLOOKUP(G6,#REF!,18,0)</f>
        <v>#REF!</v>
      </c>
      <c r="I6" s="87" t="e">
        <f>VLOOKUP(G6,#REF!,50,0)</f>
        <v>#REF!</v>
      </c>
      <c r="J6" t="e">
        <f t="shared" si="1"/>
        <v>#N/A</v>
      </c>
    </row>
    <row r="7" spans="2:10" x14ac:dyDescent="0.35">
      <c r="B7">
        <v>6</v>
      </c>
      <c r="C7" t="str">
        <f>VLOOKUP(B7,'Input Data'!$C$19:$AA$39,18,0)</f>
        <v>NULL</v>
      </c>
      <c r="D7" s="87">
        <f>VLOOKUP(B7,'Input Data'!$C$19:$BF$39,50,0)</f>
        <v>0</v>
      </c>
      <c r="E7" s="87" t="e">
        <f t="shared" si="0"/>
        <v>#N/A</v>
      </c>
      <c r="F7" s="87"/>
      <c r="H7" t="e">
        <f>VLOOKUP(G7,#REF!,18,0)</f>
        <v>#REF!</v>
      </c>
      <c r="I7" s="87" t="e">
        <f>VLOOKUP(G7,#REF!,50,0)</f>
        <v>#REF!</v>
      </c>
      <c r="J7" t="e">
        <f t="shared" si="1"/>
        <v>#N/A</v>
      </c>
    </row>
    <row r="8" spans="2:10" x14ac:dyDescent="0.35">
      <c r="B8">
        <v>1</v>
      </c>
      <c r="C8" t="str">
        <f>VLOOKUP(B8,'Input Data'!$C$19:$AA$39,18,0)</f>
        <v>NULL</v>
      </c>
      <c r="D8" s="87">
        <f>VLOOKUP(B8,'Input Data'!$C$19:$BF$39,50,0)</f>
        <v>0</v>
      </c>
      <c r="E8" s="87" t="e">
        <f t="shared" si="0"/>
        <v>#N/A</v>
      </c>
      <c r="F8" s="87"/>
      <c r="H8" t="e">
        <f>VLOOKUP(G8,#REF!,18,0)</f>
        <v>#REF!</v>
      </c>
      <c r="I8" s="87" t="e">
        <f>VLOOKUP(G8,#REF!,50,0)</f>
        <v>#REF!</v>
      </c>
      <c r="J8" t="e">
        <f t="shared" si="1"/>
        <v>#N/A</v>
      </c>
    </row>
    <row r="9" spans="2:10" x14ac:dyDescent="0.35">
      <c r="B9">
        <v>2</v>
      </c>
      <c r="C9" t="str">
        <f>VLOOKUP(B9,'Input Data'!$C$19:$AA$39,18,0)</f>
        <v>NULL</v>
      </c>
      <c r="D9" s="87">
        <f>VLOOKUP(B9,'Input Data'!$C$19:$BF$39,50,0)</f>
        <v>0</v>
      </c>
      <c r="E9" s="87" t="e">
        <f t="shared" si="0"/>
        <v>#N/A</v>
      </c>
      <c r="F9" s="87"/>
      <c r="H9" t="e">
        <f>VLOOKUP(G9,#REF!,18,0)</f>
        <v>#REF!</v>
      </c>
      <c r="I9" s="87" t="e">
        <f>VLOOKUP(G9,#REF!,50,0)</f>
        <v>#REF!</v>
      </c>
      <c r="J9" t="e">
        <f t="shared" si="1"/>
        <v>#N/A</v>
      </c>
    </row>
    <row r="10" spans="2:10" x14ac:dyDescent="0.35">
      <c r="B10">
        <v>3</v>
      </c>
      <c r="C10" t="str">
        <f>VLOOKUP(B10,'Input Data'!$C$19:$AA$39,18,0)</f>
        <v>NULL</v>
      </c>
      <c r="D10" s="87">
        <f>VLOOKUP(B10,'Input Data'!$C$19:$BF$39,50,0)</f>
        <v>0</v>
      </c>
      <c r="E10" s="87" t="e">
        <f t="shared" si="0"/>
        <v>#N/A</v>
      </c>
      <c r="F10" s="87"/>
      <c r="H10" t="e">
        <f>VLOOKUP(G10,#REF!,18,0)</f>
        <v>#REF!</v>
      </c>
      <c r="I10" s="87" t="e">
        <f>VLOOKUP(G10,#REF!,50,0)</f>
        <v>#REF!</v>
      </c>
      <c r="J10" t="e">
        <f t="shared" si="1"/>
        <v>#N/A</v>
      </c>
    </row>
    <row r="11" spans="2:10" x14ac:dyDescent="0.35">
      <c r="B11">
        <v>4</v>
      </c>
      <c r="C11" t="str">
        <f>VLOOKUP(B11,'Input Data'!$C$19:$AA$39,18,0)</f>
        <v>NULL</v>
      </c>
      <c r="D11" s="87">
        <f>VLOOKUP(B11,'Input Data'!$C$19:$BF$39,50,0)</f>
        <v>0</v>
      </c>
      <c r="E11" s="87" t="e">
        <f t="shared" si="0"/>
        <v>#N/A</v>
      </c>
      <c r="F11" s="87"/>
      <c r="H11" t="e">
        <f>VLOOKUP(G11,#REF!,18,0)</f>
        <v>#REF!</v>
      </c>
      <c r="I11" s="87" t="e">
        <f>VLOOKUP(G11,#REF!,50,0)</f>
        <v>#REF!</v>
      </c>
      <c r="J11" t="e">
        <f t="shared" si="1"/>
        <v>#N/A</v>
      </c>
    </row>
    <row r="12" spans="2:10" x14ac:dyDescent="0.35">
      <c r="B12">
        <v>5</v>
      </c>
      <c r="C12" t="str">
        <f>VLOOKUP(B12,'Input Data'!$C$19:$AA$39,18,0)</f>
        <v>NULL</v>
      </c>
      <c r="D12" s="87">
        <f>VLOOKUP(B12,'Input Data'!$C$19:$BF$39,50,0)</f>
        <v>0</v>
      </c>
      <c r="E12" s="87" t="e">
        <f t="shared" si="0"/>
        <v>#N/A</v>
      </c>
      <c r="F12" s="87"/>
      <c r="H12" t="e">
        <f>VLOOKUP(G12,#REF!,18,0)</f>
        <v>#REF!</v>
      </c>
      <c r="I12" s="87" t="e">
        <f>VLOOKUP(G12,#REF!,50,0)</f>
        <v>#REF!</v>
      </c>
      <c r="J12" t="e">
        <f t="shared" si="1"/>
        <v>#N/A</v>
      </c>
    </row>
    <row r="13" spans="2:10" x14ac:dyDescent="0.35">
      <c r="B13">
        <v>6</v>
      </c>
      <c r="C13" t="str">
        <f>VLOOKUP(B13,'Input Data'!$C$19:$AA$39,18,0)</f>
        <v>NULL</v>
      </c>
      <c r="D13" s="87">
        <f>VLOOKUP(B13,'Input Data'!$C$19:$BF$39,50,0)</f>
        <v>0</v>
      </c>
      <c r="E13" s="87" t="e">
        <f t="shared" si="0"/>
        <v>#N/A</v>
      </c>
      <c r="F13" s="87"/>
      <c r="H13" t="e">
        <f>VLOOKUP(G13,#REF!,18,0)</f>
        <v>#REF!</v>
      </c>
      <c r="I13" s="87" t="e">
        <f>VLOOKUP(G13,#REF!,50,0)</f>
        <v>#REF!</v>
      </c>
      <c r="J13" t="e">
        <f t="shared" si="1"/>
        <v>#N/A</v>
      </c>
    </row>
    <row r="14" spans="2:10" x14ac:dyDescent="0.35">
      <c r="B14">
        <v>7</v>
      </c>
      <c r="C14" t="str">
        <f>VLOOKUP(B14,'Input Data'!$C$19:$AA$39,18,0)</f>
        <v>NULL</v>
      </c>
      <c r="D14" s="87">
        <f>VLOOKUP(B14,'Input Data'!$C$19:$BF$39,50,0)</f>
        <v>0</v>
      </c>
      <c r="E14" s="87" t="e">
        <f t="shared" si="0"/>
        <v>#N/A</v>
      </c>
      <c r="F14" s="87"/>
      <c r="H14" t="e">
        <f>VLOOKUP(G14,#REF!,18,0)</f>
        <v>#REF!</v>
      </c>
      <c r="I14" s="87" t="e">
        <f>VLOOKUP(G14,#REF!,50,0)</f>
        <v>#REF!</v>
      </c>
      <c r="J14" t="e">
        <f t="shared" si="1"/>
        <v>#N/A</v>
      </c>
    </row>
    <row r="15" spans="2:10" x14ac:dyDescent="0.35">
      <c r="B15">
        <v>8</v>
      </c>
      <c r="C15" t="str">
        <f>VLOOKUP(B15,'Input Data'!$C$19:$AA$39,18,0)</f>
        <v>NULL</v>
      </c>
      <c r="D15" s="87">
        <f>VLOOKUP(B15,'Input Data'!$C$19:$BF$39,50,0)</f>
        <v>0</v>
      </c>
      <c r="E15" s="87" t="e">
        <f t="shared" si="0"/>
        <v>#N/A</v>
      </c>
      <c r="F15" s="87"/>
      <c r="H15" t="e">
        <f>VLOOKUP(G15,#REF!,18,0)</f>
        <v>#REF!</v>
      </c>
      <c r="I15" s="87" t="e">
        <f>VLOOKUP(G15,#REF!,50,0)</f>
        <v>#REF!</v>
      </c>
      <c r="J15" t="e">
        <f t="shared" si="1"/>
        <v>#N/A</v>
      </c>
    </row>
    <row r="16" spans="2:10" x14ac:dyDescent="0.35">
      <c r="B16">
        <v>9</v>
      </c>
      <c r="C16" t="str">
        <f>VLOOKUP(B16,'Input Data'!$C$19:$AA$39,18,0)</f>
        <v>NULL</v>
      </c>
      <c r="D16" s="87">
        <f>VLOOKUP(B16,'Input Data'!$C$19:$BF$39,50,0)</f>
        <v>0</v>
      </c>
      <c r="E16" s="87" t="e">
        <f t="shared" si="0"/>
        <v>#N/A</v>
      </c>
      <c r="F16" s="87"/>
      <c r="H16" t="e">
        <f>VLOOKUP(G16,#REF!,18,0)</f>
        <v>#REF!</v>
      </c>
      <c r="I16" s="87" t="e">
        <f>VLOOKUP(G16,#REF!,50,0)</f>
        <v>#REF!</v>
      </c>
      <c r="J16" t="e">
        <f t="shared" si="1"/>
        <v>#N/A</v>
      </c>
    </row>
    <row r="17" spans="2:10" x14ac:dyDescent="0.35">
      <c r="B17">
        <v>10</v>
      </c>
      <c r="C17" t="str">
        <f>VLOOKUP(B17,'Input Data'!$C$19:$AA$39,18,0)</f>
        <v>NULL</v>
      </c>
      <c r="D17" s="87">
        <f>VLOOKUP(B17,'Input Data'!$C$19:$BF$39,50,0)</f>
        <v>0</v>
      </c>
      <c r="E17" s="87" t="e">
        <f t="shared" si="0"/>
        <v>#N/A</v>
      </c>
      <c r="F17" s="87"/>
      <c r="H17" t="e">
        <f>VLOOKUP(G17,#REF!,18,0)</f>
        <v>#REF!</v>
      </c>
      <c r="I17" s="87" t="e">
        <f>VLOOKUP(G17,#REF!,50,0)</f>
        <v>#REF!</v>
      </c>
      <c r="J17" t="e">
        <f t="shared" si="1"/>
        <v>#N/A</v>
      </c>
    </row>
    <row r="18" spans="2:10" x14ac:dyDescent="0.35">
      <c r="B18">
        <v>11</v>
      </c>
      <c r="C18" t="str">
        <f>VLOOKUP(B18,'Input Data'!$C$19:$AA$39,18,0)</f>
        <v>NULL</v>
      </c>
      <c r="D18" s="87">
        <f>VLOOKUP(B18,'Input Data'!$C$19:$BF$39,50,0)</f>
        <v>0</v>
      </c>
      <c r="E18" s="87" t="e">
        <f t="shared" si="0"/>
        <v>#N/A</v>
      </c>
      <c r="F18" s="87"/>
      <c r="H18" t="e">
        <f>VLOOKUP(G18,#REF!,18,0)</f>
        <v>#REF!</v>
      </c>
      <c r="I18" s="87" t="e">
        <f>VLOOKUP(G18,#REF!,50,0)</f>
        <v>#REF!</v>
      </c>
      <c r="J18" t="e">
        <f t="shared" si="1"/>
        <v>#N/A</v>
      </c>
    </row>
    <row r="19" spans="2:10" x14ac:dyDescent="0.35">
      <c r="B19">
        <v>12</v>
      </c>
      <c r="C19" t="str">
        <f>VLOOKUP(B19,'Input Data'!$C$19:$AA$39,18,0)</f>
        <v>NULL</v>
      </c>
      <c r="D19" s="87">
        <f>VLOOKUP(B19,'Input Data'!$C$19:$BF$39,50,0)</f>
        <v>0</v>
      </c>
      <c r="E19" s="87" t="e">
        <f t="shared" si="0"/>
        <v>#N/A</v>
      </c>
      <c r="F19" s="87"/>
      <c r="H19" t="e">
        <f>VLOOKUP(G19,#REF!,18,0)</f>
        <v>#REF!</v>
      </c>
      <c r="I19" s="87" t="e">
        <f>VLOOKUP(G19,#REF!,50,0)</f>
        <v>#REF!</v>
      </c>
      <c r="J19" t="e">
        <f t="shared" si="1"/>
        <v>#N/A</v>
      </c>
    </row>
    <row r="20" spans="2:10" x14ac:dyDescent="0.35">
      <c r="B20">
        <v>13</v>
      </c>
      <c r="C20" t="str">
        <f>VLOOKUP(B20,'Input Data'!$C$19:$AA$39,18,0)</f>
        <v>NULL</v>
      </c>
      <c r="D20" s="87">
        <f>VLOOKUP(B20,'Input Data'!$C$19:$BF$39,50,0)</f>
        <v>0</v>
      </c>
      <c r="E20" s="87" t="e">
        <f t="shared" si="0"/>
        <v>#N/A</v>
      </c>
      <c r="F20" s="87"/>
      <c r="H20" t="e">
        <f>VLOOKUP(G20,#REF!,18,0)</f>
        <v>#REF!</v>
      </c>
      <c r="I20" s="87" t="e">
        <f>VLOOKUP(G20,#REF!,50,0)</f>
        <v>#REF!</v>
      </c>
      <c r="J20" t="e">
        <f t="shared" si="1"/>
        <v>#N/A</v>
      </c>
    </row>
    <row r="21" spans="2:10" x14ac:dyDescent="0.35">
      <c r="B21">
        <v>14</v>
      </c>
      <c r="C21" t="str">
        <f>VLOOKUP(B21,'Input Data'!$C$19:$AA$39,18,0)</f>
        <v>NULL</v>
      </c>
      <c r="D21" s="87">
        <f>VLOOKUP(B21,'Input Data'!$C$19:$BF$39,50,0)</f>
        <v>0</v>
      </c>
      <c r="E21" s="87" t="e">
        <f t="shared" si="0"/>
        <v>#N/A</v>
      </c>
      <c r="F21" s="87"/>
      <c r="H21" t="e">
        <f>VLOOKUP(G21,#REF!,18,0)</f>
        <v>#REF!</v>
      </c>
      <c r="I21" s="87" t="e">
        <f>VLOOKUP(G21,#REF!,50,0)</f>
        <v>#REF!</v>
      </c>
      <c r="J21" t="e">
        <f t="shared" si="1"/>
        <v>#N/A</v>
      </c>
    </row>
    <row r="22" spans="2:10" x14ac:dyDescent="0.35">
      <c r="B22">
        <v>15</v>
      </c>
      <c r="C22" t="e">
        <f>VLOOKUP(B22,'Input Data'!$C$19:$AA$39,18,0)</f>
        <v>#N/A</v>
      </c>
      <c r="D22" s="87" t="e">
        <f>VLOOKUP(B22,'Input Data'!$C$19:$BF$39,50,0)</f>
        <v>#N/A</v>
      </c>
      <c r="E22" s="87" t="e">
        <f t="shared" si="0"/>
        <v>#N/A</v>
      </c>
      <c r="F22" s="87"/>
      <c r="H22" t="e">
        <f>VLOOKUP(G22,#REF!,18,0)</f>
        <v>#REF!</v>
      </c>
      <c r="I22" s="87" t="e">
        <f>VLOOKUP(G22,#REF!,50,0)</f>
        <v>#REF!</v>
      </c>
      <c r="J22" t="e">
        <f t="shared" si="1"/>
        <v>#N/A</v>
      </c>
    </row>
    <row r="23" spans="2:10" x14ac:dyDescent="0.35">
      <c r="B23">
        <v>16</v>
      </c>
      <c r="C23" t="e">
        <f>VLOOKUP(B23,'Input Data'!$C$19:$AA$39,18,0)</f>
        <v>#N/A</v>
      </c>
      <c r="D23" s="87" t="e">
        <f>VLOOKUP(B23,'Input Data'!$C$19:$BF$39,50,0)</f>
        <v>#N/A</v>
      </c>
      <c r="E23" s="87" t="e">
        <f t="shared" si="0"/>
        <v>#N/A</v>
      </c>
      <c r="F23" s="87"/>
      <c r="H23" t="e">
        <f>VLOOKUP(G23,#REF!,18,0)</f>
        <v>#REF!</v>
      </c>
      <c r="I23" s="87" t="e">
        <f>VLOOKUP(G23,#REF!,50,0)</f>
        <v>#REF!</v>
      </c>
      <c r="J23" t="e">
        <f t="shared" si="1"/>
        <v>#N/A</v>
      </c>
    </row>
    <row r="24" spans="2:10" x14ac:dyDescent="0.35">
      <c r="B24">
        <v>17</v>
      </c>
      <c r="C24" t="e">
        <f>VLOOKUP(B24,'Input Data'!$C$19:$AA$39,18,0)</f>
        <v>#N/A</v>
      </c>
      <c r="D24" s="87" t="e">
        <f>VLOOKUP(B24,'Input Data'!$C$19:$BF$39,50,0)</f>
        <v>#N/A</v>
      </c>
      <c r="E24" s="87" t="e">
        <f t="shared" si="0"/>
        <v>#N/A</v>
      </c>
      <c r="F24" s="87"/>
      <c r="H24" t="e">
        <f>VLOOKUP(G24,#REF!,18,0)</f>
        <v>#REF!</v>
      </c>
      <c r="I24" s="87" t="e">
        <f>VLOOKUP(G24,#REF!,50,0)</f>
        <v>#REF!</v>
      </c>
      <c r="J24" t="e">
        <f t="shared" si="1"/>
        <v>#N/A</v>
      </c>
    </row>
    <row r="25" spans="2:10" x14ac:dyDescent="0.35">
      <c r="B25">
        <v>1</v>
      </c>
      <c r="C25" t="str">
        <f>VLOOKUP(B25,'Input Data'!$C$19:$AA$39,18,0)</f>
        <v>NULL</v>
      </c>
      <c r="D25" s="87">
        <f>VLOOKUP(B25,'Input Data'!$C$19:$BF$39,50,0)</f>
        <v>0</v>
      </c>
      <c r="E25" s="87" t="e">
        <f t="shared" si="0"/>
        <v>#N/A</v>
      </c>
      <c r="F25" s="87"/>
      <c r="H25" t="e">
        <f>VLOOKUP(G25,#REF!,18,0)</f>
        <v>#REF!</v>
      </c>
      <c r="I25" s="87" t="e">
        <f>VLOOKUP(G25,#REF!,50,0)</f>
        <v>#REF!</v>
      </c>
      <c r="J25" t="e">
        <f t="shared" si="1"/>
        <v>#N/A</v>
      </c>
    </row>
    <row r="26" spans="2:10" x14ac:dyDescent="0.35">
      <c r="B26">
        <v>2</v>
      </c>
      <c r="C26" t="str">
        <f>VLOOKUP(B26,'Input Data'!$C$19:$AA$39,18,0)</f>
        <v>NULL</v>
      </c>
      <c r="D26" s="87">
        <f>VLOOKUP(B26,'Input Data'!$C$19:$BF$39,50,0)</f>
        <v>0</v>
      </c>
      <c r="E26" s="87" t="e">
        <f t="shared" si="0"/>
        <v>#N/A</v>
      </c>
      <c r="F26" s="87"/>
      <c r="H26" t="e">
        <f>VLOOKUP(G26,#REF!,18,0)</f>
        <v>#REF!</v>
      </c>
      <c r="I26" s="87" t="e">
        <f>VLOOKUP(G26,#REF!,50,0)</f>
        <v>#REF!</v>
      </c>
      <c r="J26" t="e">
        <f t="shared" si="1"/>
        <v>#N/A</v>
      </c>
    </row>
    <row r="27" spans="2:10" x14ac:dyDescent="0.35">
      <c r="B27">
        <v>3</v>
      </c>
      <c r="C27" t="str">
        <f>VLOOKUP(B27,'Input Data'!$C$19:$AA$39,18,0)</f>
        <v>NULL</v>
      </c>
      <c r="D27" s="87">
        <f>VLOOKUP(B27,'Input Data'!$C$19:$BF$39,50,0)</f>
        <v>0</v>
      </c>
      <c r="E27" s="87" t="e">
        <f t="shared" si="0"/>
        <v>#N/A</v>
      </c>
      <c r="F27" s="87"/>
      <c r="H27" t="e">
        <f>VLOOKUP(G27,#REF!,18,0)</f>
        <v>#REF!</v>
      </c>
      <c r="I27" s="87" t="e">
        <f>VLOOKUP(G27,#REF!,50,0)</f>
        <v>#REF!</v>
      </c>
      <c r="J27" t="e">
        <f t="shared" si="1"/>
        <v>#N/A</v>
      </c>
    </row>
    <row r="28" spans="2:10" x14ac:dyDescent="0.35">
      <c r="B28">
        <v>4</v>
      </c>
      <c r="C28" t="str">
        <f>VLOOKUP(B28,'Input Data'!$C$19:$AA$39,18,0)</f>
        <v>NULL</v>
      </c>
      <c r="D28" s="87">
        <f>VLOOKUP(B28,'Input Data'!$C$19:$BF$39,50,0)</f>
        <v>0</v>
      </c>
      <c r="E28" s="87" t="e">
        <f t="shared" si="0"/>
        <v>#N/A</v>
      </c>
      <c r="F28" s="87"/>
      <c r="H28" t="e">
        <f>VLOOKUP(G28,#REF!,18,0)</f>
        <v>#REF!</v>
      </c>
      <c r="I28" s="87" t="e">
        <f>VLOOKUP(G28,#REF!,50,0)</f>
        <v>#REF!</v>
      </c>
      <c r="J28" t="e">
        <f t="shared" si="1"/>
        <v>#N/A</v>
      </c>
    </row>
    <row r="29" spans="2:10" x14ac:dyDescent="0.35">
      <c r="B29">
        <v>1</v>
      </c>
      <c r="C29" t="str">
        <f>VLOOKUP(B29,'Input Data'!$C$19:$AA$39,18,0)</f>
        <v>NULL</v>
      </c>
      <c r="D29" s="87">
        <f>VLOOKUP(B29,'Input Data'!$C$19:$BF$39,50,0)</f>
        <v>0</v>
      </c>
      <c r="E29" s="87" t="e">
        <f t="shared" si="0"/>
        <v>#N/A</v>
      </c>
      <c r="F29" s="87"/>
      <c r="H29" t="e">
        <f>VLOOKUP(G29,#REF!,18,0)</f>
        <v>#REF!</v>
      </c>
      <c r="I29" s="87" t="e">
        <f>VLOOKUP(G29,#REF!,50,0)</f>
        <v>#REF!</v>
      </c>
      <c r="J29" t="e">
        <f t="shared" si="1"/>
        <v>#N/A</v>
      </c>
    </row>
    <row r="30" spans="2:10" x14ac:dyDescent="0.35">
      <c r="B30">
        <v>2</v>
      </c>
      <c r="C30" t="str">
        <f>VLOOKUP(B30,'Input Data'!$C$19:$AA$39,18,0)</f>
        <v>NULL</v>
      </c>
      <c r="D30" s="87">
        <f>VLOOKUP(B30,'Input Data'!$C$19:$BF$39,50,0)</f>
        <v>0</v>
      </c>
      <c r="E30" s="87" t="e">
        <f t="shared" si="0"/>
        <v>#N/A</v>
      </c>
      <c r="F30" s="87"/>
      <c r="H30" t="e">
        <f>VLOOKUP(G30,#REF!,18,0)</f>
        <v>#REF!</v>
      </c>
      <c r="I30" s="87" t="e">
        <f>VLOOKUP(G30,#REF!,50,0)</f>
        <v>#REF!</v>
      </c>
      <c r="J30" t="e">
        <f t="shared" si="1"/>
        <v>#N/A</v>
      </c>
    </row>
    <row r="31" spans="2:10" x14ac:dyDescent="0.35">
      <c r="B31">
        <v>3</v>
      </c>
      <c r="C31" t="str">
        <f>VLOOKUP(B31,'Input Data'!$C$19:$AA$39,18,0)</f>
        <v>NULL</v>
      </c>
      <c r="D31" s="87">
        <f>VLOOKUP(B31,'Input Data'!$C$19:$BF$39,50,0)</f>
        <v>0</v>
      </c>
      <c r="E31" s="87" t="e">
        <f t="shared" si="0"/>
        <v>#N/A</v>
      </c>
      <c r="F31" s="87"/>
      <c r="H31" t="e">
        <f>VLOOKUP(G31,#REF!,18,0)</f>
        <v>#REF!</v>
      </c>
      <c r="I31" s="87" t="e">
        <f>VLOOKUP(G31,#REF!,50,0)</f>
        <v>#REF!</v>
      </c>
      <c r="J31" t="e">
        <f t="shared" si="1"/>
        <v>#N/A</v>
      </c>
    </row>
    <row r="32" spans="2:10" x14ac:dyDescent="0.35">
      <c r="B32">
        <v>4</v>
      </c>
      <c r="C32" t="str">
        <f>VLOOKUP(B32,'Input Data'!$C$19:$AA$39,18,0)</f>
        <v>NULL</v>
      </c>
      <c r="D32" s="87">
        <f>VLOOKUP(B32,'Input Data'!$C$19:$BF$39,50,0)</f>
        <v>0</v>
      </c>
      <c r="E32" s="87" t="e">
        <f t="shared" si="0"/>
        <v>#N/A</v>
      </c>
      <c r="F32" s="87"/>
      <c r="H32" t="e">
        <f>VLOOKUP(G32,#REF!,18,0)</f>
        <v>#REF!</v>
      </c>
      <c r="I32" s="87" t="e">
        <f>VLOOKUP(G32,#REF!,50,0)</f>
        <v>#REF!</v>
      </c>
      <c r="J32" t="e">
        <f t="shared" si="1"/>
        <v>#N/A</v>
      </c>
    </row>
    <row r="33" spans="2:10" x14ac:dyDescent="0.35">
      <c r="B33">
        <v>5</v>
      </c>
      <c r="C33" t="str">
        <f>VLOOKUP(B33,'Input Data'!$C$19:$AA$39,18,0)</f>
        <v>NULL</v>
      </c>
      <c r="D33" s="87">
        <f>VLOOKUP(B33,'Input Data'!$C$19:$BF$39,50,0)</f>
        <v>0</v>
      </c>
      <c r="E33" s="87" t="e">
        <f t="shared" si="0"/>
        <v>#N/A</v>
      </c>
      <c r="F33" s="87"/>
      <c r="H33" t="e">
        <f>VLOOKUP(G33,#REF!,18,0)</f>
        <v>#REF!</v>
      </c>
      <c r="I33" s="87" t="e">
        <f>VLOOKUP(G33,#REF!,50,0)</f>
        <v>#REF!</v>
      </c>
      <c r="J33" t="e">
        <f t="shared" si="1"/>
        <v>#N/A</v>
      </c>
    </row>
    <row r="34" spans="2:10" x14ac:dyDescent="0.35">
      <c r="B34">
        <v>18</v>
      </c>
      <c r="C34" t="e">
        <f>VLOOKUP(B34,'Input Data'!$C$19:$AA$39,18,0)</f>
        <v>#N/A</v>
      </c>
      <c r="D34" s="87" t="e">
        <f>VLOOKUP(B34,'Input Data'!$C$19:$BF$39,50,0)</f>
        <v>#N/A</v>
      </c>
      <c r="E34" s="87" t="e">
        <f t="shared" si="0"/>
        <v>#N/A</v>
      </c>
      <c r="F34" s="87"/>
      <c r="H34" t="e">
        <f>VLOOKUP(G34,#REF!,18,0)</f>
        <v>#REF!</v>
      </c>
      <c r="I34" s="87" t="e">
        <f>VLOOKUP(G34,#REF!,50,0)</f>
        <v>#REF!</v>
      </c>
      <c r="J34" t="e">
        <f t="shared" si="1"/>
        <v>#N/A</v>
      </c>
    </row>
    <row r="35" spans="2:10" x14ac:dyDescent="0.35">
      <c r="B35">
        <v>19</v>
      </c>
      <c r="C35" t="e">
        <f>VLOOKUP(B35,'Input Data'!$C$19:$AA$39,18,0)</f>
        <v>#N/A</v>
      </c>
      <c r="D35" s="87" t="e">
        <f>VLOOKUP(B35,'Input Data'!$C$19:$BF$39,50,0)</f>
        <v>#N/A</v>
      </c>
      <c r="E35" s="87" t="e">
        <f t="shared" si="0"/>
        <v>#N/A</v>
      </c>
      <c r="F35" s="87"/>
      <c r="H35" t="e">
        <f>VLOOKUP(G35,#REF!,18,0)</f>
        <v>#REF!</v>
      </c>
      <c r="I35" s="87" t="e">
        <f>VLOOKUP(G35,#REF!,50,0)</f>
        <v>#REF!</v>
      </c>
      <c r="J35" t="e">
        <f t="shared" si="1"/>
        <v>#N/A</v>
      </c>
    </row>
    <row r="36" spans="2:10" x14ac:dyDescent="0.35">
      <c r="B36">
        <v>21</v>
      </c>
      <c r="C36" t="e">
        <f>VLOOKUP(B36,'Input Data'!$C$19:$AA$39,18,0)</f>
        <v>#N/A</v>
      </c>
      <c r="D36" s="87" t="e">
        <f>VLOOKUP(B36,'Input Data'!$C$19:$BF$39,50,0)</f>
        <v>#N/A</v>
      </c>
      <c r="E36" s="87" t="e">
        <f t="shared" si="0"/>
        <v>#N/A</v>
      </c>
      <c r="F36" s="87"/>
      <c r="H36" t="e">
        <f>VLOOKUP(G36,#REF!,18,0)</f>
        <v>#REF!</v>
      </c>
      <c r="I36" s="87" t="e">
        <f>VLOOKUP(G36,#REF!,50,0)</f>
        <v>#REF!</v>
      </c>
      <c r="J36" t="e">
        <f t="shared" si="1"/>
        <v>#N/A</v>
      </c>
    </row>
    <row r="37" spans="2:10" x14ac:dyDescent="0.35">
      <c r="B37">
        <v>20</v>
      </c>
      <c r="C37" t="e">
        <f>VLOOKUP(B37,'Input Data'!$C$19:$AA$39,18,0)</f>
        <v>#N/A</v>
      </c>
      <c r="D37" s="87" t="e">
        <f>VLOOKUP(B37,'Input Data'!$C$19:$BF$39,50,0)</f>
        <v>#N/A</v>
      </c>
      <c r="E37" s="87" t="e">
        <f t="shared" si="0"/>
        <v>#N/A</v>
      </c>
      <c r="F37" s="87"/>
      <c r="H37" t="e">
        <f>VLOOKUP(G37,#REF!,18,0)</f>
        <v>#REF!</v>
      </c>
      <c r="I37" s="87" t="e">
        <f>VLOOKUP(G37,#REF!,50,0)</f>
        <v>#REF!</v>
      </c>
      <c r="J37" t="e">
        <f t="shared" si="1"/>
        <v>#N/A</v>
      </c>
    </row>
    <row r="38" spans="2:10" x14ac:dyDescent="0.35">
      <c r="B38">
        <v>22</v>
      </c>
      <c r="C38" t="e">
        <f>VLOOKUP(B38,'Input Data'!$C$19:$AA$39,18,0)</f>
        <v>#N/A</v>
      </c>
      <c r="D38" s="87" t="e">
        <f>VLOOKUP(B38,'Input Data'!$C$19:$BF$39,50,0)</f>
        <v>#N/A</v>
      </c>
      <c r="E38" s="87" t="e">
        <f t="shared" si="0"/>
        <v>#N/A</v>
      </c>
      <c r="F38" s="87"/>
      <c r="H38" t="e">
        <f>VLOOKUP(G38,#REF!,18,0)</f>
        <v>#REF!</v>
      </c>
      <c r="I38" s="87" t="e">
        <f>VLOOKUP(G38,#REF!,50,0)</f>
        <v>#REF!</v>
      </c>
      <c r="J38" t="e">
        <f t="shared" si="1"/>
        <v>#N/A</v>
      </c>
    </row>
    <row r="39" spans="2:10" x14ac:dyDescent="0.35">
      <c r="B39">
        <v>23</v>
      </c>
      <c r="C39" t="e">
        <f>VLOOKUP(B39,'Input Data'!$C$19:$AA$39,18,0)</f>
        <v>#N/A</v>
      </c>
      <c r="D39" s="87" t="e">
        <f>VLOOKUP(B39,'Input Data'!$C$19:$BF$39,50,0)</f>
        <v>#N/A</v>
      </c>
      <c r="E39" s="87" t="e">
        <f t="shared" si="0"/>
        <v>#N/A</v>
      </c>
      <c r="F39" s="87"/>
      <c r="H39" t="e">
        <f>VLOOKUP(G39,#REF!,18,0)</f>
        <v>#REF!</v>
      </c>
      <c r="I39" s="87" t="e">
        <f>VLOOKUP(G39,#REF!,50,0)</f>
        <v>#REF!</v>
      </c>
      <c r="J39" t="e">
        <f t="shared" si="1"/>
        <v>#N/A</v>
      </c>
    </row>
    <row r="40" spans="2:10" x14ac:dyDescent="0.35">
      <c r="B40">
        <v>433090</v>
      </c>
      <c r="C40" t="e">
        <f>VLOOKUP(B40,'Input Data'!$C$19:$AA$39,18,0)</f>
        <v>#N/A</v>
      </c>
      <c r="D40" s="87" t="e">
        <f>VLOOKUP(B40,'Input Data'!$C$19:$BF$39,50,0)</f>
        <v>#N/A</v>
      </c>
      <c r="E40" s="87" t="e">
        <f t="shared" si="0"/>
        <v>#N/A</v>
      </c>
      <c r="F40" s="87"/>
      <c r="H40" t="e">
        <f>VLOOKUP(G40,#REF!,18,0)</f>
        <v>#REF!</v>
      </c>
      <c r="I40" s="87" t="e">
        <f>VLOOKUP(G40,#REF!,50,0)</f>
        <v>#REF!</v>
      </c>
      <c r="J40" t="e">
        <f t="shared" si="1"/>
        <v>#N/A</v>
      </c>
    </row>
    <row r="41" spans="2:10" x14ac:dyDescent="0.35">
      <c r="B41">
        <v>436566</v>
      </c>
      <c r="C41" t="e">
        <f>VLOOKUP(B41,'Input Data'!$C$19:$AA$39,18,0)</f>
        <v>#N/A</v>
      </c>
      <c r="D41" s="87" t="e">
        <f>VLOOKUP(B41,'Input Data'!$C$19:$BF$39,50,0)</f>
        <v>#N/A</v>
      </c>
      <c r="E41" s="87" t="e">
        <f t="shared" si="0"/>
        <v>#N/A</v>
      </c>
      <c r="F41" s="87"/>
      <c r="H41" t="e">
        <f>VLOOKUP(G41,#REF!,18,0)</f>
        <v>#REF!</v>
      </c>
      <c r="I41" s="87" t="e">
        <f>VLOOKUP(G41,#REF!,50,0)</f>
        <v>#REF!</v>
      </c>
      <c r="J41" t="e">
        <f t="shared" si="1"/>
        <v>#N/A</v>
      </c>
    </row>
    <row r="42" spans="2:10" x14ac:dyDescent="0.35">
      <c r="B42">
        <v>445095</v>
      </c>
      <c r="C42" t="e">
        <f>VLOOKUP(B42,'Input Data'!$C$19:$AA$39,18,0)</f>
        <v>#N/A</v>
      </c>
      <c r="D42" s="87" t="e">
        <f>VLOOKUP(B42,'Input Data'!$C$19:$BF$39,50,0)</f>
        <v>#N/A</v>
      </c>
      <c r="E42" s="87" t="e">
        <f t="shared" si="0"/>
        <v>#N/A</v>
      </c>
      <c r="F42" s="87"/>
      <c r="H42" t="e">
        <f>VLOOKUP(G42,#REF!,18,0)</f>
        <v>#REF!</v>
      </c>
      <c r="I42" s="87" t="e">
        <f>VLOOKUP(G42,#REF!,50,0)</f>
        <v>#REF!</v>
      </c>
      <c r="J42" t="e">
        <f t="shared" si="1"/>
        <v>#N/A</v>
      </c>
    </row>
    <row r="43" spans="2:10" x14ac:dyDescent="0.35">
      <c r="B43">
        <v>446645</v>
      </c>
      <c r="C43" t="e">
        <f>VLOOKUP(B43,'Input Data'!$C$19:$AA$39,18,0)</f>
        <v>#N/A</v>
      </c>
      <c r="D43" s="87" t="e">
        <f>VLOOKUP(B43,'Input Data'!$C$19:$BF$39,50,0)</f>
        <v>#N/A</v>
      </c>
      <c r="E43" s="87" t="e">
        <f t="shared" si="0"/>
        <v>#N/A</v>
      </c>
      <c r="F43" s="87"/>
      <c r="H43" t="e">
        <f>VLOOKUP(G43,#REF!,18,0)</f>
        <v>#REF!</v>
      </c>
      <c r="I43" s="87" t="e">
        <f>VLOOKUP(G43,#REF!,50,0)</f>
        <v>#REF!</v>
      </c>
      <c r="J43" t="e">
        <f t="shared" si="1"/>
        <v>#N/A</v>
      </c>
    </row>
    <row r="44" spans="2:10" x14ac:dyDescent="0.35">
      <c r="B44">
        <v>447941</v>
      </c>
      <c r="C44" t="e">
        <f>VLOOKUP(B44,'Input Data'!$C$19:$AA$39,18,0)</f>
        <v>#N/A</v>
      </c>
      <c r="D44" s="87" t="e">
        <f>VLOOKUP(B44,'Input Data'!$C$19:$BF$39,50,0)</f>
        <v>#N/A</v>
      </c>
      <c r="E44" s="87" t="e">
        <f t="shared" si="0"/>
        <v>#N/A</v>
      </c>
      <c r="F44" s="87"/>
      <c r="H44" t="e">
        <f>VLOOKUP(G44,#REF!,18,0)</f>
        <v>#REF!</v>
      </c>
      <c r="I44" s="87" t="e">
        <f>VLOOKUP(G44,#REF!,50,0)</f>
        <v>#REF!</v>
      </c>
      <c r="J44" t="e">
        <f t="shared" si="1"/>
        <v>#N/A</v>
      </c>
    </row>
    <row r="45" spans="2:10" x14ac:dyDescent="0.35">
      <c r="B45">
        <v>456306</v>
      </c>
      <c r="C45" t="e">
        <f>VLOOKUP(B45,'Input Data'!$C$19:$AA$39,18,0)</f>
        <v>#N/A</v>
      </c>
      <c r="D45" s="87" t="e">
        <f>VLOOKUP(B45,'Input Data'!$C$19:$BF$39,50,0)</f>
        <v>#N/A</v>
      </c>
      <c r="E45" s="87" t="e">
        <f t="shared" si="0"/>
        <v>#N/A</v>
      </c>
      <c r="F45" s="87"/>
      <c r="H45" t="e">
        <f>VLOOKUP(G45,#REF!,18,0)</f>
        <v>#REF!</v>
      </c>
      <c r="I45" s="87" t="e">
        <f>VLOOKUP(G45,#REF!,50,0)</f>
        <v>#REF!</v>
      </c>
      <c r="J45" t="e">
        <f t="shared" si="1"/>
        <v>#N/A</v>
      </c>
    </row>
    <row r="46" spans="2:10" x14ac:dyDescent="0.35">
      <c r="B46">
        <v>457079</v>
      </c>
      <c r="C46" t="e">
        <f>VLOOKUP(B46,'Input Data'!$C$19:$AA$39,18,0)</f>
        <v>#N/A</v>
      </c>
      <c r="D46" s="87" t="e">
        <f>VLOOKUP(B46,'Input Data'!$C$19:$BF$39,50,0)</f>
        <v>#N/A</v>
      </c>
      <c r="E46" s="87" t="e">
        <f t="shared" si="0"/>
        <v>#N/A</v>
      </c>
      <c r="F46" s="87"/>
      <c r="H46" t="e">
        <f>VLOOKUP(G46,#REF!,18,0)</f>
        <v>#REF!</v>
      </c>
      <c r="I46" s="87" t="e">
        <f>VLOOKUP(G46,#REF!,50,0)</f>
        <v>#REF!</v>
      </c>
      <c r="J46" t="e">
        <f t="shared" si="1"/>
        <v>#N/A</v>
      </c>
    </row>
    <row r="47" spans="2:10" x14ac:dyDescent="0.35">
      <c r="B47">
        <v>457089</v>
      </c>
      <c r="C47" t="e">
        <f>VLOOKUP(B47,'Input Data'!$C$19:$AA$39,18,0)</f>
        <v>#N/A</v>
      </c>
      <c r="D47" s="87" t="e">
        <f>VLOOKUP(B47,'Input Data'!$C$19:$BF$39,50,0)</f>
        <v>#N/A</v>
      </c>
      <c r="E47" s="87" t="e">
        <f t="shared" si="0"/>
        <v>#N/A</v>
      </c>
      <c r="F47" s="87"/>
      <c r="H47" t="e">
        <f>VLOOKUP(G47,#REF!,18,0)</f>
        <v>#REF!</v>
      </c>
      <c r="I47" s="87" t="e">
        <f>VLOOKUP(G47,#REF!,50,0)</f>
        <v>#REF!</v>
      </c>
      <c r="J47" t="e">
        <f t="shared" si="1"/>
        <v>#N/A</v>
      </c>
    </row>
    <row r="48" spans="2:10" x14ac:dyDescent="0.35">
      <c r="B48">
        <v>457090</v>
      </c>
      <c r="C48" t="e">
        <f>VLOOKUP(B48,'Input Data'!$C$19:$AA$39,18,0)</f>
        <v>#N/A</v>
      </c>
      <c r="D48" s="87" t="e">
        <f>VLOOKUP(B48,'Input Data'!$C$19:$BF$39,50,0)</f>
        <v>#N/A</v>
      </c>
      <c r="E48" s="87" t="e">
        <f t="shared" si="0"/>
        <v>#N/A</v>
      </c>
      <c r="F48" s="87"/>
      <c r="H48" t="e">
        <f>VLOOKUP(G48,#REF!,18,0)</f>
        <v>#REF!</v>
      </c>
      <c r="I48" s="87" t="e">
        <f>VLOOKUP(G48,#REF!,50,0)</f>
        <v>#REF!</v>
      </c>
      <c r="J48" t="e">
        <f t="shared" si="1"/>
        <v>#N/A</v>
      </c>
    </row>
    <row r="49" spans="2:10" x14ac:dyDescent="0.35">
      <c r="B49">
        <v>458634</v>
      </c>
      <c r="C49" t="e">
        <f>VLOOKUP(B49,'Input Data'!$C$19:$AA$39,18,0)</f>
        <v>#N/A</v>
      </c>
      <c r="D49" s="87" t="e">
        <f>VLOOKUP(B49,'Input Data'!$C$19:$BF$39,50,0)</f>
        <v>#N/A</v>
      </c>
      <c r="E49" s="87" t="e">
        <f t="shared" si="0"/>
        <v>#N/A</v>
      </c>
      <c r="F49" s="87"/>
      <c r="H49" t="e">
        <f>VLOOKUP(G49,#REF!,18,0)</f>
        <v>#REF!</v>
      </c>
      <c r="I49" s="87" t="e">
        <f>VLOOKUP(G49,#REF!,50,0)</f>
        <v>#REF!</v>
      </c>
      <c r="J49" t="e">
        <f t="shared" si="1"/>
        <v>#N/A</v>
      </c>
    </row>
    <row r="50" spans="2:10" x14ac:dyDescent="0.35">
      <c r="B50">
        <v>458837</v>
      </c>
      <c r="C50" t="e">
        <f>VLOOKUP(B50,'Input Data'!$C$19:$AA$39,18,0)</f>
        <v>#N/A</v>
      </c>
      <c r="D50" s="87" t="e">
        <f>VLOOKUP(B50,'Input Data'!$C$19:$BF$39,50,0)</f>
        <v>#N/A</v>
      </c>
      <c r="E50" s="87" t="e">
        <f t="shared" si="0"/>
        <v>#N/A</v>
      </c>
      <c r="F50" s="87"/>
      <c r="G50" s="86"/>
      <c r="H50" s="86" t="e">
        <f>VLOOKUP(G50,#REF!,18,0)</f>
        <v>#REF!</v>
      </c>
      <c r="I50" s="87" t="e">
        <f>VLOOKUP(G50,#REF!,50,0)</f>
        <v>#REF!</v>
      </c>
      <c r="J50" t="e">
        <f t="shared" si="1"/>
        <v>#N/A</v>
      </c>
    </row>
    <row r="51" spans="2:10" x14ac:dyDescent="0.35">
      <c r="B51">
        <v>459135</v>
      </c>
      <c r="C51" t="e">
        <f>VLOOKUP(B51,'Input Data'!$C$19:$AA$39,18,0)</f>
        <v>#N/A</v>
      </c>
      <c r="D51" s="87" t="e">
        <f>VLOOKUP(B51,'Input Data'!$C$19:$BF$39,50,0)</f>
        <v>#N/A</v>
      </c>
      <c r="E51" s="87" t="e">
        <f t="shared" si="0"/>
        <v>#N/A</v>
      </c>
      <c r="F51" s="87"/>
      <c r="H51" t="e">
        <f>VLOOKUP(G51,#REF!,18,0)</f>
        <v>#REF!</v>
      </c>
      <c r="I51" s="87" t="e">
        <f>VLOOKUP(G51,#REF!,50,0)</f>
        <v>#REF!</v>
      </c>
      <c r="J51" t="e">
        <f t="shared" si="1"/>
        <v>#N/A</v>
      </c>
    </row>
    <row r="52" spans="2:10" x14ac:dyDescent="0.35">
      <c r="B52">
        <v>459136</v>
      </c>
      <c r="C52" t="e">
        <f>VLOOKUP(B52,'Input Data'!$C$19:$AA$39,18,0)</f>
        <v>#N/A</v>
      </c>
      <c r="D52" s="87" t="e">
        <f>VLOOKUP(B52,'Input Data'!$C$19:$BF$39,50,0)</f>
        <v>#N/A</v>
      </c>
      <c r="E52" s="87" t="e">
        <f t="shared" si="0"/>
        <v>#N/A</v>
      </c>
      <c r="F52" s="87"/>
      <c r="G52" s="86"/>
      <c r="H52" s="86" t="e">
        <f>VLOOKUP(G52,#REF!,18,0)</f>
        <v>#REF!</v>
      </c>
      <c r="I52" s="87" t="e">
        <f>VLOOKUP(G52,#REF!,50,0)</f>
        <v>#REF!</v>
      </c>
      <c r="J52" t="e">
        <f t="shared" si="1"/>
        <v>#N/A</v>
      </c>
    </row>
    <row r="53" spans="2:10" x14ac:dyDescent="0.35">
      <c r="B53">
        <v>459137</v>
      </c>
      <c r="C53" t="e">
        <f>VLOOKUP(B53,'Input Data'!$C$19:$AA$39,18,0)</f>
        <v>#N/A</v>
      </c>
      <c r="D53" s="87" t="e">
        <f>VLOOKUP(B53,'Input Data'!$C$19:$BF$39,50,0)</f>
        <v>#N/A</v>
      </c>
      <c r="E53" s="87" t="e">
        <f t="shared" si="0"/>
        <v>#N/A</v>
      </c>
      <c r="F53" s="87"/>
      <c r="H53" t="e">
        <f>VLOOKUP(G53,#REF!,18,0)</f>
        <v>#REF!</v>
      </c>
      <c r="I53" s="87" t="e">
        <f>VLOOKUP(G53,#REF!,50,0)</f>
        <v>#REF!</v>
      </c>
      <c r="J53" t="e">
        <f t="shared" si="1"/>
        <v>#N/A</v>
      </c>
    </row>
    <row r="54" spans="2:10" x14ac:dyDescent="0.35">
      <c r="B54">
        <v>460214</v>
      </c>
      <c r="C54" t="e">
        <f>VLOOKUP(B54,'Input Data'!$C$19:$AA$39,18,0)</f>
        <v>#N/A</v>
      </c>
      <c r="D54" s="87" t="e">
        <f>VLOOKUP(B54,'Input Data'!$C$19:$BF$39,50,0)</f>
        <v>#N/A</v>
      </c>
      <c r="E54" s="87" t="e">
        <f t="shared" si="0"/>
        <v>#N/A</v>
      </c>
      <c r="F54" s="87"/>
      <c r="H54" t="e">
        <f>VLOOKUP(G54,#REF!,18,0)</f>
        <v>#REF!</v>
      </c>
      <c r="I54" s="87" t="e">
        <f>VLOOKUP(G54,#REF!,50,0)</f>
        <v>#REF!</v>
      </c>
      <c r="J54" t="e">
        <f t="shared" si="1"/>
        <v>#N/A</v>
      </c>
    </row>
    <row r="55" spans="2:10" x14ac:dyDescent="0.35">
      <c r="B55">
        <v>460219</v>
      </c>
      <c r="C55" t="e">
        <f>VLOOKUP(B55,'Input Data'!$C$19:$AA$39,18,0)</f>
        <v>#N/A</v>
      </c>
      <c r="D55" s="87" t="e">
        <f>VLOOKUP(B55,'Input Data'!$C$19:$BF$39,50,0)</f>
        <v>#N/A</v>
      </c>
      <c r="E55" s="87" t="e">
        <f t="shared" si="0"/>
        <v>#N/A</v>
      </c>
      <c r="F55" s="87"/>
      <c r="H55" t="e">
        <f>VLOOKUP(G55,#REF!,18,0)</f>
        <v>#REF!</v>
      </c>
      <c r="I55" s="87" t="e">
        <f>VLOOKUP(G55,#REF!,50,0)</f>
        <v>#REF!</v>
      </c>
      <c r="J55" t="e">
        <f t="shared" si="1"/>
        <v>#N/A</v>
      </c>
    </row>
    <row r="56" spans="2:10" x14ac:dyDescent="0.35">
      <c r="B56">
        <v>463279</v>
      </c>
      <c r="C56" t="e">
        <f>VLOOKUP(B56,'Input Data'!$C$19:$AA$39,18,0)</f>
        <v>#N/A</v>
      </c>
      <c r="D56" s="87" t="e">
        <f>VLOOKUP(B56,'Input Data'!$C$19:$BF$39,50,0)</f>
        <v>#N/A</v>
      </c>
      <c r="E56" s="87" t="e">
        <f t="shared" si="0"/>
        <v>#N/A</v>
      </c>
      <c r="F56" s="87"/>
      <c r="H56" t="e">
        <f>VLOOKUP(G56,#REF!,18,0)</f>
        <v>#REF!</v>
      </c>
      <c r="I56" s="87" t="e">
        <f>VLOOKUP(G56,#REF!,50,0)</f>
        <v>#REF!</v>
      </c>
      <c r="J56" t="e">
        <f t="shared" si="1"/>
        <v>#N/A</v>
      </c>
    </row>
    <row r="57" spans="2:10" x14ac:dyDescent="0.35">
      <c r="B57">
        <v>463281</v>
      </c>
      <c r="C57" t="e">
        <f>VLOOKUP(B57,'Input Data'!$C$19:$AA$39,18,0)</f>
        <v>#N/A</v>
      </c>
      <c r="D57" s="87" t="e">
        <f>VLOOKUP(B57,'Input Data'!$C$19:$BF$39,50,0)</f>
        <v>#N/A</v>
      </c>
      <c r="E57" s="87" t="e">
        <f t="shared" si="0"/>
        <v>#N/A</v>
      </c>
      <c r="F57" s="87"/>
      <c r="H57" t="e">
        <f>VLOOKUP(G57,#REF!,18,0)</f>
        <v>#REF!</v>
      </c>
      <c r="I57" s="87" t="e">
        <f>VLOOKUP(G57,#REF!,50,0)</f>
        <v>#REF!</v>
      </c>
      <c r="J57" t="e">
        <f t="shared" si="1"/>
        <v>#N/A</v>
      </c>
    </row>
    <row r="58" spans="2:10" x14ac:dyDescent="0.35">
      <c r="B58">
        <v>463282</v>
      </c>
      <c r="C58" t="e">
        <f>VLOOKUP(B58,'Input Data'!$C$19:$AA$39,18,0)</f>
        <v>#N/A</v>
      </c>
      <c r="D58" s="87" t="e">
        <f>VLOOKUP(B58,'Input Data'!$C$19:$BF$39,50,0)</f>
        <v>#N/A</v>
      </c>
      <c r="E58" s="87" t="e">
        <f t="shared" si="0"/>
        <v>#N/A</v>
      </c>
      <c r="F58" s="87"/>
      <c r="H58" t="e">
        <f>VLOOKUP(G58,#REF!,18,0)</f>
        <v>#REF!</v>
      </c>
      <c r="I58" s="87" t="e">
        <f>VLOOKUP(G58,#REF!,50,0)</f>
        <v>#REF!</v>
      </c>
      <c r="J58" t="e">
        <f t="shared" si="1"/>
        <v>#N/A</v>
      </c>
    </row>
    <row r="59" spans="2:10" x14ac:dyDescent="0.35">
      <c r="B59">
        <v>463283</v>
      </c>
      <c r="C59" t="e">
        <f>VLOOKUP(B59,'Input Data'!$C$19:$AA$39,18,0)</f>
        <v>#N/A</v>
      </c>
      <c r="D59" s="87" t="e">
        <f>VLOOKUP(B59,'Input Data'!$C$19:$BF$39,50,0)</f>
        <v>#N/A</v>
      </c>
      <c r="E59" s="87" t="e">
        <f t="shared" si="0"/>
        <v>#N/A</v>
      </c>
      <c r="F59" s="87"/>
      <c r="H59" t="e">
        <f>VLOOKUP(G59,#REF!,18,0)</f>
        <v>#REF!</v>
      </c>
      <c r="I59" s="87" t="e">
        <f>VLOOKUP(G59,#REF!,50,0)</f>
        <v>#REF!</v>
      </c>
      <c r="J59" t="e">
        <f t="shared" si="1"/>
        <v>#N/A</v>
      </c>
    </row>
    <row r="60" spans="2:10" x14ac:dyDescent="0.35">
      <c r="B60">
        <v>463284</v>
      </c>
      <c r="C60" t="e">
        <f>VLOOKUP(B60,'Input Data'!$C$19:$AA$39,18,0)</f>
        <v>#N/A</v>
      </c>
      <c r="D60" s="87" t="e">
        <f>VLOOKUP(B60,'Input Data'!$C$19:$BF$39,50,0)</f>
        <v>#N/A</v>
      </c>
      <c r="E60" s="87" t="e">
        <f t="shared" si="0"/>
        <v>#N/A</v>
      </c>
      <c r="F60" s="87"/>
      <c r="H60" t="e">
        <f>VLOOKUP(G60,#REF!,18,0)</f>
        <v>#REF!</v>
      </c>
      <c r="I60" s="87" t="e">
        <f>VLOOKUP(G60,#REF!,50,0)</f>
        <v>#REF!</v>
      </c>
      <c r="J60" t="e">
        <f t="shared" si="1"/>
        <v>#N/A</v>
      </c>
    </row>
    <row r="61" spans="2:10" x14ac:dyDescent="0.35">
      <c r="B61">
        <v>463285</v>
      </c>
      <c r="C61" t="e">
        <f>VLOOKUP(B61,'Input Data'!$C$19:$AA$39,18,0)</f>
        <v>#N/A</v>
      </c>
      <c r="D61" s="87" t="e">
        <f>VLOOKUP(B61,'Input Data'!$C$19:$BF$39,50,0)</f>
        <v>#N/A</v>
      </c>
      <c r="E61" s="87" t="e">
        <f t="shared" si="0"/>
        <v>#N/A</v>
      </c>
      <c r="F61" s="87"/>
      <c r="H61" t="e">
        <f>VLOOKUP(G61,#REF!,18,0)</f>
        <v>#REF!</v>
      </c>
      <c r="I61" s="87" t="e">
        <f>VLOOKUP(G61,#REF!,50,0)</f>
        <v>#REF!</v>
      </c>
      <c r="J61" t="e">
        <f t="shared" si="1"/>
        <v>#N/A</v>
      </c>
    </row>
    <row r="62" spans="2:10" x14ac:dyDescent="0.35">
      <c r="B62">
        <v>463286</v>
      </c>
      <c r="C62" t="e">
        <f>VLOOKUP(B62,'Input Data'!$C$19:$AA$39,18,0)</f>
        <v>#N/A</v>
      </c>
      <c r="D62" s="87" t="e">
        <f>VLOOKUP(B62,'Input Data'!$C$19:$BF$39,50,0)</f>
        <v>#N/A</v>
      </c>
      <c r="E62" s="87" t="e">
        <f t="shared" si="0"/>
        <v>#N/A</v>
      </c>
      <c r="F62" s="87"/>
      <c r="H62" t="e">
        <f>VLOOKUP(G62,#REF!,18,0)</f>
        <v>#REF!</v>
      </c>
      <c r="I62" s="87" t="e">
        <f>VLOOKUP(G62,#REF!,50,0)</f>
        <v>#REF!</v>
      </c>
      <c r="J62" t="e">
        <f t="shared" si="1"/>
        <v>#N/A</v>
      </c>
    </row>
    <row r="63" spans="2:10" x14ac:dyDescent="0.35">
      <c r="B63">
        <v>463287</v>
      </c>
      <c r="C63" t="e">
        <f>VLOOKUP(B63,'Input Data'!$C$19:$AA$39,18,0)</f>
        <v>#N/A</v>
      </c>
      <c r="D63" s="87" t="e">
        <f>VLOOKUP(B63,'Input Data'!$C$19:$BF$39,50,0)</f>
        <v>#N/A</v>
      </c>
      <c r="E63" s="87" t="e">
        <f t="shared" si="0"/>
        <v>#N/A</v>
      </c>
      <c r="F63" s="87"/>
      <c r="H63" t="e">
        <f>VLOOKUP(G63,#REF!,18,0)</f>
        <v>#REF!</v>
      </c>
      <c r="I63" s="87" t="e">
        <f>VLOOKUP(G63,#REF!,50,0)</f>
        <v>#REF!</v>
      </c>
      <c r="J63" t="e">
        <f t="shared" si="1"/>
        <v>#N/A</v>
      </c>
    </row>
    <row r="64" spans="2:10" x14ac:dyDescent="0.35">
      <c r="B64">
        <v>463288</v>
      </c>
      <c r="C64" t="e">
        <f>VLOOKUP(B64,'Input Data'!$C$19:$AA$39,18,0)</f>
        <v>#N/A</v>
      </c>
      <c r="D64" s="87" t="e">
        <f>VLOOKUP(B64,'Input Data'!$C$19:$BF$39,50,0)</f>
        <v>#N/A</v>
      </c>
      <c r="E64" s="87" t="e">
        <f t="shared" si="0"/>
        <v>#N/A</v>
      </c>
      <c r="F64" s="87"/>
      <c r="H64" t="e">
        <f>VLOOKUP(G64,#REF!,18,0)</f>
        <v>#REF!</v>
      </c>
      <c r="I64" s="87" t="e">
        <f>VLOOKUP(G64,#REF!,50,0)</f>
        <v>#REF!</v>
      </c>
      <c r="J64" t="e">
        <f t="shared" si="1"/>
        <v>#N/A</v>
      </c>
    </row>
    <row r="65" spans="2:10" x14ac:dyDescent="0.35">
      <c r="B65">
        <v>473581</v>
      </c>
      <c r="C65" t="e">
        <f>VLOOKUP(B65,'Input Data'!$C$19:$AA$39,18,0)</f>
        <v>#N/A</v>
      </c>
      <c r="D65" s="87" t="e">
        <f>VLOOKUP(B65,'Input Data'!$C$19:$BF$39,50,0)</f>
        <v>#N/A</v>
      </c>
      <c r="E65" s="87" t="e">
        <f t="shared" si="0"/>
        <v>#N/A</v>
      </c>
      <c r="F65" s="87"/>
      <c r="H65" t="e">
        <f>VLOOKUP(G65,#REF!,18,0)</f>
        <v>#REF!</v>
      </c>
      <c r="I65" s="87" t="e">
        <f>VLOOKUP(G65,#REF!,50,0)</f>
        <v>#REF!</v>
      </c>
      <c r="J65" t="e">
        <f t="shared" si="1"/>
        <v>#N/A</v>
      </c>
    </row>
    <row r="66" spans="2:10" x14ac:dyDescent="0.35">
      <c r="B66">
        <v>473582</v>
      </c>
      <c r="C66" t="e">
        <f>VLOOKUP(B66,'Input Data'!$C$19:$AA$39,18,0)</f>
        <v>#N/A</v>
      </c>
      <c r="D66" s="87" t="e">
        <f>VLOOKUP(B66,'Input Data'!$C$19:$BF$39,50,0)</f>
        <v>#N/A</v>
      </c>
      <c r="E66" s="87" t="e">
        <f t="shared" si="0"/>
        <v>#N/A</v>
      </c>
      <c r="F66" s="87"/>
      <c r="H66" t="e">
        <f>VLOOKUP(G66,#REF!,18,0)</f>
        <v>#REF!</v>
      </c>
      <c r="I66" s="87" t="e">
        <f>VLOOKUP(G66,#REF!,50,0)</f>
        <v>#REF!</v>
      </c>
      <c r="J66" t="s">
        <v>159</v>
      </c>
    </row>
    <row r="67" spans="2:10" x14ac:dyDescent="0.35">
      <c r="B67">
        <v>473583</v>
      </c>
      <c r="C67" t="e">
        <f>VLOOKUP(B67,'Input Data'!$C$19:$AA$39,18,0)</f>
        <v>#N/A</v>
      </c>
      <c r="D67" s="87" t="e">
        <f>VLOOKUP(B67,'Input Data'!$C$19:$BF$39,50,0)</f>
        <v>#N/A</v>
      </c>
      <c r="E67" s="87" t="e">
        <f t="shared" ref="E67:E82" si="2">MATCH(C67,$H:$H,0)</f>
        <v>#N/A</v>
      </c>
      <c r="F67" s="87"/>
      <c r="H67" t="e">
        <f>VLOOKUP(G67,#REF!,18,0)</f>
        <v>#REF!</v>
      </c>
      <c r="I67" s="87" t="e">
        <f>VLOOKUP(G67,#REF!,50,0)</f>
        <v>#REF!</v>
      </c>
      <c r="J67" t="s">
        <v>160</v>
      </c>
    </row>
    <row r="68" spans="2:10" x14ac:dyDescent="0.35">
      <c r="B68">
        <v>473584</v>
      </c>
      <c r="C68" t="e">
        <f>VLOOKUP(B68,'Input Data'!$C$19:$AA$39,18,0)</f>
        <v>#N/A</v>
      </c>
      <c r="D68" s="87" t="e">
        <f>VLOOKUP(B68,'Input Data'!$C$19:$BF$39,50,0)</f>
        <v>#N/A</v>
      </c>
      <c r="E68" s="87" t="e">
        <f t="shared" si="2"/>
        <v>#N/A</v>
      </c>
      <c r="F68" s="87"/>
      <c r="H68" t="e">
        <f>VLOOKUP(G68,#REF!,18,0)</f>
        <v>#REF!</v>
      </c>
      <c r="I68" s="87" t="e">
        <f>VLOOKUP(G68,#REF!,50,0)</f>
        <v>#REF!</v>
      </c>
      <c r="J68" t="e">
        <f t="shared" ref="J68:J108" si="3">MATCH(G68,B:B,0)</f>
        <v>#N/A</v>
      </c>
    </row>
    <row r="69" spans="2:10" x14ac:dyDescent="0.35">
      <c r="B69">
        <v>477970</v>
      </c>
      <c r="C69" t="e">
        <f>VLOOKUP(B69,'Input Data'!$C$19:$AA$39,18,0)</f>
        <v>#N/A</v>
      </c>
      <c r="D69" s="87" t="e">
        <f>VLOOKUP(B69,'Input Data'!$C$19:$BF$39,50,0)</f>
        <v>#N/A</v>
      </c>
      <c r="E69" s="87" t="e">
        <f t="shared" si="2"/>
        <v>#N/A</v>
      </c>
      <c r="F69" s="87"/>
      <c r="H69" t="e">
        <f>VLOOKUP(G69,#REF!,18,0)</f>
        <v>#REF!</v>
      </c>
      <c r="I69" s="87" t="e">
        <f>VLOOKUP(G69,#REF!,50,0)</f>
        <v>#REF!</v>
      </c>
      <c r="J69" t="e">
        <f t="shared" si="3"/>
        <v>#N/A</v>
      </c>
    </row>
    <row r="70" spans="2:10" x14ac:dyDescent="0.35">
      <c r="B70">
        <v>478633</v>
      </c>
      <c r="C70" t="e">
        <f>VLOOKUP(B70,'Input Data'!$C$19:$AA$39,18,0)</f>
        <v>#N/A</v>
      </c>
      <c r="D70" s="87" t="e">
        <f>VLOOKUP(B70,'Input Data'!$C$19:$BF$39,50,0)</f>
        <v>#N/A</v>
      </c>
      <c r="E70" s="87" t="e">
        <f t="shared" si="2"/>
        <v>#N/A</v>
      </c>
      <c r="F70" s="87"/>
      <c r="H70" t="e">
        <f>VLOOKUP(G70,#REF!,18,0)</f>
        <v>#REF!</v>
      </c>
      <c r="I70" s="87" t="e">
        <f>VLOOKUP(G70,#REF!,50,0)</f>
        <v>#REF!</v>
      </c>
      <c r="J70" t="s">
        <v>160</v>
      </c>
    </row>
    <row r="71" spans="2:10" x14ac:dyDescent="0.35">
      <c r="B71">
        <v>479568</v>
      </c>
      <c r="C71" t="e">
        <f>VLOOKUP(B71,'Input Data'!$C$19:$AA$39,18,0)</f>
        <v>#N/A</v>
      </c>
      <c r="D71" s="87" t="e">
        <f>VLOOKUP(B71,'Input Data'!$C$19:$BF$39,50,0)</f>
        <v>#N/A</v>
      </c>
      <c r="E71" s="87" t="e">
        <f t="shared" si="2"/>
        <v>#N/A</v>
      </c>
      <c r="F71" s="87"/>
      <c r="H71" t="e">
        <f>VLOOKUP(G71,#REF!,18,0)</f>
        <v>#REF!</v>
      </c>
      <c r="I71" s="87" t="e">
        <f>VLOOKUP(G71,#REF!,50,0)</f>
        <v>#REF!</v>
      </c>
      <c r="J71" t="s">
        <v>160</v>
      </c>
    </row>
    <row r="72" spans="2:10" x14ac:dyDescent="0.35">
      <c r="B72">
        <v>484966</v>
      </c>
      <c r="C72" t="e">
        <f>VLOOKUP(B72,'Input Data'!$C$19:$AA$39,18,0)</f>
        <v>#N/A</v>
      </c>
      <c r="D72" s="87" t="e">
        <f>VLOOKUP(B72,'Input Data'!$C$19:$BF$39,50,0)</f>
        <v>#N/A</v>
      </c>
      <c r="E72" s="87" t="e">
        <f t="shared" si="2"/>
        <v>#N/A</v>
      </c>
      <c r="F72" s="87"/>
      <c r="H72" t="e">
        <f>VLOOKUP(G72,#REF!,18,0)</f>
        <v>#REF!</v>
      </c>
      <c r="I72" s="87" t="e">
        <f>VLOOKUP(G72,#REF!,50,0)</f>
        <v>#REF!</v>
      </c>
      <c r="J72" t="s">
        <v>159</v>
      </c>
    </row>
    <row r="73" spans="2:10" x14ac:dyDescent="0.35">
      <c r="B73">
        <v>484967</v>
      </c>
      <c r="C73" t="e">
        <f>VLOOKUP(B73,'Input Data'!$C$19:$AA$39,18,0)</f>
        <v>#N/A</v>
      </c>
      <c r="D73" s="87" t="e">
        <f>VLOOKUP(B73,'Input Data'!$C$19:$BF$39,50,0)</f>
        <v>#N/A</v>
      </c>
      <c r="E73" s="87" t="e">
        <f t="shared" si="2"/>
        <v>#N/A</v>
      </c>
      <c r="F73" s="87"/>
      <c r="H73" t="e">
        <f>VLOOKUP(G73,#REF!,18,0)</f>
        <v>#REF!</v>
      </c>
      <c r="I73" s="87" t="e">
        <f>VLOOKUP(G73,#REF!,50,0)</f>
        <v>#REF!</v>
      </c>
      <c r="J73" t="s">
        <v>160</v>
      </c>
    </row>
    <row r="74" spans="2:10" x14ac:dyDescent="0.35">
      <c r="B74">
        <v>484968</v>
      </c>
      <c r="C74" t="e">
        <f>VLOOKUP(B74,'Input Data'!$C$19:$AA$39,18,0)</f>
        <v>#N/A</v>
      </c>
      <c r="D74" s="87" t="e">
        <f>VLOOKUP(B74,'Input Data'!$C$19:$BF$39,50,0)</f>
        <v>#N/A</v>
      </c>
      <c r="E74" s="87" t="e">
        <f t="shared" si="2"/>
        <v>#N/A</v>
      </c>
      <c r="F74" s="87"/>
      <c r="H74" t="e">
        <f>VLOOKUP(G74,#REF!,18,0)</f>
        <v>#REF!</v>
      </c>
      <c r="I74" s="87" t="e">
        <f>VLOOKUP(G74,#REF!,50,0)</f>
        <v>#REF!</v>
      </c>
      <c r="J74" t="s">
        <v>160</v>
      </c>
    </row>
    <row r="75" spans="2:10" x14ac:dyDescent="0.35">
      <c r="B75">
        <v>485048</v>
      </c>
      <c r="C75" t="e">
        <f>VLOOKUP(B75,'Input Data'!$C$19:$AA$39,18,0)</f>
        <v>#N/A</v>
      </c>
      <c r="D75" s="87" t="e">
        <f>VLOOKUP(B75,'Input Data'!$C$19:$BF$39,50,0)</f>
        <v>#N/A</v>
      </c>
      <c r="E75" s="87" t="e">
        <f t="shared" si="2"/>
        <v>#N/A</v>
      </c>
      <c r="F75" s="87"/>
      <c r="H75" t="e">
        <f>VLOOKUP(G75,#REF!,18,0)</f>
        <v>#REF!</v>
      </c>
      <c r="I75" s="87" t="e">
        <f>VLOOKUP(G75,#REF!,50,0)</f>
        <v>#REF!</v>
      </c>
      <c r="J75" t="s">
        <v>159</v>
      </c>
    </row>
    <row r="76" spans="2:10" x14ac:dyDescent="0.35">
      <c r="B76">
        <v>485050</v>
      </c>
      <c r="C76" t="e">
        <f>VLOOKUP(B76,'Input Data'!$C$19:$AA$39,18,0)</f>
        <v>#N/A</v>
      </c>
      <c r="D76" s="87" t="e">
        <f>VLOOKUP(B76,'Input Data'!$C$19:$BF$39,50,0)</f>
        <v>#N/A</v>
      </c>
      <c r="E76" s="87" t="e">
        <f t="shared" si="2"/>
        <v>#N/A</v>
      </c>
      <c r="F76" s="87"/>
      <c r="H76" t="e">
        <f>VLOOKUP(G76,#REF!,18,0)</f>
        <v>#REF!</v>
      </c>
      <c r="I76" s="87" t="e">
        <f>VLOOKUP(G76,#REF!,50,0)</f>
        <v>#REF!</v>
      </c>
      <c r="J76" t="s">
        <v>159</v>
      </c>
    </row>
    <row r="77" spans="2:10" x14ac:dyDescent="0.35">
      <c r="B77">
        <v>485057</v>
      </c>
      <c r="C77" t="e">
        <f>VLOOKUP(B77,'Input Data'!$C$19:$AA$39,18,0)</f>
        <v>#N/A</v>
      </c>
      <c r="D77" s="87" t="e">
        <f>VLOOKUP(B77,'Input Data'!$C$19:$BF$39,50,0)</f>
        <v>#N/A</v>
      </c>
      <c r="E77" s="87" t="e">
        <f t="shared" si="2"/>
        <v>#N/A</v>
      </c>
      <c r="F77" s="87"/>
      <c r="H77" t="e">
        <f>VLOOKUP(G77,#REF!,18,0)</f>
        <v>#REF!</v>
      </c>
      <c r="I77" s="87" t="e">
        <f>VLOOKUP(G77,#REF!,50,0)</f>
        <v>#REF!</v>
      </c>
      <c r="J77" t="s">
        <v>159</v>
      </c>
    </row>
    <row r="78" spans="2:10" x14ac:dyDescent="0.35">
      <c r="B78">
        <v>485059</v>
      </c>
      <c r="C78" t="e">
        <f>VLOOKUP(B78,'Input Data'!$C$19:$AA$39,18,0)</f>
        <v>#N/A</v>
      </c>
      <c r="D78" s="87" t="e">
        <f>VLOOKUP(B78,'Input Data'!$C$19:$BF$39,50,0)</f>
        <v>#N/A</v>
      </c>
      <c r="E78" s="87" t="e">
        <f t="shared" si="2"/>
        <v>#N/A</v>
      </c>
      <c r="F78" s="87"/>
      <c r="H78" t="e">
        <f>VLOOKUP(G78,#REF!,18,0)</f>
        <v>#REF!</v>
      </c>
      <c r="I78" s="87" t="e">
        <f>VLOOKUP(G78,#REF!,50,0)</f>
        <v>#REF!</v>
      </c>
      <c r="J78" t="s">
        <v>159</v>
      </c>
    </row>
    <row r="79" spans="2:10" x14ac:dyDescent="0.35">
      <c r="B79">
        <v>485060</v>
      </c>
      <c r="C79" t="e">
        <f>VLOOKUP(B79,'Input Data'!$C$19:$AA$39,18,0)</f>
        <v>#N/A</v>
      </c>
      <c r="D79" s="87" t="e">
        <f>VLOOKUP(B79,'Input Data'!$C$19:$BF$39,50,0)</f>
        <v>#N/A</v>
      </c>
      <c r="E79" s="87" t="e">
        <f t="shared" si="2"/>
        <v>#N/A</v>
      </c>
      <c r="F79" s="87"/>
      <c r="H79" t="e">
        <f>VLOOKUP(G79,#REF!,18,0)</f>
        <v>#REF!</v>
      </c>
      <c r="I79" s="87" t="e">
        <f>VLOOKUP(G79,#REF!,50,0)</f>
        <v>#REF!</v>
      </c>
      <c r="J79" t="s">
        <v>159</v>
      </c>
    </row>
    <row r="80" spans="2:10" x14ac:dyDescent="0.35">
      <c r="B80">
        <v>486815</v>
      </c>
      <c r="C80" t="e">
        <f>VLOOKUP(B80,'Input Data'!$C$19:$AA$39,18,0)</f>
        <v>#N/A</v>
      </c>
      <c r="D80" s="87" t="e">
        <f>VLOOKUP(B80,'Input Data'!$C$19:$BF$39,50,0)</f>
        <v>#N/A</v>
      </c>
      <c r="E80" s="87" t="e">
        <f t="shared" si="2"/>
        <v>#N/A</v>
      </c>
      <c r="F80" s="87"/>
      <c r="H80" t="e">
        <f>VLOOKUP(G80,#REF!,18,0)</f>
        <v>#REF!</v>
      </c>
      <c r="I80" s="87" t="e">
        <f>VLOOKUP(G80,#REF!,50,0)</f>
        <v>#REF!</v>
      </c>
      <c r="J80" t="s">
        <v>159</v>
      </c>
    </row>
    <row r="81" spans="2:10" x14ac:dyDescent="0.35">
      <c r="B81">
        <v>488489</v>
      </c>
      <c r="C81" t="e">
        <f>VLOOKUP(B81,'Input Data'!$C$19:$AA$39,18,0)</f>
        <v>#N/A</v>
      </c>
      <c r="D81" s="87" t="e">
        <f>VLOOKUP(B81,'Input Data'!$C$19:$BF$39,50,0)</f>
        <v>#N/A</v>
      </c>
      <c r="E81" s="87" t="e">
        <f t="shared" si="2"/>
        <v>#N/A</v>
      </c>
      <c r="F81" s="87"/>
      <c r="H81" t="e">
        <f>VLOOKUP(G81,#REF!,18,0)</f>
        <v>#REF!</v>
      </c>
      <c r="I81" s="87" t="e">
        <f>VLOOKUP(G81,#REF!,50,0)</f>
        <v>#REF!</v>
      </c>
      <c r="J81" t="s">
        <v>159</v>
      </c>
    </row>
    <row r="82" spans="2:10" x14ac:dyDescent="0.35">
      <c r="B82">
        <v>488490</v>
      </c>
      <c r="C82" t="e">
        <f>VLOOKUP(B82,'Input Data'!$C$19:$AA$39,18,0)</f>
        <v>#N/A</v>
      </c>
      <c r="D82" s="87" t="e">
        <f>VLOOKUP(B82,'Input Data'!$C$19:$BF$39,50,0)</f>
        <v>#N/A</v>
      </c>
      <c r="E82" s="87" t="e">
        <f t="shared" si="2"/>
        <v>#N/A</v>
      </c>
      <c r="F82" s="87"/>
      <c r="H82" t="e">
        <f>VLOOKUP(G82,#REF!,18,0)</f>
        <v>#REF!</v>
      </c>
      <c r="I82" s="87" t="e">
        <f>VLOOKUP(G82,#REF!,50,0)</f>
        <v>#REF!</v>
      </c>
      <c r="J82" t="s">
        <v>159</v>
      </c>
    </row>
    <row r="83" spans="2:10" x14ac:dyDescent="0.35">
      <c r="B83">
        <v>489316</v>
      </c>
      <c r="D83" s="87"/>
      <c r="E83" s="87"/>
      <c r="F83" s="87"/>
      <c r="H83" t="e">
        <f>VLOOKUP(G83,#REF!,18,0)</f>
        <v>#REF!</v>
      </c>
      <c r="I83" s="87" t="e">
        <f>VLOOKUP(G83,#REF!,50,0)</f>
        <v>#REF!</v>
      </c>
      <c r="J83" t="s">
        <v>159</v>
      </c>
    </row>
    <row r="84" spans="2:10" x14ac:dyDescent="0.35">
      <c r="B84">
        <v>489317</v>
      </c>
      <c r="D84" s="87"/>
      <c r="E84" s="87"/>
      <c r="F84" s="87"/>
      <c r="H84" t="e">
        <f>VLOOKUP(G84,#REF!,18,0)</f>
        <v>#REF!</v>
      </c>
      <c r="I84" s="87" t="e">
        <f>VLOOKUP(G84,#REF!,50,0)</f>
        <v>#REF!</v>
      </c>
      <c r="J84" t="s">
        <v>159</v>
      </c>
    </row>
    <row r="85" spans="2:10" x14ac:dyDescent="0.35">
      <c r="B85">
        <v>489926</v>
      </c>
      <c r="D85" s="87" t="e">
        <f>SUM(D2:D82)</f>
        <v>#N/A</v>
      </c>
      <c r="E85" s="87"/>
      <c r="F85" s="87"/>
      <c r="H85" t="e">
        <f>VLOOKUP(G85,#REF!,18,0)</f>
        <v>#REF!</v>
      </c>
      <c r="I85" s="87" t="e">
        <f>VLOOKUP(G85,#REF!,50,0)</f>
        <v>#REF!</v>
      </c>
      <c r="J85" t="s">
        <v>159</v>
      </c>
    </row>
    <row r="86" spans="2:10" x14ac:dyDescent="0.35">
      <c r="B86">
        <v>492379</v>
      </c>
      <c r="D86" s="87"/>
      <c r="E86" s="87"/>
      <c r="F86" s="87"/>
      <c r="H86" t="e">
        <f>VLOOKUP(G86,#REF!,18,0)</f>
        <v>#REF!</v>
      </c>
      <c r="I86" s="87" t="e">
        <f>VLOOKUP(G86,#REF!,50,0)</f>
        <v>#REF!</v>
      </c>
      <c r="J86" t="s">
        <v>159</v>
      </c>
    </row>
    <row r="87" spans="2:10" x14ac:dyDescent="0.35">
      <c r="B87">
        <v>492382</v>
      </c>
      <c r="D87" s="87"/>
      <c r="E87" s="87"/>
      <c r="F87" s="87"/>
      <c r="H87" t="e">
        <f>VLOOKUP(G87,#REF!,18,0)</f>
        <v>#REF!</v>
      </c>
      <c r="I87" s="87" t="e">
        <f>VLOOKUP(G87,#REF!,50,0)</f>
        <v>#REF!</v>
      </c>
      <c r="J87" t="s">
        <v>159</v>
      </c>
    </row>
    <row r="88" spans="2:10" x14ac:dyDescent="0.35">
      <c r="B88">
        <v>492383</v>
      </c>
      <c r="D88" s="87"/>
      <c r="E88" s="87"/>
      <c r="F88" s="87"/>
      <c r="H88" t="e">
        <f>VLOOKUP(G88,#REF!,18,0)</f>
        <v>#REF!</v>
      </c>
      <c r="I88" s="87" t="e">
        <f>VLOOKUP(G88,#REF!,50,0)</f>
        <v>#REF!</v>
      </c>
      <c r="J88" t="s">
        <v>159</v>
      </c>
    </row>
    <row r="89" spans="2:10" x14ac:dyDescent="0.35">
      <c r="B89">
        <v>494217</v>
      </c>
      <c r="D89" s="87"/>
      <c r="E89" s="87"/>
      <c r="F89" s="87"/>
      <c r="H89" t="e">
        <f>VLOOKUP(G89,#REF!,18,0)</f>
        <v>#REF!</v>
      </c>
      <c r="I89" s="87" t="e">
        <f>VLOOKUP(G89,#REF!,50,0)</f>
        <v>#REF!</v>
      </c>
      <c r="J89" t="s">
        <v>159</v>
      </c>
    </row>
    <row r="90" spans="2:10" x14ac:dyDescent="0.35">
      <c r="B90">
        <v>494218</v>
      </c>
      <c r="D90" s="87"/>
      <c r="E90" s="87"/>
      <c r="F90" s="87"/>
      <c r="H90" t="e">
        <f>VLOOKUP(G90,#REF!,18,0)</f>
        <v>#REF!</v>
      </c>
      <c r="I90" s="87" t="e">
        <f>VLOOKUP(G90,#REF!,50,0)</f>
        <v>#REF!</v>
      </c>
      <c r="J90" t="s">
        <v>159</v>
      </c>
    </row>
    <row r="91" spans="2:10" x14ac:dyDescent="0.35">
      <c r="B91">
        <v>494323</v>
      </c>
      <c r="D91" s="87"/>
      <c r="E91" s="87"/>
      <c r="F91" s="87"/>
      <c r="H91" t="e">
        <f>VLOOKUP(G91,#REF!,18,0)</f>
        <v>#REF!</v>
      </c>
      <c r="I91" s="87" t="e">
        <f>VLOOKUP(G91,#REF!,50,0)</f>
        <v>#REF!</v>
      </c>
      <c r="J91" t="s">
        <v>159</v>
      </c>
    </row>
    <row r="92" spans="2:10" x14ac:dyDescent="0.35">
      <c r="B92">
        <v>494911</v>
      </c>
      <c r="D92" s="87"/>
      <c r="E92" s="87"/>
      <c r="F92" s="87"/>
      <c r="H92" t="e">
        <f>VLOOKUP(G92,#REF!,18,0)</f>
        <v>#REF!</v>
      </c>
      <c r="I92" s="87" t="e">
        <f>VLOOKUP(G92,#REF!,50,0)</f>
        <v>#REF!</v>
      </c>
      <c r="J92" t="s">
        <v>159</v>
      </c>
    </row>
    <row r="93" spans="2:10" x14ac:dyDescent="0.35">
      <c r="B93">
        <v>494912</v>
      </c>
      <c r="D93" s="87"/>
      <c r="E93" s="87"/>
      <c r="F93" s="87"/>
      <c r="H93" t="e">
        <f>VLOOKUP(G93,#REF!,18,0)</f>
        <v>#REF!</v>
      </c>
      <c r="I93" s="87" t="e">
        <f>VLOOKUP(G93,#REF!,50,0)</f>
        <v>#REF!</v>
      </c>
      <c r="J93" t="s">
        <v>159</v>
      </c>
    </row>
    <row r="94" spans="2:10" x14ac:dyDescent="0.35">
      <c r="B94">
        <v>494913</v>
      </c>
      <c r="D94" s="87"/>
      <c r="E94" s="87"/>
      <c r="F94" s="87"/>
      <c r="H94" t="e">
        <f>VLOOKUP(G94,#REF!,18,0)</f>
        <v>#REF!</v>
      </c>
      <c r="I94" s="87" t="e">
        <f>VLOOKUP(G94,#REF!,50,0)</f>
        <v>#REF!</v>
      </c>
      <c r="J94" t="s">
        <v>159</v>
      </c>
    </row>
    <row r="95" spans="2:10" x14ac:dyDescent="0.35">
      <c r="B95">
        <v>494914</v>
      </c>
      <c r="D95" s="87"/>
      <c r="E95" s="87"/>
      <c r="F95" s="87"/>
      <c r="H95" t="e">
        <f>VLOOKUP(G95,#REF!,18,0)</f>
        <v>#REF!</v>
      </c>
      <c r="I95" s="87" t="e">
        <f>VLOOKUP(G95,#REF!,50,0)</f>
        <v>#REF!</v>
      </c>
      <c r="J95" t="s">
        <v>159</v>
      </c>
    </row>
    <row r="96" spans="2:10" x14ac:dyDescent="0.35">
      <c r="B96">
        <v>494972</v>
      </c>
      <c r="D96" s="87"/>
      <c r="E96" s="87"/>
      <c r="F96" s="87"/>
      <c r="H96" t="e">
        <f>VLOOKUP(G96,#REF!,18,0)</f>
        <v>#REF!</v>
      </c>
      <c r="I96" s="87" t="e">
        <f>VLOOKUP(G96,#REF!,50,0)</f>
        <v>#REF!</v>
      </c>
      <c r="J96" t="s">
        <v>159</v>
      </c>
    </row>
    <row r="97" spans="2:10" x14ac:dyDescent="0.35">
      <c r="B97">
        <v>494973</v>
      </c>
      <c r="D97" s="87"/>
      <c r="E97" s="87"/>
      <c r="F97" s="87"/>
      <c r="H97" t="e">
        <f>VLOOKUP(G97,#REF!,18,0)</f>
        <v>#REF!</v>
      </c>
      <c r="I97" s="87" t="e">
        <f>VLOOKUP(G97,#REF!,50,0)</f>
        <v>#REF!</v>
      </c>
      <c r="J97" t="s">
        <v>159</v>
      </c>
    </row>
    <row r="98" spans="2:10" x14ac:dyDescent="0.35">
      <c r="B98">
        <v>494974</v>
      </c>
      <c r="D98" s="87"/>
      <c r="E98" s="87"/>
      <c r="F98" s="87"/>
      <c r="H98" t="e">
        <f>VLOOKUP(G98,#REF!,18,0)</f>
        <v>#REF!</v>
      </c>
      <c r="I98" s="87" t="e">
        <f>VLOOKUP(G98,#REF!,50,0)</f>
        <v>#REF!</v>
      </c>
      <c r="J98" t="s">
        <v>159</v>
      </c>
    </row>
    <row r="99" spans="2:10" x14ac:dyDescent="0.35">
      <c r="B99">
        <v>494975</v>
      </c>
      <c r="D99" s="87"/>
      <c r="E99" s="87"/>
      <c r="F99" s="87"/>
      <c r="H99" t="e">
        <f>VLOOKUP(G99,#REF!,18,0)</f>
        <v>#REF!</v>
      </c>
      <c r="I99" s="87" t="e">
        <f>VLOOKUP(G99,#REF!,50,0)</f>
        <v>#REF!</v>
      </c>
      <c r="J99" t="s">
        <v>159</v>
      </c>
    </row>
    <row r="100" spans="2:10" x14ac:dyDescent="0.35">
      <c r="B100">
        <v>495424</v>
      </c>
      <c r="D100" s="87"/>
      <c r="E100" s="87"/>
      <c r="F100" s="87"/>
      <c r="H100" t="e">
        <f>VLOOKUP(G100,#REF!,18,0)</f>
        <v>#REF!</v>
      </c>
      <c r="I100" s="87" t="e">
        <f>VLOOKUP(G100,#REF!,50,0)</f>
        <v>#REF!</v>
      </c>
      <c r="J100" t="s">
        <v>159</v>
      </c>
    </row>
    <row r="101" spans="2:10" x14ac:dyDescent="0.35">
      <c r="B101">
        <v>495524</v>
      </c>
      <c r="D101" s="87"/>
      <c r="E101" s="87"/>
      <c r="F101" s="87"/>
      <c r="H101" t="e">
        <f>VLOOKUP(G101,#REF!,18,0)</f>
        <v>#REF!</v>
      </c>
      <c r="I101" s="87" t="e">
        <f>VLOOKUP(G101,#REF!,50,0)</f>
        <v>#REF!</v>
      </c>
      <c r="J101" t="s">
        <v>160</v>
      </c>
    </row>
    <row r="102" spans="2:10" x14ac:dyDescent="0.35">
      <c r="B102">
        <v>495525</v>
      </c>
      <c r="D102" s="87"/>
      <c r="E102" s="87"/>
      <c r="F102" s="87"/>
      <c r="H102" t="e">
        <f>VLOOKUP(G102,#REF!,18,0)</f>
        <v>#REF!</v>
      </c>
      <c r="I102" s="87" t="e">
        <f>VLOOKUP(G102,#REF!,50,0)</f>
        <v>#REF!</v>
      </c>
      <c r="J102" t="s">
        <v>160</v>
      </c>
    </row>
    <row r="103" spans="2:10" x14ac:dyDescent="0.35">
      <c r="B103">
        <v>496098</v>
      </c>
      <c r="D103" s="87"/>
      <c r="E103" s="87"/>
      <c r="F103" s="87"/>
      <c r="H103" t="e">
        <f>VLOOKUP(G103,#REF!,18,0)</f>
        <v>#REF!</v>
      </c>
      <c r="I103" s="87" t="e">
        <f>VLOOKUP(G103,#REF!,50,0)</f>
        <v>#REF!</v>
      </c>
      <c r="J103" t="s">
        <v>160</v>
      </c>
    </row>
    <row r="104" spans="2:10" x14ac:dyDescent="0.35">
      <c r="B104">
        <v>496099</v>
      </c>
      <c r="D104" s="87"/>
      <c r="E104" s="87"/>
      <c r="F104" s="87"/>
      <c r="H104" t="e">
        <f>VLOOKUP(G104,#REF!,18,0)</f>
        <v>#REF!</v>
      </c>
      <c r="I104" s="87" t="e">
        <f>VLOOKUP(G104,#REF!,50,0)</f>
        <v>#REF!</v>
      </c>
      <c r="J104" t="s">
        <v>160</v>
      </c>
    </row>
    <row r="105" spans="2:10" x14ac:dyDescent="0.35">
      <c r="B105">
        <v>496100</v>
      </c>
      <c r="D105" s="87"/>
      <c r="E105" s="87"/>
      <c r="F105" s="87"/>
      <c r="H105" t="e">
        <f>VLOOKUP(G105,#REF!,18,0)</f>
        <v>#REF!</v>
      </c>
      <c r="I105" s="87" t="e">
        <f>VLOOKUP(G105,#REF!,50,0)</f>
        <v>#REF!</v>
      </c>
      <c r="J105" t="s">
        <v>160</v>
      </c>
    </row>
    <row r="106" spans="2:10" x14ac:dyDescent="0.35">
      <c r="B106">
        <v>496102</v>
      </c>
      <c r="D106" s="87"/>
      <c r="E106" s="87"/>
      <c r="F106" s="87"/>
      <c r="H106" t="e">
        <f>VLOOKUP(G106,#REF!,18,0)</f>
        <v>#REF!</v>
      </c>
      <c r="I106" s="87" t="e">
        <f>VLOOKUP(G106,#REF!,50,0)</f>
        <v>#REF!</v>
      </c>
      <c r="J106" t="s">
        <v>160</v>
      </c>
    </row>
    <row r="107" spans="2:10" x14ac:dyDescent="0.35">
      <c r="B107">
        <v>496234</v>
      </c>
      <c r="D107" s="87"/>
      <c r="E107" s="87"/>
      <c r="F107" s="87"/>
      <c r="H107" t="e">
        <f>VLOOKUP(G107,#REF!,18,0)</f>
        <v>#REF!</v>
      </c>
      <c r="I107" s="87" t="e">
        <f>VLOOKUP(G107,#REF!,50,0)</f>
        <v>#REF!</v>
      </c>
      <c r="J107" t="s">
        <v>160</v>
      </c>
    </row>
    <row r="108" spans="2:10" x14ac:dyDescent="0.35">
      <c r="B108">
        <v>496235</v>
      </c>
      <c r="D108" s="87"/>
      <c r="E108" s="87"/>
      <c r="F108" s="87"/>
      <c r="H108" t="e">
        <f>VLOOKUP(G108,#REF!,18,0)</f>
        <v>#REF!</v>
      </c>
      <c r="I108" s="87" t="e">
        <f>VLOOKUP(G108,#REF!,50,0)</f>
        <v>#REF!</v>
      </c>
      <c r="J108" t="e">
        <f t="shared" si="3"/>
        <v>#N/A</v>
      </c>
    </row>
    <row r="109" spans="2:10" x14ac:dyDescent="0.35">
      <c r="B109">
        <v>496236</v>
      </c>
    </row>
    <row r="110" spans="2:10" x14ac:dyDescent="0.35">
      <c r="B110">
        <v>498208</v>
      </c>
    </row>
    <row r="111" spans="2:10" x14ac:dyDescent="0.35">
      <c r="B111">
        <v>498244</v>
      </c>
    </row>
    <row r="112" spans="2:10" x14ac:dyDescent="0.35">
      <c r="B112">
        <v>500084</v>
      </c>
    </row>
    <row r="113" spans="2:2" x14ac:dyDescent="0.35">
      <c r="B113">
        <v>500128</v>
      </c>
    </row>
    <row r="114" spans="2:2" x14ac:dyDescent="0.35">
      <c r="B114">
        <v>500129</v>
      </c>
    </row>
    <row r="115" spans="2:2" x14ac:dyDescent="0.35">
      <c r="B115">
        <v>500130</v>
      </c>
    </row>
    <row r="116" spans="2:2" x14ac:dyDescent="0.35">
      <c r="B116">
        <v>500131</v>
      </c>
    </row>
    <row r="117" spans="2:2" x14ac:dyDescent="0.35">
      <c r="B117">
        <v>501623</v>
      </c>
    </row>
    <row r="118" spans="2:2" x14ac:dyDescent="0.35">
      <c r="B118">
        <v>501624</v>
      </c>
    </row>
    <row r="119" spans="2:2" x14ac:dyDescent="0.35">
      <c r="B119">
        <v>501625</v>
      </c>
    </row>
    <row r="120" spans="2:2" x14ac:dyDescent="0.35">
      <c r="B120">
        <v>503971</v>
      </c>
    </row>
    <row r="121" spans="2:2" x14ac:dyDescent="0.35">
      <c r="B121">
        <v>503972</v>
      </c>
    </row>
    <row r="122" spans="2:2" x14ac:dyDescent="0.35">
      <c r="B122">
        <v>503987</v>
      </c>
    </row>
    <row r="123" spans="2:2" x14ac:dyDescent="0.35">
      <c r="B123">
        <v>503996</v>
      </c>
    </row>
    <row r="124" spans="2:2" x14ac:dyDescent="0.35">
      <c r="B124">
        <v>503997</v>
      </c>
    </row>
    <row r="125" spans="2:2" x14ac:dyDescent="0.35">
      <c r="B125">
        <v>503999</v>
      </c>
    </row>
    <row r="126" spans="2:2" x14ac:dyDescent="0.35">
      <c r="B126">
        <v>508203</v>
      </c>
    </row>
    <row r="127" spans="2:2" x14ac:dyDescent="0.35">
      <c r="B127">
        <v>509838</v>
      </c>
    </row>
    <row r="128" spans="2:2" x14ac:dyDescent="0.35">
      <c r="B128">
        <v>510955</v>
      </c>
    </row>
    <row r="129" spans="2:2" x14ac:dyDescent="0.35">
      <c r="B129">
        <v>510966</v>
      </c>
    </row>
    <row r="130" spans="2:2" x14ac:dyDescent="0.35">
      <c r="B130">
        <v>510967</v>
      </c>
    </row>
    <row r="131" spans="2:2" x14ac:dyDescent="0.35">
      <c r="B131">
        <v>510968</v>
      </c>
    </row>
    <row r="132" spans="2:2" x14ac:dyDescent="0.35">
      <c r="B132">
        <v>510969</v>
      </c>
    </row>
    <row r="133" spans="2:2" x14ac:dyDescent="0.35">
      <c r="B133">
        <v>510970</v>
      </c>
    </row>
    <row r="134" spans="2:2" x14ac:dyDescent="0.35">
      <c r="B134">
        <v>516619</v>
      </c>
    </row>
    <row r="135" spans="2:2" x14ac:dyDescent="0.35">
      <c r="B135">
        <v>516620</v>
      </c>
    </row>
    <row r="136" spans="2:2" x14ac:dyDescent="0.35">
      <c r="B136">
        <v>519791</v>
      </c>
    </row>
    <row r="137" spans="2:2" x14ac:dyDescent="0.35">
      <c r="B137">
        <v>519865</v>
      </c>
    </row>
    <row r="138" spans="2:2" x14ac:dyDescent="0.35">
      <c r="B138">
        <v>521619</v>
      </c>
    </row>
    <row r="139" spans="2:2" x14ac:dyDescent="0.35">
      <c r="B139">
        <v>526693</v>
      </c>
    </row>
    <row r="140" spans="2:2" x14ac:dyDescent="0.35">
      <c r="B140">
        <v>527399</v>
      </c>
    </row>
    <row r="141" spans="2:2" x14ac:dyDescent="0.35">
      <c r="B141">
        <v>527400</v>
      </c>
    </row>
    <row r="142" spans="2:2" x14ac:dyDescent="0.35">
      <c r="B142">
        <v>527401</v>
      </c>
    </row>
    <row r="143" spans="2:2" x14ac:dyDescent="0.35">
      <c r="B143">
        <v>527402</v>
      </c>
    </row>
    <row r="144" spans="2:2" x14ac:dyDescent="0.35">
      <c r="B144">
        <v>527403</v>
      </c>
    </row>
    <row r="145" spans="2:2" x14ac:dyDescent="0.35">
      <c r="B145">
        <v>527404</v>
      </c>
    </row>
    <row r="146" spans="2:2" x14ac:dyDescent="0.35">
      <c r="B146">
        <v>529439</v>
      </c>
    </row>
    <row r="147" spans="2:2" x14ac:dyDescent="0.35">
      <c r="B147">
        <v>340161</v>
      </c>
    </row>
    <row r="148" spans="2:2" x14ac:dyDescent="0.35">
      <c r="B148">
        <v>341459</v>
      </c>
    </row>
    <row r="149" spans="2:2" x14ac:dyDescent="0.35">
      <c r="B149">
        <v>388552</v>
      </c>
    </row>
    <row r="150" spans="2:2" x14ac:dyDescent="0.35">
      <c r="B150">
        <v>388553</v>
      </c>
    </row>
    <row r="151" spans="2:2" x14ac:dyDescent="0.35">
      <c r="B151">
        <v>388554</v>
      </c>
    </row>
    <row r="152" spans="2:2" x14ac:dyDescent="0.35">
      <c r="B152">
        <v>388555</v>
      </c>
    </row>
    <row r="153" spans="2:2" x14ac:dyDescent="0.35">
      <c r="B153">
        <v>388556</v>
      </c>
    </row>
    <row r="154" spans="2:2" x14ac:dyDescent="0.35">
      <c r="B154">
        <v>388557</v>
      </c>
    </row>
    <row r="155" spans="2:2" x14ac:dyDescent="0.35">
      <c r="B155">
        <v>388558</v>
      </c>
    </row>
    <row r="156" spans="2:2" x14ac:dyDescent="0.35">
      <c r="B156">
        <v>388559</v>
      </c>
    </row>
    <row r="157" spans="2:2" x14ac:dyDescent="0.35">
      <c r="B157">
        <v>388560</v>
      </c>
    </row>
    <row r="158" spans="2:2" x14ac:dyDescent="0.35">
      <c r="B158">
        <v>388561</v>
      </c>
    </row>
    <row r="159" spans="2:2" x14ac:dyDescent="0.35">
      <c r="B159">
        <v>388562</v>
      </c>
    </row>
    <row r="160" spans="2:2" x14ac:dyDescent="0.35">
      <c r="B160">
        <v>444258</v>
      </c>
    </row>
    <row r="161" spans="2:2" x14ac:dyDescent="0.35">
      <c r="B161">
        <v>505191</v>
      </c>
    </row>
    <row r="162" spans="2:2" x14ac:dyDescent="0.35">
      <c r="B162">
        <v>505195</v>
      </c>
    </row>
    <row r="163" spans="2:2" x14ac:dyDescent="0.35">
      <c r="B163">
        <v>329405</v>
      </c>
    </row>
    <row r="164" spans="2:2" x14ac:dyDescent="0.35">
      <c r="B164">
        <v>338150</v>
      </c>
    </row>
    <row r="165" spans="2:2" x14ac:dyDescent="0.35">
      <c r="B165">
        <v>475172</v>
      </c>
    </row>
    <row r="166" spans="2:2" x14ac:dyDescent="0.35">
      <c r="B166">
        <v>518936</v>
      </c>
    </row>
    <row r="167" spans="2:2" x14ac:dyDescent="0.35">
      <c r="B167">
        <v>522248</v>
      </c>
    </row>
    <row r="168" spans="2:2" x14ac:dyDescent="0.35">
      <c r="B168">
        <v>526548</v>
      </c>
    </row>
    <row r="169" spans="2:2" x14ac:dyDescent="0.35">
      <c r="B169">
        <v>526549</v>
      </c>
    </row>
    <row r="170" spans="2:2" x14ac:dyDescent="0.35">
      <c r="B170">
        <v>526550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B2CE-B194-486C-9616-F55B84349924}">
  <sheetPr codeName="Sheet4"/>
  <dimension ref="B3:F17"/>
  <sheetViews>
    <sheetView workbookViewId="0"/>
  </sheetViews>
  <sheetFormatPr defaultRowHeight="14.5" x14ac:dyDescent="0.35"/>
  <cols>
    <col min="2" max="2" width="10.08984375" bestFit="1" customWidth="1"/>
    <col min="3" max="3" width="11.54296875" customWidth="1"/>
    <col min="4" max="4" width="11" customWidth="1"/>
    <col min="5" max="5" width="72.54296875" bestFit="1" customWidth="1"/>
    <col min="6" max="6" width="6.08984375" bestFit="1" customWidth="1"/>
  </cols>
  <sheetData>
    <row r="3" spans="2:6" x14ac:dyDescent="0.35">
      <c r="B3" s="466" t="s">
        <v>83</v>
      </c>
      <c r="C3" s="466"/>
      <c r="D3" s="466"/>
      <c r="E3" s="466"/>
      <c r="F3" s="466"/>
    </row>
    <row r="5" spans="2:6" x14ac:dyDescent="0.35">
      <c r="B5" s="12" t="s">
        <v>1</v>
      </c>
      <c r="C5" s="12" t="s">
        <v>84</v>
      </c>
      <c r="D5" s="12" t="s">
        <v>77</v>
      </c>
      <c r="E5" s="12" t="s">
        <v>81</v>
      </c>
      <c r="F5" s="12" t="s">
        <v>37</v>
      </c>
    </row>
    <row r="6" spans="2:6" x14ac:dyDescent="0.35">
      <c r="B6" s="14" t="s">
        <v>17</v>
      </c>
      <c r="C6" s="35">
        <f>_xlfn.MAXIFS('Input Data'!$AA$20:$AA$201,'Input Data'!$E$20:$E$201,'Largest Risks'!B6,'Input Data'!$Q$20:$Q$201,1)</f>
        <v>25242749.444031801</v>
      </c>
      <c r="D6" s="14">
        <f>INDEX('Input Data'!$B$20:$B$200,MATCH('Largest Risks'!$C6,'Input Data'!$AA$20:$AA$201,0))</f>
        <v>344664</v>
      </c>
      <c r="E6" s="14" t="str">
        <f>INDEX('Input Data'!$U$20:$U$201,MATCH('Largest Risks'!$C6,'Input Data'!$AA$20:$AA$201,0))</f>
        <v>Arabsat</v>
      </c>
      <c r="F6" s="14" t="str">
        <f>INDEX('Input Data'!$V$20:$V$201,MATCH('Largest Risks'!$C6,'Input Data'!$AA$20:$AA$201,0))</f>
        <v>FUL</v>
      </c>
    </row>
    <row r="7" spans="2:6" x14ac:dyDescent="0.35">
      <c r="B7" s="14" t="s">
        <v>14</v>
      </c>
      <c r="C7" s="35">
        <f>_xlfn.MAXIFS('Input Data'!$AA$20:$AA$201,'Input Data'!$E$20:$E$201,'Largest Risks'!B7)</f>
        <v>0</v>
      </c>
      <c r="D7" s="14">
        <f>INDEX('Input Data'!$B$20:$B$200,MATCH('Largest Risks'!$C7,'Input Data'!$AA$20:$AA$201,0))</f>
        <v>351333</v>
      </c>
      <c r="E7" s="14" t="str">
        <f>INDEX('Input Data'!$U$20:$U$201,MATCH('Largest Risks'!$C7,'Input Data'!$AA$20:$AA$201,0))</f>
        <v>NORTHROP GRUMMAN CORPORATION  -  TRK &amp; TL  -  OPAR</v>
      </c>
      <c r="F7" s="14" t="str">
        <f>INDEX('Input Data'!$V$20:$V$201,MATCH('Largest Risks'!$C7,'Input Data'!$AA$20:$AA$201,0))</f>
        <v>FUL</v>
      </c>
    </row>
    <row r="8" spans="2:6" x14ac:dyDescent="0.35">
      <c r="B8" s="14" t="s">
        <v>12</v>
      </c>
      <c r="C8" s="35">
        <f>_xlfn.MAXIFS('Input Data'!$AA$20:$AA$201,'Input Data'!$E$20:$E$201,'Largest Risks'!B8)</f>
        <v>0</v>
      </c>
      <c r="D8" s="14">
        <f>INDEX('Input Data'!$B$20:$B$200,MATCH('Largest Risks'!$C8,'Input Data'!$AA$20:$AA$201,0))</f>
        <v>351333</v>
      </c>
      <c r="E8" s="14" t="str">
        <f>INDEX('Input Data'!$U$20:$U$201,MATCH('Largest Risks'!$C8,'Input Data'!$AA$20:$AA$201,0))</f>
        <v>NORTHROP GRUMMAN CORPORATION  -  TRK &amp; TL  -  OPAR</v>
      </c>
      <c r="F8" s="14" t="str">
        <f>INDEX('Input Data'!$V$20:$V$201,MATCH('Largest Risks'!$C8,'Input Data'!$AA$20:$AA$201,0))</f>
        <v>FUL</v>
      </c>
    </row>
    <row r="10" spans="2:6" x14ac:dyDescent="0.35">
      <c r="B10" s="466" t="s">
        <v>171</v>
      </c>
      <c r="C10" s="466"/>
      <c r="D10" s="466"/>
      <c r="E10" s="466"/>
      <c r="F10" s="466"/>
    </row>
    <row r="11" spans="2:6" x14ac:dyDescent="0.35">
      <c r="B11" s="12" t="s">
        <v>90</v>
      </c>
      <c r="C11" s="120" t="s">
        <v>84</v>
      </c>
      <c r="D11" s="12" t="s">
        <v>77</v>
      </c>
      <c r="E11" s="12" t="s">
        <v>81</v>
      </c>
      <c r="F11" s="12" t="s">
        <v>37</v>
      </c>
    </row>
    <row r="12" spans="2:6" x14ac:dyDescent="0.35">
      <c r="B12" s="35">
        <f>INDEX('Input Data'!$AA:$CL,MATCH('Largest Risks'!D12,'Input Data'!$B:$B,0),33)</f>
        <v>0.4</v>
      </c>
      <c r="C12" s="121">
        <f>_xlfn.MAXIFS('Input Data'!$AA$20:$AA$201,'Input Data'!$V$20:$V$201, "FUL",'Input Data'!$Q$20:$Q$201,1)</f>
        <v>27222223</v>
      </c>
      <c r="D12" s="14">
        <f>INDEX('Input Data'!$B$20:$B$200,MATCH('Largest Risks'!$C12,'Input Data'!$AA$20:$AA$201,0))</f>
        <v>271177</v>
      </c>
      <c r="E12" s="7" t="str">
        <f>INDEX('Input Data'!$U$20:$U$201,MATCH('Largest Risks'!$C12,'Input Data'!$AA$20:$AA$201,0))</f>
        <v xml:space="preserve">PT Pasifik Satelit Nusantara Lima -   NUSANTARA LIMA - N5 </v>
      </c>
      <c r="F12" s="14" t="str">
        <f>INDEX('Input Data'!$V$20:$V$201,MATCH('Largest Risks'!$C12,'Input Data'!$AA$20:$AA$201,0))</f>
        <v>FUL</v>
      </c>
    </row>
    <row r="15" spans="2:6" x14ac:dyDescent="0.35">
      <c r="B15" s="466" t="s">
        <v>181</v>
      </c>
      <c r="C15" s="466"/>
      <c r="D15" s="466"/>
      <c r="E15" s="466"/>
      <c r="F15" s="466"/>
    </row>
    <row r="16" spans="2:6" x14ac:dyDescent="0.35">
      <c r="B16" s="12" t="s">
        <v>90</v>
      </c>
      <c r="C16" s="120" t="s">
        <v>92</v>
      </c>
      <c r="D16" s="12" t="s">
        <v>77</v>
      </c>
      <c r="E16" s="12" t="s">
        <v>81</v>
      </c>
      <c r="F16" s="12" t="s">
        <v>37</v>
      </c>
    </row>
    <row r="17" spans="2:6" x14ac:dyDescent="0.35">
      <c r="B17" s="35">
        <f>INDEX('Input Data'!$AA:$CL,MATCH('Largest Risks'!C17,'Input Data'!$BL:$BL,0),33)</f>
        <v>0.4</v>
      </c>
      <c r="C17" s="121">
        <f>_xlfn.MAXIFS('Input Data'!$BL$20:$BL$201,'Input Data'!$V$20:$V$201, "FUL",'Input Data'!$Q$20:$Q$201,1)</f>
        <v>13066667.039999999</v>
      </c>
      <c r="D17" s="14">
        <f>INDEX('Input Data'!$B$20:$B$200,MATCH('Largest Risks'!$C17,'Input Data'!$BL$20:$BL$201,0))</f>
        <v>271177</v>
      </c>
      <c r="E17" s="7" t="str">
        <f>INDEX('Input Data'!$U$20:$U$201,MATCH('Largest Risks'!$C17,'Input Data'!$BL$20:$BL$201,0))</f>
        <v xml:space="preserve">PT Pasifik Satelit Nusantara Lima -   NUSANTARA LIMA - N5 </v>
      </c>
      <c r="F17" s="14" t="str">
        <f>INDEX('Input Data'!$V$20:$V$201,MATCH('Largest Risks'!$C17,'Input Data'!$BL$20:$BL$201,0))</f>
        <v>FUL</v>
      </c>
    </row>
  </sheetData>
  <mergeCells count="3">
    <mergeCell ref="B3:F3"/>
    <mergeCell ref="B10:F10"/>
    <mergeCell ref="B15:F15"/>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23B5-00B5-4102-8090-E9362E5DDDED}">
  <sheetPr codeName="Sheet11"/>
  <dimension ref="B2:K21"/>
  <sheetViews>
    <sheetView workbookViewId="0"/>
  </sheetViews>
  <sheetFormatPr defaultRowHeight="14.5" x14ac:dyDescent="0.35"/>
  <cols>
    <col min="2" max="3" width="20.90625" customWidth="1"/>
    <col min="4" max="4" width="13.90625" customWidth="1"/>
    <col min="5" max="5" width="11" bestFit="1" customWidth="1"/>
    <col min="6" max="6" width="10.6328125" bestFit="1" customWidth="1"/>
  </cols>
  <sheetData>
    <row r="2" spans="2:11" ht="21" x14ac:dyDescent="0.5">
      <c r="B2" s="53" t="s">
        <v>102</v>
      </c>
      <c r="C2" s="53"/>
    </row>
    <row r="3" spans="2:11" ht="21" hidden="1" x14ac:dyDescent="0.5">
      <c r="B3" s="53"/>
      <c r="C3" s="53"/>
    </row>
    <row r="4" spans="2:11" ht="21" hidden="1" x14ac:dyDescent="0.5">
      <c r="B4" s="53" t="s">
        <v>59</v>
      </c>
    </row>
    <row r="5" spans="2:11" hidden="1" x14ac:dyDescent="0.35">
      <c r="B5" s="39" t="s">
        <v>112</v>
      </c>
      <c r="C5" s="44" t="s">
        <v>37</v>
      </c>
      <c r="D5" s="45" t="s">
        <v>95</v>
      </c>
      <c r="E5" s="44">
        <v>2019</v>
      </c>
      <c r="F5" s="44">
        <v>2020</v>
      </c>
      <c r="G5" s="44">
        <v>2021</v>
      </c>
      <c r="H5" s="45">
        <v>2022</v>
      </c>
      <c r="I5" s="168">
        <v>2023</v>
      </c>
      <c r="J5" s="168">
        <v>2024</v>
      </c>
      <c r="K5" s="168">
        <v>2025</v>
      </c>
    </row>
    <row r="6" spans="2:11" hidden="1" x14ac:dyDescent="0.35">
      <c r="B6" s="41" t="s">
        <v>96</v>
      </c>
      <c r="C6" s="6" t="s">
        <v>29</v>
      </c>
      <c r="D6" s="6" t="s">
        <v>80</v>
      </c>
      <c r="E6" s="170">
        <v>0.5</v>
      </c>
      <c r="F6" s="171">
        <v>0.5</v>
      </c>
      <c r="G6" s="171">
        <v>0.5</v>
      </c>
      <c r="H6" s="171">
        <v>0.4</v>
      </c>
      <c r="I6" s="172">
        <v>0.5</v>
      </c>
      <c r="J6" s="172">
        <v>0.5</v>
      </c>
      <c r="K6" s="172">
        <v>0.5</v>
      </c>
    </row>
    <row r="7" spans="2:11" hidden="1" x14ac:dyDescent="0.35">
      <c r="B7" s="41" t="s">
        <v>98</v>
      </c>
      <c r="C7" s="6" t="s">
        <v>29</v>
      </c>
      <c r="D7" s="6" t="s">
        <v>79</v>
      </c>
      <c r="E7" s="173">
        <v>0.5</v>
      </c>
      <c r="F7" s="55">
        <v>0.5</v>
      </c>
      <c r="G7" s="55">
        <v>0.5</v>
      </c>
      <c r="H7" s="55">
        <v>0.4</v>
      </c>
      <c r="I7" s="174">
        <v>0.5</v>
      </c>
      <c r="J7" s="174">
        <v>0.5</v>
      </c>
      <c r="K7" s="174">
        <v>0.5</v>
      </c>
    </row>
    <row r="8" spans="2:11" hidden="1" x14ac:dyDescent="0.35">
      <c r="B8" s="41" t="s">
        <v>99</v>
      </c>
      <c r="C8" s="6" t="s">
        <v>29</v>
      </c>
      <c r="D8" s="6" t="s">
        <v>78</v>
      </c>
      <c r="E8" s="173">
        <v>0.5</v>
      </c>
      <c r="F8" s="55">
        <v>0.5</v>
      </c>
      <c r="G8" s="55">
        <v>0.5</v>
      </c>
      <c r="H8" s="169">
        <v>0.4</v>
      </c>
      <c r="I8" s="174">
        <v>0.5</v>
      </c>
      <c r="J8" s="174">
        <v>0.5</v>
      </c>
      <c r="K8" s="174">
        <v>0.5</v>
      </c>
    </row>
    <row r="9" spans="2:11" hidden="1" x14ac:dyDescent="0.35">
      <c r="B9" s="42" t="s">
        <v>100</v>
      </c>
      <c r="C9" s="57" t="s">
        <v>29</v>
      </c>
      <c r="D9" s="57" t="s">
        <v>97</v>
      </c>
      <c r="E9" s="175">
        <v>0.5</v>
      </c>
      <c r="F9" s="56">
        <v>0.5</v>
      </c>
      <c r="G9" s="56">
        <v>0.5</v>
      </c>
      <c r="H9" s="56">
        <v>0.4</v>
      </c>
      <c r="I9" s="176">
        <v>0.5</v>
      </c>
      <c r="J9" s="176">
        <v>0.5</v>
      </c>
      <c r="K9" s="176">
        <v>0.5</v>
      </c>
    </row>
    <row r="10" spans="2:11" hidden="1" x14ac:dyDescent="0.35">
      <c r="B10" s="41" t="s">
        <v>96</v>
      </c>
      <c r="C10" s="6" t="s">
        <v>31</v>
      </c>
      <c r="D10" s="6" t="s">
        <v>80</v>
      </c>
      <c r="E10" s="173">
        <v>0.85</v>
      </c>
      <c r="F10" s="55">
        <v>0.85</v>
      </c>
      <c r="G10" s="55">
        <v>0.85</v>
      </c>
      <c r="H10" s="55">
        <v>0.85</v>
      </c>
      <c r="I10" s="174">
        <v>0.85</v>
      </c>
      <c r="J10" s="174">
        <v>0.85</v>
      </c>
      <c r="K10" s="174">
        <v>0.85</v>
      </c>
    </row>
    <row r="11" spans="2:11" hidden="1" x14ac:dyDescent="0.35">
      <c r="B11" s="41" t="s">
        <v>98</v>
      </c>
      <c r="C11" s="6" t="s">
        <v>31</v>
      </c>
      <c r="D11" s="6" t="s">
        <v>79</v>
      </c>
      <c r="E11" s="173">
        <v>0.85</v>
      </c>
      <c r="F11" s="55">
        <v>0.85</v>
      </c>
      <c r="G11" s="55">
        <v>0.85</v>
      </c>
      <c r="H11" s="55">
        <v>0.85</v>
      </c>
      <c r="I11" s="174">
        <v>0.85</v>
      </c>
      <c r="J11" s="174">
        <v>0.85</v>
      </c>
      <c r="K11" s="174">
        <v>0.85</v>
      </c>
    </row>
    <row r="12" spans="2:11" hidden="1" x14ac:dyDescent="0.35">
      <c r="B12" s="41" t="s">
        <v>99</v>
      </c>
      <c r="C12" s="6" t="s">
        <v>31</v>
      </c>
      <c r="D12" s="6" t="s">
        <v>78</v>
      </c>
      <c r="E12" s="173">
        <v>0.85</v>
      </c>
      <c r="F12" s="55">
        <v>0.85</v>
      </c>
      <c r="G12" s="55">
        <v>0.85</v>
      </c>
      <c r="H12" s="55">
        <v>0.85</v>
      </c>
      <c r="I12" s="174">
        <v>0.85</v>
      </c>
      <c r="J12" s="174">
        <v>0.85</v>
      </c>
      <c r="K12" s="174">
        <v>0.85</v>
      </c>
    </row>
    <row r="13" spans="2:11" hidden="1" x14ac:dyDescent="0.35">
      <c r="B13" s="42" t="s">
        <v>100</v>
      </c>
      <c r="C13" s="57" t="s">
        <v>31</v>
      </c>
      <c r="D13" s="57" t="s">
        <v>97</v>
      </c>
      <c r="E13" s="175">
        <v>0.85</v>
      </c>
      <c r="F13" s="56">
        <v>0.85</v>
      </c>
      <c r="G13" s="56">
        <v>0.85</v>
      </c>
      <c r="H13" s="56">
        <v>0.85</v>
      </c>
      <c r="I13" s="176">
        <v>0.85</v>
      </c>
      <c r="J13" s="176">
        <v>0.85</v>
      </c>
      <c r="K13" s="176">
        <v>0.85</v>
      </c>
    </row>
    <row r="16" spans="2:11" ht="21" x14ac:dyDescent="0.5">
      <c r="B16" s="53" t="s">
        <v>200</v>
      </c>
    </row>
    <row r="17" spans="2:8" x14ac:dyDescent="0.35">
      <c r="B17" s="39" t="s">
        <v>37</v>
      </c>
      <c r="C17" s="44" t="s">
        <v>201</v>
      </c>
      <c r="D17" s="45" t="s">
        <v>202</v>
      </c>
      <c r="E17" s="168" t="s">
        <v>3</v>
      </c>
      <c r="F17" s="168" t="s">
        <v>4</v>
      </c>
    </row>
    <row r="18" spans="2:8" x14ac:dyDescent="0.35">
      <c r="B18" s="199" t="s">
        <v>31</v>
      </c>
      <c r="C18" s="200">
        <v>72500000</v>
      </c>
      <c r="D18" s="200">
        <v>7500000</v>
      </c>
      <c r="E18" s="201">
        <v>45292</v>
      </c>
      <c r="F18" s="178">
        <v>45657</v>
      </c>
      <c r="H18" s="177"/>
    </row>
    <row r="19" spans="2:8" x14ac:dyDescent="0.35">
      <c r="B19" s="42" t="s">
        <v>29</v>
      </c>
      <c r="C19" s="43">
        <v>245000000</v>
      </c>
      <c r="D19" s="43">
        <v>50000000</v>
      </c>
      <c r="E19" s="202">
        <v>45292</v>
      </c>
      <c r="F19" s="179">
        <v>45657</v>
      </c>
      <c r="H19" s="177"/>
    </row>
    <row r="20" spans="2:8" x14ac:dyDescent="0.35">
      <c r="B20" s="199" t="s">
        <v>31</v>
      </c>
      <c r="C20" s="200">
        <v>72500000</v>
      </c>
      <c r="D20" s="200">
        <v>7500000</v>
      </c>
      <c r="E20" s="201">
        <v>45658</v>
      </c>
      <c r="F20" s="178">
        <v>46022</v>
      </c>
    </row>
    <row r="21" spans="2:8" x14ac:dyDescent="0.35">
      <c r="B21" s="42" t="s">
        <v>29</v>
      </c>
      <c r="C21" s="43">
        <v>245000000</v>
      </c>
      <c r="D21" s="43">
        <v>50000000</v>
      </c>
      <c r="E21" s="202">
        <v>45658</v>
      </c>
      <c r="F21" s="179">
        <v>46022</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7AB1-E3D1-48BB-92D6-BC9DBC39E771}">
  <sheetPr codeName="Sheet3">
    <tabColor rgb="FFFF33CC"/>
  </sheetPr>
  <dimension ref="A1:AO1037"/>
  <sheetViews>
    <sheetView topLeftCell="V1" zoomScale="103" zoomScaleNormal="85" workbookViewId="0">
      <selection activeCell="Z9" sqref="Z9"/>
    </sheetView>
  </sheetViews>
  <sheetFormatPr defaultRowHeight="14.5" x14ac:dyDescent="0.35"/>
  <cols>
    <col min="2" max="2" width="10.36328125" bestFit="1" customWidth="1"/>
    <col min="4" max="4" width="28.54296875" customWidth="1"/>
    <col min="5" max="5" width="8.36328125" bestFit="1" customWidth="1"/>
    <col min="6" max="6" width="16.08984375" bestFit="1" customWidth="1"/>
    <col min="7" max="7" width="36.6328125" customWidth="1"/>
    <col min="8" max="8" width="15.6328125" bestFit="1" customWidth="1"/>
    <col min="9" max="9" width="17" customWidth="1"/>
    <col min="10" max="10" width="13.36328125" customWidth="1"/>
    <col min="11" max="11" width="11.6328125" bestFit="1" customWidth="1"/>
    <col min="12" max="12" width="11.6328125" customWidth="1"/>
    <col min="13" max="15" width="17" customWidth="1"/>
    <col min="16" max="16" width="23.36328125" customWidth="1"/>
    <col min="17" max="17" width="14.6328125" customWidth="1"/>
    <col min="18" max="18" width="14.90625" customWidth="1"/>
    <col min="19" max="19" width="36.6328125" bestFit="1" customWidth="1"/>
    <col min="20" max="21" width="36.6328125" customWidth="1"/>
    <col min="22" max="22" width="15.36328125" bestFit="1" customWidth="1"/>
    <col min="23" max="23" width="19.90625" customWidth="1"/>
    <col min="24" max="24" width="33.08984375" customWidth="1"/>
    <col min="25" max="25" width="18.453125" customWidth="1"/>
    <col min="26" max="26" width="15.36328125" bestFit="1" customWidth="1"/>
    <col min="27" max="27" width="38.453125" bestFit="1" customWidth="1"/>
    <col min="28" max="28" width="11.08984375" bestFit="1" customWidth="1"/>
    <col min="29" max="29" width="28.6328125" customWidth="1"/>
    <col min="30" max="30" width="18.36328125" bestFit="1" customWidth="1"/>
    <col min="31" max="31" width="18" customWidth="1"/>
    <col min="32" max="32" width="29.453125" style="6" customWidth="1"/>
    <col min="33" max="33" width="16.36328125" customWidth="1"/>
    <col min="34" max="34" width="20.08984375" customWidth="1"/>
    <col min="35" max="37" width="19.08984375" customWidth="1"/>
    <col min="38" max="38" width="14.54296875" bestFit="1" customWidth="1"/>
    <col min="39" max="39" width="14.6328125" bestFit="1" customWidth="1"/>
    <col min="40" max="40" width="22.453125" bestFit="1" customWidth="1"/>
    <col min="41" max="41" width="11.36328125" customWidth="1"/>
  </cols>
  <sheetData>
    <row r="1" spans="1:41" x14ac:dyDescent="0.35">
      <c r="J1" s="341"/>
      <c r="K1" s="341"/>
      <c r="L1" s="341"/>
      <c r="Z1" s="348">
        <f>AA1*0.5</f>
        <v>-610801735.82873368</v>
      </c>
      <c r="AA1" s="204">
        <f>-AC12-AC7</f>
        <v>-1221603471.6574674</v>
      </c>
      <c r="AC1" s="339" t="b">
        <f>AC7=[6]Changes!X12</f>
        <v>1</v>
      </c>
      <c r="AD1" s="339" t="b">
        <f>AD7=[6]Changes!Y12</f>
        <v>1</v>
      </c>
      <c r="AE1" s="339" t="b">
        <f>AE7=[6]Changes!Z12</f>
        <v>1</v>
      </c>
      <c r="AF1" s="339" t="b">
        <f>AF7=[6]Changes!AA12</f>
        <v>1</v>
      </c>
      <c r="AI1" s="281" t="b">
        <f>AI7=[6]Changes!AD12</f>
        <v>0</v>
      </c>
      <c r="AJ1" s="339" t="b">
        <f>AJ7=[6]Changes!AE12</f>
        <v>1</v>
      </c>
      <c r="AK1" s="281" t="b">
        <f>AK7=[6]Changes!AF12</f>
        <v>0</v>
      </c>
    </row>
    <row r="2" spans="1:41" x14ac:dyDescent="0.35">
      <c r="H2" s="227">
        <f>I2/I3</f>
        <v>-3.8148705739129707E-2</v>
      </c>
      <c r="I2" s="204">
        <f>H3-I3</f>
        <v>-37842837.817842364</v>
      </c>
      <c r="J2" s="341"/>
      <c r="K2" s="341"/>
      <c r="L2" s="341"/>
      <c r="P2" s="291" t="s">
        <v>595</v>
      </c>
      <c r="Z2" s="348">
        <f>AA2*0.85</f>
        <v>-615840411.3298353</v>
      </c>
      <c r="AA2" s="204">
        <f>-AC13-AC8</f>
        <v>-724518130.97627687</v>
      </c>
      <c r="AC2" s="339" t="b">
        <f>AC8=[6]Changes!X13</f>
        <v>1</v>
      </c>
      <c r="AD2" s="339" t="b">
        <f>AD8=[6]Changes!Y13</f>
        <v>1</v>
      </c>
      <c r="AE2" s="339" t="b">
        <f>AE8=[6]Changes!Z13</f>
        <v>1</v>
      </c>
      <c r="AF2" s="339" t="b">
        <f>AF8=[6]Changes!AA13</f>
        <v>1</v>
      </c>
      <c r="AI2" s="339" t="b">
        <f>AI8=[6]Changes!AD13</f>
        <v>1</v>
      </c>
      <c r="AJ2" s="339" t="b">
        <f>AJ8=[6]Changes!AE13</f>
        <v>1</v>
      </c>
      <c r="AK2" s="339" t="b">
        <f>AK8=[6]Changes!AF13</f>
        <v>1</v>
      </c>
    </row>
    <row r="3" spans="1:41" x14ac:dyDescent="0.35">
      <c r="H3" s="204">
        <f>SUMIFS(H7:H190,F7:F190,"GEO-GSO")</f>
        <v>954139382.40795124</v>
      </c>
      <c r="I3" s="204">
        <f>SUMIFS(I7:I190,F7:F190,"GEO-GSO")</f>
        <v>991982220.2257936</v>
      </c>
      <c r="J3" s="342"/>
      <c r="K3" s="342"/>
      <c r="L3" s="342"/>
      <c r="Q3" s="348"/>
      <c r="R3" s="348"/>
      <c r="AC3" s="339" t="b">
        <f>AC9=[6]Changes!X14</f>
        <v>1</v>
      </c>
      <c r="AD3" s="339" t="b">
        <f>AD9=[6]Changes!Y14</f>
        <v>1</v>
      </c>
      <c r="AE3" s="339" t="b">
        <f>AE9=[6]Changes!Z14</f>
        <v>1</v>
      </c>
      <c r="AF3" s="339" t="b">
        <f>AF9=[6]Changes!AA14</f>
        <v>1</v>
      </c>
      <c r="AI3" s="281" t="b">
        <f>AI9=[6]Changes!AD14</f>
        <v>0</v>
      </c>
      <c r="AJ3" s="339" t="b">
        <f>AJ9=[6]Changes!AE14</f>
        <v>1</v>
      </c>
      <c r="AK3" s="281" t="b">
        <f>AK9=[6]Changes!AF14</f>
        <v>0</v>
      </c>
    </row>
    <row r="4" spans="1:41" x14ac:dyDescent="0.35">
      <c r="H4" s="226"/>
      <c r="I4" s="226"/>
      <c r="J4" s="343"/>
      <c r="K4" s="343"/>
      <c r="L4" s="343"/>
      <c r="M4" s="226">
        <f>'Input Data'!$AC$15</f>
        <v>46113</v>
      </c>
      <c r="N4" s="218"/>
      <c r="O4" s="226">
        <f>EDATE(M4,-3)</f>
        <v>46023</v>
      </c>
      <c r="P4" s="348">
        <f>SUMIFS(P7:P193,F7:F193,"GEO-GSO",E7:E193,"FIID")</f>
        <v>-7954735.7454906097</v>
      </c>
      <c r="Q4" s="348">
        <f>P4*0.05</f>
        <v>-397736.78727453051</v>
      </c>
      <c r="R4" s="348"/>
      <c r="S4" s="204">
        <f>SUMIFS(H:H,S:S,TRUE,E:E,"FUL")</f>
        <v>174347525.50163355</v>
      </c>
      <c r="T4" s="204">
        <f>Q4*0.8</f>
        <v>-318189.42981962441</v>
      </c>
      <c r="U4" s="204"/>
      <c r="AI4" s="204"/>
    </row>
    <row r="5" spans="1:41" x14ac:dyDescent="0.35">
      <c r="A5" cm="1">
        <f t="array" aca="1" ref="A5" ca="1">SUM(OFFSET(A7,0,0,A6)-1)/2</f>
        <v>0</v>
      </c>
      <c r="H5" s="6" t="str">
        <f>M5</f>
        <v>2026Q1</v>
      </c>
      <c r="I5" s="6" t="str">
        <f>O5</f>
        <v>2025Q4</v>
      </c>
      <c r="J5" s="344"/>
      <c r="K5" s="344"/>
      <c r="L5" s="344"/>
      <c r="M5" s="6" t="str">
        <f>IF((MONTH(M4)-1)/3 = 0, YEAR(M4)-1 &amp;"Q4",YEAR(M4)&amp;"Q"&amp;(MONTH(M4)-1)/3)</f>
        <v>2026Q1</v>
      </c>
      <c r="N5" s="6"/>
      <c r="O5" s="6" t="str">
        <f>IF((MONTH(O4)-1)/3 = 0, YEAR(O4)-1 &amp;"Q4",YEAR(O4)&amp;"Q"&amp;(MONTH(O4)-1)/3)</f>
        <v>2025Q4</v>
      </c>
      <c r="P5" s="348">
        <f>SUMIFS(P7:P193,F7:F193,"LEO",E7:E193,"FIID")</f>
        <v>-25072283.421085998</v>
      </c>
      <c r="Q5" s="348">
        <f>P5*0.4</f>
        <v>-10028913.368434399</v>
      </c>
      <c r="R5" s="348">
        <f>SUM(Q4:Q5)*0.8*0.495</f>
        <v>-4128953.4616607362</v>
      </c>
      <c r="T5" s="204">
        <f>Q5*0.8</f>
        <v>-8023130.6947475197</v>
      </c>
      <c r="AB5" t="s">
        <v>368</v>
      </c>
      <c r="AH5" t="s">
        <v>369</v>
      </c>
    </row>
    <row r="6" spans="1:41" x14ac:dyDescent="0.35">
      <c r="A6">
        <f>COUNTIF(A7:A999,"&gt;0")</f>
        <v>187</v>
      </c>
      <c r="B6" s="205" t="s">
        <v>19</v>
      </c>
      <c r="C6" s="205" t="s">
        <v>0</v>
      </c>
      <c r="D6" s="205" t="s">
        <v>122</v>
      </c>
      <c r="E6" s="205" t="s">
        <v>37</v>
      </c>
      <c r="F6" s="205" t="s">
        <v>5</v>
      </c>
      <c r="G6" s="205" t="s">
        <v>366</v>
      </c>
      <c r="H6" s="205" t="s">
        <v>367</v>
      </c>
      <c r="I6" s="205" t="s">
        <v>367</v>
      </c>
      <c r="J6" s="345"/>
      <c r="K6" s="345"/>
      <c r="L6" s="345"/>
      <c r="M6" s="205" t="s">
        <v>365</v>
      </c>
      <c r="N6" s="205" t="s">
        <v>85</v>
      </c>
      <c r="O6" s="205" t="s">
        <v>365</v>
      </c>
      <c r="P6" s="205" t="s">
        <v>140</v>
      </c>
      <c r="Q6" s="205" t="s">
        <v>355</v>
      </c>
      <c r="R6" s="205" t="s">
        <v>386</v>
      </c>
      <c r="S6" s="205" t="s">
        <v>431</v>
      </c>
      <c r="T6" s="205"/>
      <c r="U6" s="205"/>
      <c r="X6" s="206" t="s">
        <v>355</v>
      </c>
      <c r="Y6" s="205" t="s">
        <v>367</v>
      </c>
      <c r="Z6" t="s">
        <v>230</v>
      </c>
      <c r="AB6" s="206" t="str">
        <f>$I$5</f>
        <v>2025Q4</v>
      </c>
      <c r="AC6" s="180" t="s">
        <v>113</v>
      </c>
      <c r="AD6" s="180" t="s">
        <v>16</v>
      </c>
      <c r="AE6" s="180" t="s">
        <v>430</v>
      </c>
      <c r="AF6" s="180" t="s">
        <v>388</v>
      </c>
      <c r="AH6" s="206" t="str">
        <f>$I$5</f>
        <v>2025Q4</v>
      </c>
      <c r="AI6" s="180" t="s">
        <v>113</v>
      </c>
      <c r="AJ6" s="180" t="s">
        <v>16</v>
      </c>
      <c r="AK6" s="180" t="s">
        <v>430</v>
      </c>
    </row>
    <row r="7" spans="1:41" x14ac:dyDescent="0.35">
      <c r="A7">
        <f>IF(B7="",0,COUNTIFS($B$7:$B$999,B7,$C$7:$C$999,C7))</f>
        <v>1</v>
      </c>
      <c r="B7" s="310" cm="1">
        <f t="array" ref="B7:F193">_xlfn.UNIQUE(_xlfn.VSTACK(_xlfn.HSTACK('Input Data'!$B$20:$C$188,'Input Data'!$X$20:$X$188,'Input Data'!$V$20:$V$188,'Input Data'!$K$20:$K$188),_xlfn.HSTACK('[2]Input Data'!$B$20:$C$158,'[2]Input Data'!$X$20:$X$158,'[2]Input Data'!$V$20:$V$158,'[2]Input Data'!$J$20:$J$158)))</f>
        <v>344664</v>
      </c>
      <c r="C7" s="311">
        <v>1</v>
      </c>
      <c r="D7" s="311" t="str">
        <v>Arabsat BADR 8</v>
      </c>
      <c r="E7" s="311" t="str">
        <v>FUL</v>
      </c>
      <c r="F7" s="311" t="str">
        <v>GEO-GSO</v>
      </c>
      <c r="G7" s="283" cm="1">
        <f t="array" ref="G7">_xlfn.IFNA(INDEX('Input Data'!$M$20:$M$963,MATCH(Changes!B7&amp;"_"&amp;Changes!C7,'Input Data'!$B$20:$B$963&amp;"_"&amp;'Input Data'!$C$20:$C$963,0)),INDEX('[2]Input Data'!$L$20:$L$158,MATCH(B7&amp;"_"&amp;C7,'[2]Input Data'!$B$20:$B$158&amp;"_"&amp;'[2]Input Data'!$C$20:$C$158,0)))</f>
        <v>46203</v>
      </c>
      <c r="H7" s="312" cm="1">
        <f t="array" ref="H7">_xlfn._xlws.FILTER('Input Data'!$AA$20:$AA$963,('Input Data'!$B$20:$B$963=Changes!B7)*('Input Data'!$C$20:$C$963=Changes!C7),0)</f>
        <v>25242749.444031801</v>
      </c>
      <c r="I7" s="313" cm="1">
        <f t="array" ref="I7">_xlfn._xlws.FILTER('[2]Input Data'!$AA$20:$AA$173,('[2]Input Data'!$B$20:$B$173=Changes!B7)*('[2]Input Data'!$C$20:$C$173=Changes!C7),0)</f>
        <v>25242749.444031801</v>
      </c>
      <c r="J7" s="346" t="str" cm="1">
        <f t="array" ref="J7">_xlfn._xlws.FILTER('Input Data'!$E$20:$E$963,('Input Data'!$B$20:$B$963=Changes!B7)*('Input Data'!$C$20:$C$963=Changes!C7),0)</f>
        <v>Orbit</v>
      </c>
      <c r="K7" s="347" cm="1">
        <f t="array" ref="K7">_xlfn._xlws.FILTER('Input Data'!$L$20:$L$963,('Input Data'!$B$20:$B$963=Changes!B7)*('Input Data'!$C$20:$C$963=Changes!C7),0)</f>
        <v>45839</v>
      </c>
      <c r="L7" s="356" t="str" cm="1">
        <f t="array" ref="L7">_xlfn._xlws.FILTER('[2]Input Data'!$D$20:$D$173,('[2]Input Data'!$B$20:$B$173=Changes!B7)*('[2]Input Data'!$C$20:$C$173=Changes!C7),0)</f>
        <v>Orbit</v>
      </c>
      <c r="M7" s="314">
        <f>IFERROR(INDEX('Input Data'!$P$10:$P$14,MATCH(DATEDIF($M$4,G7,"M"),'Input Data'!$O$10:$O$14,1)),0)</f>
        <v>0.2</v>
      </c>
      <c r="N7" s="227"/>
      <c r="O7" s="227">
        <f>INDEX('Input Data'!$P$10:$P$14,MATCH(DATEDIF($O$4,G7,"M"),'Input Data'!$O$10:$O$14,1))</f>
        <v>0.2</v>
      </c>
      <c r="P7" s="204">
        <f>H7-I7</f>
        <v>0</v>
      </c>
      <c r="R7" cm="1">
        <f t="array" ref="R7">_xlfn.LET(_xlpm.current,INDEX('Input Data'!$M$20:$M$963,MATCH(Changes!B7&amp;"_"&amp;Changes!C7,'Input Data'!$B$20:$B$963&amp;"_"&amp;'Input Data'!$C$20:$C$963,0)),_xlpm.prev,INDEX('[2]Input Data'!$L$20:$L$173,MATCH(B7&amp;"_"&amp;C7,'[2]Input Data'!$B$20:$B$173&amp;"_"&amp;'[2]Input Data'!$C$20:$C$173,0)),
IF(OR(ISNA(_xlpm.current),ISNA(_xlpm.prev)),0,_xlpm.current-_xlpm.prev))</f>
        <v>0</v>
      </c>
      <c r="S7" s="184" t="b">
        <f>O7&gt;M7</f>
        <v>0</v>
      </c>
      <c r="T7" t="str" cm="1">
        <f t="array" ref="T7">IFERROR(_xlfn._xlws.FILTER('Input Data'!$N$20:$N$963,('Input Data'!$B$20:$B$963=Changes!B7)*('Input Data'!$C$20:$C$963=Changes!C7)),_xlfn._xlws.FILTER('[2]Input Data'!$M$20:$M$173,('[2]Input Data'!$B$20:$B$173=Changes!B7)*('[2]Input Data'!$C$20:$C$173=Changes!C7)))</f>
        <v>Astrium Satellites SAS (Toulouse) (Part of EADS)</v>
      </c>
      <c r="V7" s="348"/>
      <c r="W7" s="227"/>
      <c r="X7" s="206" t="str">
        <f>$I$5</f>
        <v>2025Q4</v>
      </c>
      <c r="Y7" s="222">
        <f>SUM(I7:I995)</f>
        <v>1120534683.5046034</v>
      </c>
      <c r="Z7" s="339" t="b">
        <f>Y7=[6]Changes!$T$17</f>
        <v>1</v>
      </c>
      <c r="AA7" s="33">
        <f>AC7*0.05</f>
        <v>31287289.343245476</v>
      </c>
      <c r="AB7" s="180" t="s">
        <v>29</v>
      </c>
      <c r="AC7" s="207">
        <f>SUMIFS($I$7:$I$995,$F$7:$F$995,AC$6,$E$7:$E$995,$AB7)</f>
        <v>625745786.86490953</v>
      </c>
      <c r="AD7" s="208">
        <f>SUMIFS($I$7:$I$995,$F$7:$F$995,AD$6,$E$7:$E$995,$AB7)</f>
        <v>74689085.5744178</v>
      </c>
      <c r="AE7" s="209">
        <f>SUM(AC7:AD7)</f>
        <v>700434872.43932736</v>
      </c>
      <c r="AF7" s="241">
        <f>AD7*0.4+AC7*0.05</f>
        <v>61162923.573012598</v>
      </c>
      <c r="AH7" s="180" t="s">
        <v>29</v>
      </c>
      <c r="AI7" s="207" cm="1">
        <f t="array" ref="AI7">SUMPRODUCT(_xlfn._xlws.FILTER($I$7:$I$995,($E$7:$E$995=$AH7)*($F$7:$F$995=AI$6)),_xlfn._xlws.FILTER($O$7:$O$995,($E$7:$E$995=$AH7)*($F$7:$F$995=AI$6)))</f>
        <v>193181149.66871977</v>
      </c>
      <c r="AJ7" s="208" cm="1">
        <f t="array" ref="AJ7">SUMPRODUCT(_xlfn._xlws.FILTER($I$7:$I$995,($E$7:$E$995=$AH7)*($F$7:$F$995=AJ$6)),_xlfn._xlws.FILTER($O$7:$O$995,($E$7:$E$995=$AH7)*($F$7:$F$995=AJ$6)))</f>
        <v>20195219.890385699</v>
      </c>
      <c r="AK7" s="209">
        <f>SUM(AI7:AJ7)</f>
        <v>213376369.55910546</v>
      </c>
      <c r="AL7" s="87"/>
      <c r="AM7" s="227"/>
      <c r="AN7" s="3" t="s">
        <v>429</v>
      </c>
      <c r="AO7" s="299">
        <v>1246496796.7404752</v>
      </c>
    </row>
    <row r="8" spans="1:41" x14ac:dyDescent="0.35">
      <c r="A8">
        <f t="shared" ref="A8:A71" si="0">IF(B8="",0,COUNTIFS($B$7:$B$999,B8,$C$7:$C$999,C8))</f>
        <v>1</v>
      </c>
      <c r="B8" s="315">
        <v>344664</v>
      </c>
      <c r="C8" s="282">
        <v>2</v>
      </c>
      <c r="D8" s="282" t="str">
        <v>Arabsat 5A</v>
      </c>
      <c r="E8" s="282" t="str">
        <v>FUL</v>
      </c>
      <c r="F8" s="282" t="str">
        <v>GEO-GSO</v>
      </c>
      <c r="G8" s="283" cm="1">
        <f t="array" ref="G8">_xlfn.IFNA(INDEX('Input Data'!$M$20:$M$963,MATCH(Changes!B8&amp;"_"&amp;Changes!C8,'Input Data'!$B$20:$B$963&amp;"_"&amp;'Input Data'!$C$20:$C$963,0)),INDEX('[2]Input Data'!$L$20:$L$158,MATCH(B8&amp;"_"&amp;C8,'[2]Input Data'!$B$20:$B$158&amp;"_"&amp;'[2]Input Data'!$C$20:$C$158,0)))</f>
        <v>46203</v>
      </c>
      <c r="H8" s="313" cm="1">
        <f t="array" ref="H8">_xlfn._xlws.FILTER('Input Data'!$AA$20:$AA$963,('Input Data'!$B$20:$B$963=Changes!B8)*('Input Data'!$C$20:$C$963=Changes!C8),0)</f>
        <v>102523.91331881699</v>
      </c>
      <c r="I8" s="313" cm="1">
        <f t="array" ref="I8">_xlfn._xlws.FILTER('[2]Input Data'!$AA$20:$AA$173,('[2]Input Data'!$B$20:$B$173=Changes!B8)*('[2]Input Data'!$C$20:$C$173=Changes!C8),0)</f>
        <v>102523.91331881699</v>
      </c>
      <c r="J8" s="346" t="str" cm="1">
        <f t="array" ref="J8">_xlfn._xlws.FILTER('Input Data'!$E$20:$E$963,('Input Data'!$B$20:$B$963=Changes!B8)*('Input Data'!$C$20:$C$963=Changes!C8),0)</f>
        <v>Orbit</v>
      </c>
      <c r="K8" s="347" cm="1">
        <f t="array" ref="K8">_xlfn._xlws.FILTER('Input Data'!$L$20:$L$963,('Input Data'!$B$20:$B$963=Changes!B8)*('Input Data'!$C$20:$C$963=Changes!C8),0)</f>
        <v>45839</v>
      </c>
      <c r="L8" s="356" t="str" cm="1">
        <f t="array" ref="L8">_xlfn._xlws.FILTER('[2]Input Data'!$D$20:$D$173,('[2]Input Data'!$B$20:$B$173=Changes!B8)*('[2]Input Data'!$C$20:$C$173=Changes!C8),0)</f>
        <v>Orbit</v>
      </c>
      <c r="M8" s="314">
        <f>IFERROR(INDEX('Input Data'!$P$10:$P$14,MATCH(DATEDIF($M$4,G8,"M"),'Input Data'!$O$10:$O$14,1)),0)</f>
        <v>0.2</v>
      </c>
      <c r="N8" s="227"/>
      <c r="O8" s="227">
        <f>INDEX('Input Data'!$P$10:$P$14,MATCH(DATEDIF($O$4,G8,"M"),'Input Data'!$O$10:$O$14,1))</f>
        <v>0.2</v>
      </c>
      <c r="P8" s="204">
        <f t="shared" ref="P8:P70" si="1">H8-I8</f>
        <v>0</v>
      </c>
      <c r="R8" cm="1">
        <f t="array" ref="R8">_xlfn.LET(_xlpm.current,INDEX('Input Data'!$M$20:$M$963,MATCH(Changes!B8&amp;"_"&amp;Changes!C8,'Input Data'!$B$20:$B$963&amp;"_"&amp;'Input Data'!$C$20:$C$963,0)),_xlpm.prev,INDEX('[2]Input Data'!$L$20:$L$173,MATCH(B8&amp;"_"&amp;C8,'[2]Input Data'!$B$20:$B$173&amp;"_"&amp;'[2]Input Data'!$C$20:$C$173,0)),
IF(OR(ISNA(_xlpm.current),ISNA(_xlpm.prev)),0,_xlpm.current-_xlpm.prev))</f>
        <v>0</v>
      </c>
      <c r="S8" s="186" t="b">
        <f t="shared" ref="S8:S71" si="2">O8&gt;M8</f>
        <v>0</v>
      </c>
      <c r="T8" t="str" cm="1">
        <f t="array" ref="T8">IFERROR(_xlfn._xlws.FILTER('Input Data'!$N$20:$N$963,('Input Data'!$B$20:$B$963=Changes!B8)*('Input Data'!$C$20:$C$963=Changes!C8)),_xlfn._xlws.FILTER('[2]Input Data'!$M$20:$M$173,('[2]Input Data'!$B$20:$B$173=Changes!B8)*('[2]Input Data'!$C$20:$C$173=Changes!C8)))</f>
        <v>Astrium Satellites SAS (Toulouse) (Part of EADS)</v>
      </c>
      <c r="V8" s="348"/>
      <c r="W8" s="227"/>
      <c r="X8" s="206" t="s">
        <v>356</v>
      </c>
      <c r="Y8" s="223">
        <f>SUMIF($Q$7:$Q$995,X8,$P$7:$P$995)</f>
        <v>0</v>
      </c>
      <c r="AB8" s="180" t="s">
        <v>31</v>
      </c>
      <c r="AC8" s="210">
        <f>SUMIFS($I$7:$I$995,$F$7:$F$995,AC$6,$E$7:$E$995,$AB8)</f>
        <v>366236433.36088371</v>
      </c>
      <c r="AD8" s="211">
        <f>SUMIFS($I$7:$I$995,$F$7:$F$995,AD$6,$E$7:$E$995,$AB8)</f>
        <v>53863377.704392038</v>
      </c>
      <c r="AE8" s="212">
        <f>SUM(AC8:AD8)</f>
        <v>420099811.06527573</v>
      </c>
      <c r="AF8" s="242">
        <f t="shared" ref="AF8" si="3">AD8*0.4+AC8*0.05</f>
        <v>39857172.749801002</v>
      </c>
      <c r="AH8" s="180" t="s">
        <v>31</v>
      </c>
      <c r="AI8" s="210" cm="1">
        <f t="array" ref="AI8">SUMPRODUCT(_xlfn._xlws.FILTER($I$7:$I$995,($E$7:$E$995=$AH8)*($F$7:$F$995=AI$6)),_xlfn._xlws.FILTER($O$7:$O$995,($E$7:$E$995=$AH8)*($F$7:$F$995=AI$6)))</f>
        <v>87483802.91410847</v>
      </c>
      <c r="AJ8" s="211" cm="1">
        <f t="array" ref="AJ8">SUMPRODUCT(_xlfn._xlws.FILTER($I$7:$I$995,($E$7:$E$995=$AH8)*($F$7:$F$995=AJ$6)),_xlfn._xlws.FILTER($O$7:$O$995,($E$7:$E$995=$AH8)*($F$7:$F$995=AJ$6)))</f>
        <v>12529586.249115696</v>
      </c>
      <c r="AK8" s="212">
        <f t="shared" ref="AK8:AK9" si="4">SUM(AI8:AJ8)</f>
        <v>100013389.16322416</v>
      </c>
      <c r="AM8" s="204"/>
      <c r="AN8" s="3" t="s">
        <v>356</v>
      </c>
      <c r="AO8" s="299">
        <v>45157858.980630204</v>
      </c>
    </row>
    <row r="9" spans="1:41" x14ac:dyDescent="0.35">
      <c r="A9">
        <f t="shared" si="0"/>
        <v>1</v>
      </c>
      <c r="B9" s="315">
        <v>344664</v>
      </c>
      <c r="C9" s="282">
        <v>3</v>
      </c>
      <c r="D9" s="282" t="str">
        <v>Arabsat 5B</v>
      </c>
      <c r="E9" s="282" t="str">
        <v>FUL</v>
      </c>
      <c r="F9" s="282" t="str">
        <v>GEO-GSO</v>
      </c>
      <c r="G9" s="283" cm="1">
        <f t="array" ref="G9">_xlfn.IFNA(INDEX('Input Data'!$M$20:$M$963,MATCH(Changes!B9&amp;"_"&amp;Changes!C9,'Input Data'!$B$20:$B$963&amp;"_"&amp;'Input Data'!$C$20:$C$963,0)),INDEX('[2]Input Data'!$L$20:$L$158,MATCH(B9&amp;"_"&amp;C9,'[2]Input Data'!$B$20:$B$158&amp;"_"&amp;'[2]Input Data'!$C$20:$C$158,0)))</f>
        <v>46203</v>
      </c>
      <c r="H9" s="313" cm="1">
        <f t="array" ref="H9">_xlfn._xlws.FILTER('Input Data'!$AA$20:$AA$963,('Input Data'!$B$20:$B$963=Changes!B9)*('Input Data'!$C$20:$C$963=Changes!C9),0)</f>
        <v>5146207.4986625696</v>
      </c>
      <c r="I9" s="313" cm="1">
        <f t="array" ref="I9">_xlfn._xlws.FILTER('[2]Input Data'!$AA$20:$AA$173,('[2]Input Data'!$B$20:$B$173=Changes!B9)*('[2]Input Data'!$C$20:$C$173=Changes!C9),0)</f>
        <v>5146207.4986625696</v>
      </c>
      <c r="J9" s="346" t="str" cm="1">
        <f t="array" ref="J9">_xlfn._xlws.FILTER('Input Data'!$E$20:$E$963,('Input Data'!$B$20:$B$963=Changes!B9)*('Input Data'!$C$20:$C$963=Changes!C9),0)</f>
        <v>Orbit</v>
      </c>
      <c r="K9" s="347" cm="1">
        <f t="array" ref="K9">_xlfn._xlws.FILTER('Input Data'!$L$20:$L$963,('Input Data'!$B$20:$B$963=Changes!B9)*('Input Data'!$C$20:$C$963=Changes!C9),0)</f>
        <v>45839</v>
      </c>
      <c r="L9" s="356" t="str" cm="1">
        <f t="array" ref="L9">_xlfn._xlws.FILTER('[2]Input Data'!$D$20:$D$173,('[2]Input Data'!$B$20:$B$173=Changes!B9)*('[2]Input Data'!$C$20:$C$173=Changes!C9),0)</f>
        <v>Orbit</v>
      </c>
      <c r="M9" s="314">
        <f>IFERROR(INDEX('Input Data'!$P$10:$P$14,MATCH(DATEDIF($M$4,G9,"M"),'Input Data'!$O$10:$O$14,1)),0)</f>
        <v>0.2</v>
      </c>
      <c r="N9" s="227"/>
      <c r="O9" s="227">
        <f>INDEX('Input Data'!$P$10:$P$14,MATCH(DATEDIF($O$4,G9,"M"),'Input Data'!$O$10:$O$14,1))</f>
        <v>0.2</v>
      </c>
      <c r="P9" s="204">
        <f>H9-I9</f>
        <v>0</v>
      </c>
      <c r="R9" cm="1">
        <f t="array" ref="R9">_xlfn.LET(_xlpm.current,INDEX('Input Data'!$M$20:$M$963,MATCH(Changes!B9&amp;"_"&amp;Changes!C9,'Input Data'!$B$20:$B$963&amp;"_"&amp;'Input Data'!$C$20:$C$963,0)),_xlpm.prev,INDEX('[2]Input Data'!$L$20:$L$173,MATCH(B9&amp;"_"&amp;C9,'[2]Input Data'!$B$20:$B$173&amp;"_"&amp;'[2]Input Data'!$C$20:$C$173,0)),
IF(OR(ISNA(_xlpm.current),ISNA(_xlpm.prev)),0,_xlpm.current-_xlpm.prev))</f>
        <v>0</v>
      </c>
      <c r="S9" s="186" t="b">
        <f t="shared" si="2"/>
        <v>0</v>
      </c>
      <c r="T9" t="str" cm="1">
        <f t="array" ref="T9">IFERROR(_xlfn._xlws.FILTER('Input Data'!$N$20:$N$963,('Input Data'!$B$20:$B$963=Changes!B9)*('Input Data'!$C$20:$C$963=Changes!C9)),_xlfn._xlws.FILTER('[2]Input Data'!$M$20:$M$173,('[2]Input Data'!$B$20:$B$173=Changes!B9)*('[2]Input Data'!$C$20:$C$173=Changes!C9)))</f>
        <v>Astrium Satellites SAS (Toulouse) (Part of EADS)</v>
      </c>
      <c r="V9" s="348"/>
      <c r="W9" s="227"/>
      <c r="X9" s="206" t="s">
        <v>358</v>
      </c>
      <c r="Y9" s="223">
        <f>SUMIF($Q$7:$Q$995,X9,$P$7:$P$995)</f>
        <v>85747674.937190965</v>
      </c>
      <c r="Z9" s="406">
        <f>SUMIFS($P$7:$P$995,$Q$7:$Q$995,X9,$T$7:$T$995,$Z$6)</f>
        <v>18529559.999999899</v>
      </c>
      <c r="AB9" s="180" t="s">
        <v>32</v>
      </c>
      <c r="AC9" s="213">
        <f>SUM(AC7:AC8)</f>
        <v>991982220.22579324</v>
      </c>
      <c r="AD9" s="214">
        <f>SUM(AD7:AD8)</f>
        <v>128552463.27880985</v>
      </c>
      <c r="AE9" s="215">
        <f>SUM(AC9:AD9)</f>
        <v>1120534683.5046031</v>
      </c>
      <c r="AF9" s="240">
        <f>AD9*0.4+AC9*0.05</f>
        <v>101020096.3228136</v>
      </c>
      <c r="AH9" s="180" t="s">
        <v>32</v>
      </c>
      <c r="AI9" s="213">
        <f>SUM(AI7:AI8)</f>
        <v>280664952.58282822</v>
      </c>
      <c r="AJ9" s="214">
        <f>SUM(AJ7:AJ8)</f>
        <v>32724806.139501393</v>
      </c>
      <c r="AK9" s="215">
        <f t="shared" si="4"/>
        <v>313389758.72232962</v>
      </c>
      <c r="AM9" s="204"/>
      <c r="AN9" s="3" t="s">
        <v>358</v>
      </c>
      <c r="AO9" s="299">
        <v>5096138.8188081905</v>
      </c>
    </row>
    <row r="10" spans="1:41" x14ac:dyDescent="0.35">
      <c r="A10">
        <f t="shared" si="0"/>
        <v>1</v>
      </c>
      <c r="B10" s="315">
        <v>344664</v>
      </c>
      <c r="C10" s="282">
        <v>4</v>
      </c>
      <c r="D10" s="282" t="str">
        <v>Arabsat 5C</v>
      </c>
      <c r="E10" s="282" t="str">
        <v>FUL</v>
      </c>
      <c r="F10" s="282" t="str">
        <v>GEO-GSO</v>
      </c>
      <c r="G10" s="283" cm="1">
        <f t="array" ref="G10">_xlfn.IFNA(INDEX('Input Data'!$M$20:$M$963,MATCH(Changes!B10&amp;"_"&amp;Changes!C10,'Input Data'!$B$20:$B$963&amp;"_"&amp;'Input Data'!$C$20:$C$963,0)),INDEX('[2]Input Data'!$L$20:$L$158,MATCH(B10&amp;"_"&amp;C10,'[2]Input Data'!$B$20:$B$158&amp;"_"&amp;'[2]Input Data'!$C$20:$C$158,0)))</f>
        <v>46203</v>
      </c>
      <c r="H10" s="313" cm="1">
        <f t="array" ref="H10">_xlfn._xlws.FILTER('Input Data'!$AA$20:$AA$963,('Input Data'!$B$20:$B$963=Changes!B10)*('Input Data'!$C$20:$C$963=Changes!C10),0)</f>
        <v>819140.00562610605</v>
      </c>
      <c r="I10" s="313" cm="1">
        <f t="array" ref="I10">_xlfn._xlws.FILTER('[2]Input Data'!$AA$20:$AA$173,('[2]Input Data'!$B$20:$B$173=Changes!B10)*('[2]Input Data'!$C$20:$C$173=Changes!C10),0)</f>
        <v>819140.00562610605</v>
      </c>
      <c r="J10" s="346" t="str" cm="1">
        <f t="array" ref="J10">_xlfn._xlws.FILTER('Input Data'!$E$20:$E$963,('Input Data'!$B$20:$B$963=Changes!B10)*('Input Data'!$C$20:$C$963=Changes!C10),0)</f>
        <v>Orbit</v>
      </c>
      <c r="K10" s="347" cm="1">
        <f t="array" ref="K10">_xlfn._xlws.FILTER('Input Data'!$L$20:$L$963,('Input Data'!$B$20:$B$963=Changes!B10)*('Input Data'!$C$20:$C$963=Changes!C10),0)</f>
        <v>45839</v>
      </c>
      <c r="L10" s="356" t="str" cm="1">
        <f t="array" ref="L10">_xlfn._xlws.FILTER('[2]Input Data'!$D$20:$D$173,('[2]Input Data'!$B$20:$B$173=Changes!B10)*('[2]Input Data'!$C$20:$C$173=Changes!C10),0)</f>
        <v>Orbit</v>
      </c>
      <c r="M10" s="314">
        <f>IFERROR(INDEX('Input Data'!$P$10:$P$14,MATCH(DATEDIF($M$4,G10,"M"),'Input Data'!$O$10:$O$14,1)),0)</f>
        <v>0.2</v>
      </c>
      <c r="N10" s="227"/>
      <c r="O10" s="227">
        <f>INDEX('Input Data'!$P$10:$P$14,MATCH(DATEDIF($O$4,G10,"M"),'Input Data'!$O$10:$O$14,1))</f>
        <v>0.2</v>
      </c>
      <c r="P10" s="204">
        <f t="shared" si="1"/>
        <v>0</v>
      </c>
      <c r="R10" cm="1">
        <f t="array" ref="R10">_xlfn.LET(_xlpm.current,INDEX('Input Data'!$M$20:$M$963,MATCH(Changes!B10&amp;"_"&amp;Changes!C10,'Input Data'!$B$20:$B$963&amp;"_"&amp;'Input Data'!$C$20:$C$963,0)),_xlpm.prev,INDEX('[2]Input Data'!$L$20:$L$173,MATCH(B10&amp;"_"&amp;C10,'[2]Input Data'!$B$20:$B$173&amp;"_"&amp;'[2]Input Data'!$C$20:$C$173,0)),
IF(OR(ISNA(_xlpm.current),ISNA(_xlpm.prev)),0,_xlpm.current-_xlpm.prev))</f>
        <v>0</v>
      </c>
      <c r="S10" s="186" t="b">
        <f t="shared" si="2"/>
        <v>0</v>
      </c>
      <c r="T10" t="str" cm="1">
        <f t="array" ref="T10">IFERROR(_xlfn._xlws.FILTER('Input Data'!$N$20:$N$963,('Input Data'!$B$20:$B$963=Changes!B10)*('Input Data'!$C$20:$C$963=Changes!C10)),_xlfn._xlws.FILTER('[2]Input Data'!$M$20:$M$173,('[2]Input Data'!$B$20:$B$173=Changes!B10)*('[2]Input Data'!$C$20:$C$173=Changes!C10)))</f>
        <v>Astrium Satellites SAS (Toulouse) (Part of EADS)</v>
      </c>
      <c r="V10" s="348"/>
      <c r="W10" s="227"/>
      <c r="X10" s="206" t="s">
        <v>359</v>
      </c>
      <c r="Y10" s="223">
        <f>SUMIF($Q$7:$Q$995,X10,$P$7:$P$995)</f>
        <v>-23815187.6026651</v>
      </c>
      <c r="Z10" s="406">
        <f t="shared" ref="Z10:Z14" si="5">SUMIFS($P$7:$P$995,$Q$7:$Q$995,X10,$T$7:$T$995,$Z$6)</f>
        <v>0</v>
      </c>
      <c r="AB10" s="6"/>
      <c r="AC10" s="218">
        <f>AC9/$AE9</f>
        <v>0.88527578380996919</v>
      </c>
      <c r="AD10" s="218">
        <f>AD9/$AE9</f>
        <v>0.11472421619003081</v>
      </c>
      <c r="AE10" s="6"/>
      <c r="AI10" s="218">
        <f>AI9/AK9</f>
        <v>0.89557793377512285</v>
      </c>
      <c r="AJ10" s="218">
        <f>AJ9/AK9</f>
        <v>0.10442206622487721</v>
      </c>
      <c r="AN10" s="3" t="s">
        <v>359</v>
      </c>
      <c r="AO10" s="299">
        <v>-38973018.21242889</v>
      </c>
    </row>
    <row r="11" spans="1:41" x14ac:dyDescent="0.35">
      <c r="A11">
        <f t="shared" si="0"/>
        <v>1</v>
      </c>
      <c r="B11" s="315">
        <v>344664</v>
      </c>
      <c r="C11" s="282">
        <v>5</v>
      </c>
      <c r="D11" s="282" t="str">
        <v>Arabsat BADR 7</v>
      </c>
      <c r="E11" s="282" t="str">
        <v>FUL</v>
      </c>
      <c r="F11" s="282" t="str">
        <v>GEO-GSO</v>
      </c>
      <c r="G11" s="283" cm="1">
        <f t="array" ref="G11">_xlfn.IFNA(INDEX('Input Data'!$M$20:$M$963,MATCH(Changes!B11&amp;"_"&amp;Changes!C11,'Input Data'!$B$20:$B$963&amp;"_"&amp;'Input Data'!$C$20:$C$963,0)),INDEX('[2]Input Data'!$L$20:$L$158,MATCH(B11&amp;"_"&amp;C11,'[2]Input Data'!$B$20:$B$158&amp;"_"&amp;'[2]Input Data'!$C$20:$C$158,0)))</f>
        <v>46203</v>
      </c>
      <c r="H11" s="313" cm="1">
        <f t="array" ref="H11">_xlfn._xlws.FILTER('Input Data'!$AA$20:$AA$963,('Input Data'!$B$20:$B$963=Changes!B11)*('Input Data'!$C$20:$C$963=Changes!C11),0)</f>
        <v>9517167.3330825903</v>
      </c>
      <c r="I11" s="313" cm="1">
        <f t="array" ref="I11">_xlfn._xlws.FILTER('[2]Input Data'!$AA$20:$AA$173,('[2]Input Data'!$B$20:$B$173=Changes!B11)*('[2]Input Data'!$C$20:$C$173=Changes!C11),0)</f>
        <v>9517167.3330825903</v>
      </c>
      <c r="J11" s="346" t="str" cm="1">
        <f t="array" ref="J11">_xlfn._xlws.FILTER('Input Data'!$E$20:$E$963,('Input Data'!$B$20:$B$963=Changes!B11)*('Input Data'!$C$20:$C$963=Changes!C11),0)</f>
        <v>Orbit</v>
      </c>
      <c r="K11" s="347" cm="1">
        <f t="array" ref="K11">_xlfn._xlws.FILTER('Input Data'!$L$20:$L$963,('Input Data'!$B$20:$B$963=Changes!B11)*('Input Data'!$C$20:$C$963=Changes!C11),0)</f>
        <v>45839</v>
      </c>
      <c r="L11" s="356" t="str" cm="1">
        <f t="array" ref="L11">_xlfn._xlws.FILTER('[2]Input Data'!$D$20:$D$173,('[2]Input Data'!$B$20:$B$173=Changes!B11)*('[2]Input Data'!$C$20:$C$173=Changes!C11),0)</f>
        <v>Orbit</v>
      </c>
      <c r="M11" s="314">
        <f>IFERROR(INDEX('Input Data'!$P$10:$P$14,MATCH(DATEDIF($M$4,G11,"M"),'Input Data'!$O$10:$O$14,1)),0)</f>
        <v>0.2</v>
      </c>
      <c r="N11" s="227"/>
      <c r="O11" s="227">
        <f>INDEX('Input Data'!$P$10:$P$14,MATCH(DATEDIF($O$4,G11,"M"),'Input Data'!$O$10:$O$14,1))</f>
        <v>0.2</v>
      </c>
      <c r="P11" s="204">
        <f>H11-I11</f>
        <v>0</v>
      </c>
      <c r="R11" cm="1">
        <f t="array" ref="R11">_xlfn.LET(_xlpm.current,INDEX('Input Data'!$M$20:$M$963,MATCH(Changes!B11&amp;"_"&amp;Changes!C11,'Input Data'!$B$20:$B$963&amp;"_"&amp;'Input Data'!$C$20:$C$963,0)),_xlpm.prev,INDEX('[2]Input Data'!$L$20:$L$173,MATCH(B11&amp;"_"&amp;C11,'[2]Input Data'!$B$20:$B$173&amp;"_"&amp;'[2]Input Data'!$C$20:$C$173,0)),
IF(OR(ISNA(_xlpm.current),ISNA(_xlpm.prev)),0,_xlpm.current-_xlpm.prev))</f>
        <v>0</v>
      </c>
      <c r="S11" s="186" t="b">
        <f t="shared" si="2"/>
        <v>0</v>
      </c>
      <c r="T11" t="str" cm="1">
        <f t="array" ref="T11">IFERROR(_xlfn._xlws.FILTER('Input Data'!$N$20:$N$963,('Input Data'!$B$20:$B$963=Changes!B11)*('Input Data'!$C$20:$C$963=Changes!C11)),_xlfn._xlws.FILTER('[2]Input Data'!$M$20:$M$173,('[2]Input Data'!$B$20:$B$173=Changes!B11)*('[2]Input Data'!$C$20:$C$173=Changes!C11)))</f>
        <v>Airbus Defence and Space (Toulouse)</v>
      </c>
      <c r="V11" s="348"/>
      <c r="W11" s="227"/>
      <c r="X11" s="206" t="s">
        <v>159</v>
      </c>
      <c r="Y11" s="223">
        <f t="shared" ref="Y11:Y16" si="6">SUMIF($Q$7:$Q$995,X11,$P$7:$P$995)</f>
        <v>-75666092.638819888</v>
      </c>
      <c r="Z11" s="406">
        <f>SUMIFS($P$7:$P$995,$Q$7:$Q$995,X11,$T$7:$T$995,$Z$6)</f>
        <v>-23578963.87693391</v>
      </c>
      <c r="AB11" s="206" t="str">
        <f>$H$5</f>
        <v>2026Q1</v>
      </c>
      <c r="AC11" s="180" t="s">
        <v>113</v>
      </c>
      <c r="AD11" s="180" t="s">
        <v>16</v>
      </c>
      <c r="AE11" s="180" t="s">
        <v>430</v>
      </c>
      <c r="AF11" s="180" t="s">
        <v>388</v>
      </c>
      <c r="AH11" s="206" t="str">
        <f>$H$5</f>
        <v>2026Q1</v>
      </c>
      <c r="AI11" s="180" t="s">
        <v>113</v>
      </c>
      <c r="AJ11" s="180" t="s">
        <v>16</v>
      </c>
      <c r="AK11" s="180" t="s">
        <v>430</v>
      </c>
      <c r="AN11" s="3" t="s">
        <v>159</v>
      </c>
      <c r="AO11" s="299">
        <v>-127799726.35666519</v>
      </c>
    </row>
    <row r="12" spans="1:41" x14ac:dyDescent="0.35">
      <c r="A12">
        <f t="shared" si="0"/>
        <v>1</v>
      </c>
      <c r="B12" s="315">
        <v>344664</v>
      </c>
      <c r="C12" s="282">
        <v>6</v>
      </c>
      <c r="D12" s="282" t="str">
        <v>Arabsat 6A</v>
      </c>
      <c r="E12" s="282" t="str">
        <v>FUL</v>
      </c>
      <c r="F12" s="282" t="str">
        <v>GEO-GSO</v>
      </c>
      <c r="G12" s="283" cm="1">
        <f t="array" ref="G12">_xlfn.IFNA(INDEX('Input Data'!$M$20:$M$963,MATCH(Changes!B12&amp;"_"&amp;Changes!C12,'Input Data'!$B$20:$B$963&amp;"_"&amp;'Input Data'!$C$20:$C$963,0)),INDEX('[2]Input Data'!$L$20:$L$158,MATCH(B12&amp;"_"&amp;C12,'[2]Input Data'!$B$20:$B$158&amp;"_"&amp;'[2]Input Data'!$C$20:$C$158,0)))</f>
        <v>46203</v>
      </c>
      <c r="H12" s="313" cm="1">
        <f t="array" ref="H12">_xlfn._xlws.FILTER('Input Data'!$AA$20:$AA$963,('Input Data'!$B$20:$B$963=Changes!B12)*('Input Data'!$C$20:$C$963=Changes!C12),0)</f>
        <v>14528089.8904595</v>
      </c>
      <c r="I12" s="313" cm="1">
        <f t="array" ref="I12">_xlfn._xlws.FILTER('[2]Input Data'!$AA$20:$AA$173,('[2]Input Data'!$B$20:$B$173=Changes!B12)*('[2]Input Data'!$C$20:$C$173=Changes!C12),0)</f>
        <v>14528089.8904595</v>
      </c>
      <c r="J12" s="346" t="str" cm="1">
        <f t="array" ref="J12">_xlfn._xlws.FILTER('Input Data'!$E$20:$E$963,('Input Data'!$B$20:$B$963=Changes!B12)*('Input Data'!$C$20:$C$963=Changes!C12),0)</f>
        <v>Orbit</v>
      </c>
      <c r="K12" s="347" cm="1">
        <f t="array" ref="K12">_xlfn._xlws.FILTER('Input Data'!$L$20:$L$963,('Input Data'!$B$20:$B$963=Changes!B12)*('Input Data'!$C$20:$C$963=Changes!C12),0)</f>
        <v>45839</v>
      </c>
      <c r="L12" s="356" t="str" cm="1">
        <f t="array" ref="L12">_xlfn._xlws.FILTER('[2]Input Data'!$D$20:$D$173,('[2]Input Data'!$B$20:$B$173=Changes!B12)*('[2]Input Data'!$C$20:$C$173=Changes!C12),0)</f>
        <v>Orbit</v>
      </c>
      <c r="M12" s="314">
        <f>IFERROR(INDEX('Input Data'!$P$10:$P$14,MATCH(DATEDIF($M$4,G12,"M"),'Input Data'!$O$10:$O$14,1)),0)</f>
        <v>0.2</v>
      </c>
      <c r="N12" s="227"/>
      <c r="O12" s="227">
        <f>INDEX('Input Data'!$P$10:$P$14,MATCH(DATEDIF($O$4,G12,"M"),'Input Data'!$O$10:$O$14,1))</f>
        <v>0.2</v>
      </c>
      <c r="P12" s="204">
        <f t="shared" si="1"/>
        <v>0</v>
      </c>
      <c r="R12" cm="1">
        <f t="array" ref="R12">_xlfn.LET(_xlpm.current,INDEX('Input Data'!$M$20:$M$963,MATCH(Changes!B12&amp;"_"&amp;Changes!C12,'Input Data'!$B$20:$B$963&amp;"_"&amp;'Input Data'!$C$20:$C$963,0)),_xlpm.prev,INDEX('[2]Input Data'!$L$20:$L$173,MATCH(B12&amp;"_"&amp;C12,'[2]Input Data'!$B$20:$B$173&amp;"_"&amp;'[2]Input Data'!$C$20:$C$173,0)),
IF(OR(ISNA(_xlpm.current),ISNA(_xlpm.prev)),0,_xlpm.current-_xlpm.prev))</f>
        <v>0</v>
      </c>
      <c r="S12" s="186" t="b">
        <f t="shared" si="2"/>
        <v>0</v>
      </c>
      <c r="T12" t="str" cm="1">
        <f t="array" ref="T12">IFERROR(_xlfn._xlws.FILTER('Input Data'!$N$20:$N$963,('Input Data'!$B$20:$B$963=Changes!B12)*('Input Data'!$C$20:$C$963=Changes!C12)),_xlfn._xlws.FILTER('[2]Input Data'!$M$20:$M$173,('[2]Input Data'!$B$20:$B$173=Changes!B12)*('[2]Input Data'!$C$20:$C$173=Changes!C12)))</f>
        <v>Lockheed Martin Commercial Space Systems</v>
      </c>
      <c r="V12" s="348"/>
      <c r="W12" s="227"/>
      <c r="X12" s="206" t="s">
        <v>360</v>
      </c>
      <c r="Y12" s="223">
        <f t="shared" si="6"/>
        <v>0</v>
      </c>
      <c r="Z12" s="406">
        <f t="shared" si="5"/>
        <v>0</v>
      </c>
      <c r="AA12" s="33">
        <f>AC12*0.05</f>
        <v>29792884.239627898</v>
      </c>
      <c r="AB12" s="180" t="s">
        <v>29</v>
      </c>
      <c r="AC12" s="207">
        <f>SUMIFS($H$7:$H$995,$F$7:$F$995,AC$11,$E$7:$E$995,$AB12)</f>
        <v>595857684.79255795</v>
      </c>
      <c r="AD12" s="208">
        <f>SUMIFS($H$7:$H$995,$F$7:$F$995,AD$11,$E$7:$E$995,$AB12)</f>
        <v>113870678.1276089</v>
      </c>
      <c r="AE12" s="209">
        <f>SUM(AC12:AD12)</f>
        <v>709728362.92016685</v>
      </c>
      <c r="AF12" s="241">
        <f>AD12*0.4+AC12*0.05</f>
        <v>75341155.490671456</v>
      </c>
      <c r="AH12" s="180" t="s">
        <v>29</v>
      </c>
      <c r="AI12" s="207" cm="1">
        <f t="array" ref="AI12">SUMPRODUCT(_xlfn._xlws.FILTER($H$7:$H$995,($E$7:$E$995=$AH12)*($F$7:$F$995=AI$11)),_xlfn._xlws.FILTER($M$7:$M$995,($E$7:$E$995=$AH12)*($F$7:$F$995=AI$11)))</f>
        <v>186274050.02508652</v>
      </c>
      <c r="AJ12" s="208" cm="1">
        <f t="array" ref="AJ12">SUMPRODUCT(_xlfn._xlws.FILTER($H$7:$H$995,($E$7:$E$995=$AH12)*($F$7:$F$995=AJ$11)),_xlfn._xlws.FILTER($M$7:$M$995,($E$7:$E$995=$AH12)*($F$7:$F$995=AJ$11)))</f>
        <v>39115279.591662124</v>
      </c>
      <c r="AK12" s="209">
        <f>SUM(AI12:AJ12)</f>
        <v>225389329.61674863</v>
      </c>
      <c r="AL12" s="87"/>
      <c r="AM12" s="227"/>
      <c r="AN12" s="300" t="s">
        <v>360</v>
      </c>
      <c r="AO12" s="299">
        <v>-9443354.4888144378</v>
      </c>
    </row>
    <row r="13" spans="1:41" x14ac:dyDescent="0.35">
      <c r="A13">
        <f t="shared" si="0"/>
        <v>1</v>
      </c>
      <c r="B13" s="315">
        <v>344558</v>
      </c>
      <c r="C13" s="282">
        <v>1</v>
      </c>
      <c r="D13" s="282" t="str">
        <v>EUTELSAT 36D</v>
      </c>
      <c r="E13" s="282" t="str">
        <v>FIID</v>
      </c>
      <c r="F13" s="282" t="str">
        <v>GEO-GSO</v>
      </c>
      <c r="G13" s="283" cm="1">
        <f t="array" ref="G13">_xlfn.IFNA(INDEX('Input Data'!$M$20:$M$963,MATCH(Changes!B13&amp;"_"&amp;Changes!C13,'Input Data'!$B$20:$B$963&amp;"_"&amp;'Input Data'!$C$20:$C$963,0)),INDEX('[2]Input Data'!$L$20:$L$158,MATCH(B13&amp;"_"&amp;C13,'[2]Input Data'!$B$20:$B$158&amp;"_"&amp;'[2]Input Data'!$C$20:$C$158,0)))</f>
        <v>46203</v>
      </c>
      <c r="H13" s="313" cm="1">
        <f t="array" ref="H13">_xlfn._xlws.FILTER('Input Data'!$AA$20:$AA$963,('Input Data'!$B$20:$B$963=Changes!B13)*('Input Data'!$C$20:$C$963=Changes!C13),0)</f>
        <v>19814782.423728701</v>
      </c>
      <c r="I13" s="313" cm="1">
        <f t="array" ref="I13">_xlfn._xlws.FILTER('[2]Input Data'!$AA$20:$AA$173,('[2]Input Data'!$B$20:$B$173=Changes!B13)*('[2]Input Data'!$C$20:$C$173=Changes!C13),0)</f>
        <v>19814782.423728701</v>
      </c>
      <c r="J13" s="346" t="str" cm="1">
        <f t="array" ref="J13">_xlfn._xlws.FILTER('Input Data'!$E$20:$E$963,('Input Data'!$B$20:$B$963=Changes!B13)*('Input Data'!$C$20:$C$963=Changes!C13),0)</f>
        <v>Orbit</v>
      </c>
      <c r="K13" s="347" cm="1">
        <f t="array" ref="K13">_xlfn._xlws.FILTER('Input Data'!$L$20:$L$963,('Input Data'!$B$20:$B$963=Changes!B13)*('Input Data'!$C$20:$C$963=Changes!C13),0)</f>
        <v>45839</v>
      </c>
      <c r="L13" s="356" t="str" cm="1">
        <f t="array" ref="L13">_xlfn._xlws.FILTER('[2]Input Data'!$D$20:$D$173,('[2]Input Data'!$B$20:$B$173=Changes!B13)*('[2]Input Data'!$C$20:$C$173=Changes!C13),0)</f>
        <v>Orbit</v>
      </c>
      <c r="M13" s="314">
        <f>IFERROR(INDEX('Input Data'!$P$10:$P$14,MATCH(DATEDIF($M$4,G13,"M"),'Input Data'!$O$10:$O$14,1)),0)</f>
        <v>0.2</v>
      </c>
      <c r="N13" s="227"/>
      <c r="O13" s="227">
        <f>INDEX('Input Data'!$P$10:$P$14,MATCH(DATEDIF($O$4,G13,"M"),'Input Data'!$O$10:$O$14,1))</f>
        <v>0.2</v>
      </c>
      <c r="P13" s="204">
        <f t="shared" si="1"/>
        <v>0</v>
      </c>
      <c r="R13" cm="1">
        <f t="array" ref="R13">_xlfn.LET(_xlpm.current,INDEX('Input Data'!$M$20:$M$963,MATCH(Changes!B13&amp;"_"&amp;Changes!C13,'Input Data'!$B$20:$B$963&amp;"_"&amp;'Input Data'!$C$20:$C$963,0)),_xlpm.prev,INDEX('[2]Input Data'!$L$20:$L$173,MATCH(B13&amp;"_"&amp;C13,'[2]Input Data'!$B$20:$B$173&amp;"_"&amp;'[2]Input Data'!$C$20:$C$173,0)),
IF(OR(ISNA(_xlpm.current),ISNA(_xlpm.prev)),0,_xlpm.current-_xlpm.prev))</f>
        <v>0</v>
      </c>
      <c r="S13" s="186" t="b">
        <f t="shared" si="2"/>
        <v>0</v>
      </c>
      <c r="T13" t="str" cm="1">
        <f t="array" ref="T13">IFERROR(_xlfn._xlws.FILTER('Input Data'!$N$20:$N$963,('Input Data'!$B$20:$B$963=Changes!B13)*('Input Data'!$C$20:$C$963=Changes!C13)),_xlfn._xlws.FILTER('[2]Input Data'!$M$20:$M$173,('[2]Input Data'!$B$20:$B$173=Changes!B13)*('[2]Input Data'!$C$20:$C$173=Changes!C13)))</f>
        <v>Airbus Defence and Space</v>
      </c>
      <c r="V13" s="348"/>
      <c r="W13" s="227"/>
      <c r="X13" s="206" t="s">
        <v>357</v>
      </c>
      <c r="Y13" s="223">
        <f t="shared" si="6"/>
        <v>0.61855670064687729</v>
      </c>
      <c r="Z13" s="406">
        <f t="shared" si="5"/>
        <v>0</v>
      </c>
      <c r="AB13" s="180" t="s">
        <v>31</v>
      </c>
      <c r="AC13" s="210">
        <f>SUMIFS($H$7:$H$995,$F$7:$F$995,AC$11,$E$7:$E$995,$AB13)</f>
        <v>358281697.6153931</v>
      </c>
      <c r="AD13" s="211">
        <f>SUMIFS($H$7:$H$995,$F$7:$F$995,AD$11,$E$7:$E$995,$AB13)</f>
        <v>28791094.28330604</v>
      </c>
      <c r="AE13" s="212">
        <f>SUM(AC13:AD13)</f>
        <v>387072791.89869916</v>
      </c>
      <c r="AF13" s="242">
        <f>AD13*0.4+AC13*0.05</f>
        <v>29430522.594092071</v>
      </c>
      <c r="AH13" s="180" t="s">
        <v>31</v>
      </c>
      <c r="AI13" s="210" cm="1">
        <f t="array" ref="AI13">SUMPRODUCT(_xlfn._xlws.FILTER($H$7:$H$995,($E$7:$E$995=$AH13)*($F$7:$F$995=AI$11)),_xlfn._xlws.FILTER($M$7:$M$995,($E$7:$E$995=$AH13)*($F$7:$F$995=AI$11)))</f>
        <v>80424652.046203911</v>
      </c>
      <c r="AJ13" s="211" cm="1">
        <f t="array" ref="AJ13">SUMPRODUCT(_xlfn._xlws.FILTER($H$7:$H$995,($E$7:$E$995=$AH13)*($F$7:$F$995=AJ$11)),_xlfn._xlws.FILTER($M$7:$M$995,($E$7:$E$995=$AH13)*($F$7:$F$995=AJ$11)))</f>
        <v>7515129.5648984965</v>
      </c>
      <c r="AK13" s="212">
        <f>SUM(AI13:AJ13)</f>
        <v>87939781.611102402</v>
      </c>
      <c r="AM13" s="204"/>
      <c r="AN13" s="3" t="s">
        <v>357</v>
      </c>
      <c r="AO13" s="299">
        <v>-11.977401096839458</v>
      </c>
    </row>
    <row r="14" spans="1:41" x14ac:dyDescent="0.35">
      <c r="A14">
        <f t="shared" si="0"/>
        <v>1</v>
      </c>
      <c r="B14" s="315">
        <v>344558</v>
      </c>
      <c r="C14" s="282">
        <v>2</v>
      </c>
      <c r="D14" s="282" t="str">
        <v>W7/E36B</v>
      </c>
      <c r="E14" s="282" t="str">
        <v>FIID</v>
      </c>
      <c r="F14" s="282" t="str">
        <v>GEO-GSO</v>
      </c>
      <c r="G14" s="283" cm="1">
        <f t="array" ref="G14">_xlfn.IFNA(INDEX('Input Data'!$M$20:$M$963,MATCH(Changes!B14&amp;"_"&amp;Changes!C14,'Input Data'!$B$20:$B$963&amp;"_"&amp;'Input Data'!$C$20:$C$963,0)),INDEX('[2]Input Data'!$L$20:$L$158,MATCH(B14&amp;"_"&amp;C14,'[2]Input Data'!$B$20:$B$158&amp;"_"&amp;'[2]Input Data'!$C$20:$C$158,0)))</f>
        <v>46203</v>
      </c>
      <c r="H14" s="313" cm="1">
        <f t="array" ref="H14">_xlfn._xlws.FILTER('Input Data'!$AA$20:$AA$963,('Input Data'!$B$20:$B$963=Changes!B14)*('Input Data'!$C$20:$C$963=Changes!C14),0)</f>
        <v>3567555.5732371002</v>
      </c>
      <c r="I14" s="313" cm="1">
        <f t="array" ref="I14">_xlfn._xlws.FILTER('[2]Input Data'!$AA$20:$AA$173,('[2]Input Data'!$B$20:$B$173=Changes!B14)*('[2]Input Data'!$C$20:$C$173=Changes!C14),0)</f>
        <v>3567555.5732371002</v>
      </c>
      <c r="J14" s="346" t="str" cm="1">
        <f t="array" ref="J14">_xlfn._xlws.FILTER('Input Data'!$E$20:$E$963,('Input Data'!$B$20:$B$963=Changes!B14)*('Input Data'!$C$20:$C$963=Changes!C14),0)</f>
        <v>Orbit</v>
      </c>
      <c r="K14" s="347" cm="1">
        <f t="array" ref="K14">_xlfn._xlws.FILTER('Input Data'!$L$20:$L$963,('Input Data'!$B$20:$B$963=Changes!B14)*('Input Data'!$C$20:$C$963=Changes!C14),0)</f>
        <v>45839</v>
      </c>
      <c r="L14" s="356" t="str" cm="1">
        <f t="array" ref="L14">_xlfn._xlws.FILTER('[2]Input Data'!$D$20:$D$173,('[2]Input Data'!$B$20:$B$173=Changes!B14)*('[2]Input Data'!$C$20:$C$173=Changes!C14),0)</f>
        <v>Orbit</v>
      </c>
      <c r="M14" s="314">
        <f>IFERROR(INDEX('Input Data'!$P$10:$P$14,MATCH(DATEDIF($M$4,G14,"M"),'Input Data'!$O$10:$O$14,1)),0)</f>
        <v>0.2</v>
      </c>
      <c r="N14" s="227"/>
      <c r="O14" s="227">
        <f>INDEX('Input Data'!$P$10:$P$14,MATCH(DATEDIF($O$4,G14,"M"),'Input Data'!$O$10:$O$14,1))</f>
        <v>0.2</v>
      </c>
      <c r="P14" s="204">
        <f>H14-I14</f>
        <v>0</v>
      </c>
      <c r="R14" cm="1">
        <f t="array" ref="R14">_xlfn.LET(_xlpm.current,INDEX('Input Data'!$M$20:$M$963,MATCH(Changes!B14&amp;"_"&amp;Changes!C14,'Input Data'!$B$20:$B$963&amp;"_"&amp;'Input Data'!$C$20:$C$963,0)),_xlpm.prev,INDEX('[2]Input Data'!$L$20:$L$173,MATCH(B14&amp;"_"&amp;C14,'[2]Input Data'!$B$20:$B$173&amp;"_"&amp;'[2]Input Data'!$C$20:$C$173,0)),
IF(OR(ISNA(_xlpm.current),ISNA(_xlpm.prev)),0,_xlpm.current-_xlpm.prev))</f>
        <v>0</v>
      </c>
      <c r="S14" s="186" t="b">
        <f t="shared" si="2"/>
        <v>0</v>
      </c>
      <c r="T14" t="str" cm="1">
        <f t="array" ref="T14">IFERROR(_xlfn._xlws.FILTER('Input Data'!$N$20:$N$963,('Input Data'!$B$20:$B$963=Changes!B14)*('Input Data'!$C$20:$C$963=Changes!C14)),_xlfn._xlws.FILTER('[2]Input Data'!$M$20:$M$173,('[2]Input Data'!$B$20:$B$173=Changes!B14)*('[2]Input Data'!$C$20:$C$173=Changes!C14)))</f>
        <v>Alcatel Alenia Space (Cannes)</v>
      </c>
      <c r="V14" s="348"/>
      <c r="W14" s="227"/>
      <c r="X14" s="206" t="s">
        <v>361</v>
      </c>
      <c r="Y14" s="223">
        <f t="shared" si="6"/>
        <v>0</v>
      </c>
      <c r="Z14" s="406">
        <f t="shared" si="5"/>
        <v>0</v>
      </c>
      <c r="AB14" s="180" t="s">
        <v>32</v>
      </c>
      <c r="AC14" s="213">
        <f>SUM(AC12:AC13)</f>
        <v>954139382.40795112</v>
      </c>
      <c r="AD14" s="214">
        <f>SUM(AD12:AD13)</f>
        <v>142661772.41091493</v>
      </c>
      <c r="AE14" s="215">
        <f>SUM(AC14:AD14)</f>
        <v>1096801154.818866</v>
      </c>
      <c r="AF14" s="240">
        <f>AD14*0.4+AC14*0.05</f>
        <v>104771678.08476353</v>
      </c>
      <c r="AH14" s="180" t="s">
        <v>32</v>
      </c>
      <c r="AI14" s="213">
        <f>SUM(AI12:AI13)</f>
        <v>266698702.07129043</v>
      </c>
      <c r="AJ14" s="214">
        <f t="shared" ref="AJ14:AK14" si="7">SUM(AJ12:AJ13)</f>
        <v>46630409.156560622</v>
      </c>
      <c r="AK14" s="215">
        <f t="shared" si="7"/>
        <v>313329111.22785103</v>
      </c>
      <c r="AM14" s="204"/>
      <c r="AN14" s="3" t="s">
        <v>361</v>
      </c>
      <c r="AO14" s="299">
        <v>0</v>
      </c>
    </row>
    <row r="15" spans="1:41" x14ac:dyDescent="0.35">
      <c r="A15">
        <f t="shared" si="0"/>
        <v>1</v>
      </c>
      <c r="B15" s="315">
        <v>344558</v>
      </c>
      <c r="C15" s="282">
        <v>3</v>
      </c>
      <c r="D15" s="282" t="str">
        <v>E115WB (S7)</v>
      </c>
      <c r="E15" s="282" t="str">
        <v>FIID</v>
      </c>
      <c r="F15" s="282" t="str">
        <v>GEO-GSO</v>
      </c>
      <c r="G15" s="283" cm="1">
        <f t="array" ref="G15">_xlfn.IFNA(INDEX('Input Data'!$M$20:$M$963,MATCH(Changes!B15&amp;"_"&amp;Changes!C15,'Input Data'!$B$20:$B$963&amp;"_"&amp;'Input Data'!$C$20:$C$963,0)),INDEX('[2]Input Data'!$L$20:$L$158,MATCH(B15&amp;"_"&amp;C15,'[2]Input Data'!$B$20:$B$158&amp;"_"&amp;'[2]Input Data'!$C$20:$C$158,0)))</f>
        <v>46203</v>
      </c>
      <c r="H15" s="313" cm="1">
        <f t="array" ref="H15">_xlfn._xlws.FILTER('Input Data'!$AA$20:$AA$963,('Input Data'!$B$20:$B$963=Changes!B15)*('Input Data'!$C$20:$C$963=Changes!C15),0)</f>
        <v>3955653.7664769501</v>
      </c>
      <c r="I15" s="313" cm="1">
        <f t="array" ref="I15">_xlfn._xlws.FILTER('[2]Input Data'!$AA$20:$AA$173,('[2]Input Data'!$B$20:$B$173=Changes!B15)*('[2]Input Data'!$C$20:$C$173=Changes!C15),0)</f>
        <v>3955653.7664769501</v>
      </c>
      <c r="J15" s="346" t="str" cm="1">
        <f t="array" ref="J15">_xlfn._xlws.FILTER('Input Data'!$E$20:$E$963,('Input Data'!$B$20:$B$963=Changes!B15)*('Input Data'!$C$20:$C$963=Changes!C15),0)</f>
        <v>Orbit</v>
      </c>
      <c r="K15" s="347" cm="1">
        <f t="array" ref="K15">_xlfn._xlws.FILTER('Input Data'!$L$20:$L$963,('Input Data'!$B$20:$B$963=Changes!B15)*('Input Data'!$C$20:$C$963=Changes!C15),0)</f>
        <v>45839</v>
      </c>
      <c r="L15" s="356" t="str" cm="1">
        <f t="array" ref="L15">_xlfn._xlws.FILTER('[2]Input Data'!$D$20:$D$173,('[2]Input Data'!$B$20:$B$173=Changes!B15)*('[2]Input Data'!$C$20:$C$173=Changes!C15),0)</f>
        <v>Orbit</v>
      </c>
      <c r="M15" s="314">
        <f>IFERROR(INDEX('Input Data'!$P$10:$P$14,MATCH(DATEDIF($M$4,G15,"M"),'Input Data'!$O$10:$O$14,1)),0)</f>
        <v>0.2</v>
      </c>
      <c r="N15" s="227"/>
      <c r="O15" s="227">
        <f>INDEX('Input Data'!$P$10:$P$14,MATCH(DATEDIF($O$4,G15,"M"),'Input Data'!$O$10:$O$14,1))</f>
        <v>0.2</v>
      </c>
      <c r="P15" s="204">
        <f t="shared" si="1"/>
        <v>0</v>
      </c>
      <c r="R15" cm="1">
        <f t="array" ref="R15">_xlfn.LET(_xlpm.current,INDEX('Input Data'!$M$20:$M$963,MATCH(Changes!B15&amp;"_"&amp;Changes!C15,'Input Data'!$B$20:$B$963&amp;"_"&amp;'Input Data'!$C$20:$C$963,0)),_xlpm.prev,INDEX('[2]Input Data'!$L$20:$L$173,MATCH(B15&amp;"_"&amp;C15,'[2]Input Data'!$B$20:$B$173&amp;"_"&amp;'[2]Input Data'!$C$20:$C$173,0)),
IF(OR(ISNA(_xlpm.current),ISNA(_xlpm.prev)),0,_xlpm.current-_xlpm.prev))</f>
        <v>0</v>
      </c>
      <c r="S15" s="186" t="b">
        <f t="shared" si="2"/>
        <v>0</v>
      </c>
      <c r="T15" t="str" cm="1">
        <f t="array" ref="T15">IFERROR(_xlfn._xlws.FILTER('Input Data'!$N$20:$N$963,('Input Data'!$B$20:$B$963=Changes!B15)*('Input Data'!$C$20:$C$963=Changes!C15)),_xlfn._xlws.FILTER('[2]Input Data'!$M$20:$M$173,('[2]Input Data'!$B$20:$B$173=Changes!B15)*('[2]Input Data'!$C$20:$C$173=Changes!C15)))</f>
        <v>Boeing Satellite Systems Inc.</v>
      </c>
      <c r="V15" s="348"/>
      <c r="W15" s="227"/>
      <c r="X15" s="206" t="s">
        <v>362</v>
      </c>
      <c r="Y15" s="223">
        <f t="shared" si="6"/>
        <v>0</v>
      </c>
      <c r="AB15" s="6"/>
      <c r="AC15" s="218">
        <f>AC14/$AE14</f>
        <v>0.86992922848036647</v>
      </c>
      <c r="AD15" s="218">
        <f>AD14/$AE14</f>
        <v>0.13007077151963353</v>
      </c>
      <c r="AE15" s="6"/>
      <c r="AI15" s="218">
        <f>AI14/AK14</f>
        <v>0.85117753989142986</v>
      </c>
      <c r="AJ15" s="218">
        <f>AJ14/AK14</f>
        <v>0.14882246010857023</v>
      </c>
      <c r="AM15" s="227"/>
      <c r="AN15" s="3" t="s">
        <v>362</v>
      </c>
      <c r="AO15" s="3">
        <v>0</v>
      </c>
    </row>
    <row r="16" spans="1:41" x14ac:dyDescent="0.35">
      <c r="A16">
        <f t="shared" si="0"/>
        <v>1</v>
      </c>
      <c r="B16" s="315">
        <v>344558</v>
      </c>
      <c r="C16" s="282">
        <v>4</v>
      </c>
      <c r="D16" s="282" t="str">
        <v>W3C/E16A</v>
      </c>
      <c r="E16" s="282" t="str">
        <v>FIID</v>
      </c>
      <c r="F16" s="282" t="str">
        <v>GEO-GSO</v>
      </c>
      <c r="G16" s="283" cm="1">
        <f t="array" ref="G16">_xlfn.IFNA(INDEX('Input Data'!$M$20:$M$963,MATCH(Changes!B16&amp;"_"&amp;Changes!C16,'Input Data'!$B$20:$B$963&amp;"_"&amp;'Input Data'!$C$20:$C$963,0)),INDEX('[2]Input Data'!$L$20:$L$158,MATCH(B16&amp;"_"&amp;C16,'[2]Input Data'!$B$20:$B$158&amp;"_"&amp;'[2]Input Data'!$C$20:$C$158,0)))</f>
        <v>46203</v>
      </c>
      <c r="H16" s="313" cm="1">
        <f t="array" ref="H16">_xlfn._xlws.FILTER('Input Data'!$AA$20:$AA$963,('Input Data'!$B$20:$B$963=Changes!B16)*('Input Data'!$C$20:$C$963=Changes!C16),0)</f>
        <v>11679640.312677</v>
      </c>
      <c r="I16" s="313" cm="1">
        <f t="array" ref="I16">_xlfn._xlws.FILTER('[2]Input Data'!$AA$20:$AA$173,('[2]Input Data'!$B$20:$B$173=Changes!B16)*('[2]Input Data'!$C$20:$C$173=Changes!C16),0)</f>
        <v>11679640.312677</v>
      </c>
      <c r="J16" s="346" t="str" cm="1">
        <f t="array" ref="J16">_xlfn._xlws.FILTER('Input Data'!$E$20:$E$963,('Input Data'!$B$20:$B$963=Changes!B16)*('Input Data'!$C$20:$C$963=Changes!C16),0)</f>
        <v>Orbit</v>
      </c>
      <c r="K16" s="347" cm="1">
        <f t="array" ref="K16">_xlfn._xlws.FILTER('Input Data'!$L$20:$L$963,('Input Data'!$B$20:$B$963=Changes!B16)*('Input Data'!$C$20:$C$963=Changes!C16),0)</f>
        <v>45839</v>
      </c>
      <c r="L16" s="356" t="str" cm="1">
        <f t="array" ref="L16">_xlfn._xlws.FILTER('[2]Input Data'!$D$20:$D$173,('[2]Input Data'!$B$20:$B$173=Changes!B16)*('[2]Input Data'!$C$20:$C$173=Changes!C16),0)</f>
        <v>Orbit</v>
      </c>
      <c r="M16" s="314">
        <f>IFERROR(INDEX('Input Data'!$P$10:$P$14,MATCH(DATEDIF($M$4,G16,"M"),'Input Data'!$O$10:$O$14,1)),0)</f>
        <v>0.2</v>
      </c>
      <c r="N16" s="227"/>
      <c r="O16" s="227">
        <f>INDEX('Input Data'!$P$10:$P$14,MATCH(DATEDIF($O$4,G16,"M"),'Input Data'!$O$10:$O$14,1))</f>
        <v>0.2</v>
      </c>
      <c r="P16" s="204">
        <f t="shared" si="1"/>
        <v>0</v>
      </c>
      <c r="R16" cm="1">
        <f t="array" ref="R16">_xlfn.LET(_xlpm.current,INDEX('Input Data'!$M$20:$M$963,MATCH(Changes!B16&amp;"_"&amp;Changes!C16,'Input Data'!$B$20:$B$963&amp;"_"&amp;'Input Data'!$C$20:$C$963,0)),_xlpm.prev,INDEX('[2]Input Data'!$L$20:$L$173,MATCH(B16&amp;"_"&amp;C16,'[2]Input Data'!$B$20:$B$173&amp;"_"&amp;'[2]Input Data'!$C$20:$C$173,0)),
IF(OR(ISNA(_xlpm.current),ISNA(_xlpm.prev)),0,_xlpm.current-_xlpm.prev))</f>
        <v>0</v>
      </c>
      <c r="S16" s="186" t="b">
        <f t="shared" si="2"/>
        <v>0</v>
      </c>
      <c r="T16" t="str" cm="1">
        <f t="array" ref="T16">IFERROR(_xlfn._xlws.FILTER('Input Data'!$N$20:$N$963,('Input Data'!$B$20:$B$963=Changes!B16)*('Input Data'!$C$20:$C$963=Changes!C16)),_xlfn._xlws.FILTER('[2]Input Data'!$M$20:$M$173,('[2]Input Data'!$B$20:$B$173=Changes!B16)*('[2]Input Data'!$C$20:$C$173=Changes!C16)))</f>
        <v>Thales Alenia Space France (Cannes)</v>
      </c>
      <c r="V16" s="348"/>
      <c r="W16" s="227"/>
      <c r="X16" s="206" t="s">
        <v>85</v>
      </c>
      <c r="Y16" s="223">
        <f t="shared" si="6"/>
        <v>0</v>
      </c>
      <c r="Z16" s="367">
        <f>SUM(Y7:Y16)-Y17</f>
        <v>0</v>
      </c>
      <c r="AB16" s="180" t="s">
        <v>140</v>
      </c>
      <c r="AC16" s="180" t="s">
        <v>113</v>
      </c>
      <c r="AD16" s="180" t="s">
        <v>16</v>
      </c>
      <c r="AE16" s="180" t="s">
        <v>430</v>
      </c>
      <c r="AF16" s="180" t="s">
        <v>387</v>
      </c>
      <c r="AH16" s="180" t="s">
        <v>140</v>
      </c>
      <c r="AI16" s="180" t="s">
        <v>113</v>
      </c>
      <c r="AJ16" s="180" t="s">
        <v>16</v>
      </c>
      <c r="AK16" s="180" t="s">
        <v>430</v>
      </c>
      <c r="AN16" s="3" t="s">
        <v>85</v>
      </c>
      <c r="AO16" s="3">
        <v>0</v>
      </c>
    </row>
    <row r="17" spans="1:41" x14ac:dyDescent="0.35">
      <c r="A17">
        <f t="shared" si="0"/>
        <v>1</v>
      </c>
      <c r="B17" s="315">
        <v>344558</v>
      </c>
      <c r="C17" s="282">
        <v>5</v>
      </c>
      <c r="D17" s="282" t="str">
        <v>AB7/E7WA</v>
      </c>
      <c r="E17" s="282" t="str">
        <v>FIID</v>
      </c>
      <c r="F17" s="282" t="str">
        <v>GEO-GSO</v>
      </c>
      <c r="G17" s="283" cm="1">
        <f t="array" ref="G17">_xlfn.IFNA(INDEX('Input Data'!$M$20:$M$963,MATCH(Changes!B17&amp;"_"&amp;Changes!C17,'Input Data'!$B$20:$B$963&amp;"_"&amp;'Input Data'!$C$20:$C$963,0)),INDEX('[2]Input Data'!$L$20:$L$158,MATCH(B17&amp;"_"&amp;C17,'[2]Input Data'!$B$20:$B$158&amp;"_"&amp;'[2]Input Data'!$C$20:$C$158,0)))</f>
        <v>46203</v>
      </c>
      <c r="H17" s="313" cm="1">
        <f t="array" ref="H17">_xlfn._xlws.FILTER('Input Data'!$AA$20:$AA$963,('Input Data'!$B$20:$B$963=Changes!B17)*('Input Data'!$C$20:$C$963=Changes!C17),0)</f>
        <v>11922926.160296399</v>
      </c>
      <c r="I17" s="313" cm="1">
        <f t="array" ref="I17">_xlfn._xlws.FILTER('[2]Input Data'!$AA$20:$AA$173,('[2]Input Data'!$B$20:$B$173=Changes!B17)*('[2]Input Data'!$C$20:$C$173=Changes!C17),0)</f>
        <v>11922926.160296399</v>
      </c>
      <c r="J17" s="346" t="str" cm="1">
        <f t="array" ref="J17">_xlfn._xlws.FILTER('Input Data'!$E$20:$E$963,('Input Data'!$B$20:$B$963=Changes!B17)*('Input Data'!$C$20:$C$963=Changes!C17),0)</f>
        <v>Orbit</v>
      </c>
      <c r="K17" s="347" cm="1">
        <f t="array" ref="K17">_xlfn._xlws.FILTER('Input Data'!$L$20:$L$963,('Input Data'!$B$20:$B$963=Changes!B17)*('Input Data'!$C$20:$C$963=Changes!C17),0)</f>
        <v>45839</v>
      </c>
      <c r="L17" s="356" t="str" cm="1">
        <f t="array" ref="L17">_xlfn._xlws.FILTER('[2]Input Data'!$D$20:$D$173,('[2]Input Data'!$B$20:$B$173=Changes!B17)*('[2]Input Data'!$C$20:$C$173=Changes!C17),0)</f>
        <v>Orbit</v>
      </c>
      <c r="M17" s="314">
        <f>IFERROR(INDEX('Input Data'!$P$10:$P$14,MATCH(DATEDIF($M$4,G17,"M"),'Input Data'!$O$10:$O$14,1)),0)</f>
        <v>0.2</v>
      </c>
      <c r="N17" s="227"/>
      <c r="O17" s="227">
        <f>INDEX('Input Data'!$P$10:$P$14,MATCH(DATEDIF($O$4,G17,"M"),'Input Data'!$O$10:$O$14,1))</f>
        <v>0.2</v>
      </c>
      <c r="P17" s="204">
        <f t="shared" si="1"/>
        <v>0</v>
      </c>
      <c r="R17" cm="1">
        <f t="array" ref="R17">_xlfn.LET(_xlpm.current,INDEX('Input Data'!$M$20:$M$963,MATCH(Changes!B17&amp;"_"&amp;Changes!C17,'Input Data'!$B$20:$B$963&amp;"_"&amp;'Input Data'!$C$20:$C$963,0)),_xlpm.prev,INDEX('[2]Input Data'!$L$20:$L$173,MATCH(B17&amp;"_"&amp;C17,'[2]Input Data'!$B$20:$B$173&amp;"_"&amp;'[2]Input Data'!$C$20:$C$173,0)),
IF(OR(ISNA(_xlpm.current),ISNA(_xlpm.prev)),0,_xlpm.current-_xlpm.prev))</f>
        <v>0</v>
      </c>
      <c r="S17" s="186" t="b">
        <f t="shared" si="2"/>
        <v>0</v>
      </c>
      <c r="T17" t="str" cm="1">
        <f t="array" ref="T17">IFERROR(_xlfn._xlws.FILTER('Input Data'!$N$20:$N$963,('Input Data'!$B$20:$B$963=Changes!B17)*('Input Data'!$C$20:$C$963=Changes!C17)),_xlfn._xlws.FILTER('[2]Input Data'!$M$20:$M$173,('[2]Input Data'!$B$20:$B$173=Changes!B17)*('[2]Input Data'!$C$20:$C$173=Changes!C17)))</f>
        <v>Astrium Satellites SAS (Toulouse) (Part of EADS)</v>
      </c>
      <c r="V17" s="348"/>
      <c r="W17" s="227"/>
      <c r="X17" s="206" t="str">
        <f>$H$5</f>
        <v>2026Q1</v>
      </c>
      <c r="Y17" s="224">
        <f>SUM(H7:H995)</f>
        <v>1106801078.818866</v>
      </c>
      <c r="AB17" s="180" t="s">
        <v>29</v>
      </c>
      <c r="AC17" s="234">
        <f t="shared" ref="AC17:AD19" si="8">AC12/AC7-1</f>
        <v>-4.7763968531208123E-2</v>
      </c>
      <c r="AD17" s="216">
        <f t="shared" si="8"/>
        <v>0.5245959600636938</v>
      </c>
      <c r="AE17" s="217">
        <f t="shared" ref="AE17:AF19" si="9">AE12/AE7-1</f>
        <v>1.3268172169204062E-2</v>
      </c>
      <c r="AF17" s="243">
        <f>AF12/AF7-1</f>
        <v>0.23181089276633005</v>
      </c>
      <c r="AH17" s="180" t="s">
        <v>29</v>
      </c>
      <c r="AI17" s="236">
        <f>AI12/AI7-1</f>
        <v>-3.5754521885173696E-2</v>
      </c>
      <c r="AJ17" s="228">
        <f>AJ12/AJ7-1</f>
        <v>0.93685831617429738</v>
      </c>
      <c r="AK17" s="229">
        <f>AK12/AK7-1</f>
        <v>5.6299392863723652E-2</v>
      </c>
      <c r="AN17" s="3" t="s">
        <v>517</v>
      </c>
      <c r="AO17" s="299">
        <v>1120534683.5046039</v>
      </c>
    </row>
    <row r="18" spans="1:41" x14ac:dyDescent="0.35">
      <c r="A18">
        <f t="shared" si="0"/>
        <v>1</v>
      </c>
      <c r="B18" s="315">
        <v>344558</v>
      </c>
      <c r="C18" s="282">
        <v>6</v>
      </c>
      <c r="D18" s="282" t="str">
        <v>E117WA (S8)</v>
      </c>
      <c r="E18" s="282" t="str">
        <v>FIID</v>
      </c>
      <c r="F18" s="282" t="str">
        <v>GEO-GSO</v>
      </c>
      <c r="G18" s="283" cm="1">
        <f t="array" ref="G18">_xlfn.IFNA(INDEX('Input Data'!$M$20:$M$963,MATCH(Changes!B18&amp;"_"&amp;Changes!C18,'Input Data'!$B$20:$B$963&amp;"_"&amp;'Input Data'!$C$20:$C$963,0)),INDEX('[2]Input Data'!$L$20:$L$158,MATCH(B18&amp;"_"&amp;C18,'[2]Input Data'!$B$20:$B$158&amp;"_"&amp;'[2]Input Data'!$C$20:$C$158,0)))</f>
        <v>46203</v>
      </c>
      <c r="H18" s="313" cm="1">
        <f t="array" ref="H18">_xlfn._xlws.FILTER('Input Data'!$AA$20:$AA$963,('Input Data'!$B$20:$B$963=Changes!B18)*('Input Data'!$C$20:$C$963=Changes!C18),0)</f>
        <v>6390959.0361546203</v>
      </c>
      <c r="I18" s="313" cm="1">
        <f t="array" ref="I18">_xlfn._xlws.FILTER('[2]Input Data'!$AA$20:$AA$173,('[2]Input Data'!$B$20:$B$173=Changes!B18)*('[2]Input Data'!$C$20:$C$173=Changes!C18),0)</f>
        <v>6390959.0361546203</v>
      </c>
      <c r="J18" s="346" t="str" cm="1">
        <f t="array" ref="J18">_xlfn._xlws.FILTER('Input Data'!$E$20:$E$963,('Input Data'!$B$20:$B$963=Changes!B18)*('Input Data'!$C$20:$C$963=Changes!C18),0)</f>
        <v>Orbit</v>
      </c>
      <c r="K18" s="347" cm="1">
        <f t="array" ref="K18">_xlfn._xlws.FILTER('Input Data'!$L$20:$L$963,('Input Data'!$B$20:$B$963=Changes!B18)*('Input Data'!$C$20:$C$963=Changes!C18),0)</f>
        <v>45839</v>
      </c>
      <c r="L18" s="356" t="str" cm="1">
        <f t="array" ref="L18">_xlfn._xlws.FILTER('[2]Input Data'!$D$20:$D$173,('[2]Input Data'!$B$20:$B$173=Changes!B18)*('[2]Input Data'!$C$20:$C$173=Changes!C18),0)</f>
        <v>Orbit</v>
      </c>
      <c r="M18" s="314">
        <f>IFERROR(INDEX('Input Data'!$P$10:$P$14,MATCH(DATEDIF($M$4,G18,"M"),'Input Data'!$O$10:$O$14,1)),0)</f>
        <v>0.2</v>
      </c>
      <c r="N18" s="227"/>
      <c r="O18" s="227">
        <f>INDEX('Input Data'!$P$10:$P$14,MATCH(DATEDIF($O$4,G18,"M"),'Input Data'!$O$10:$O$14,1))</f>
        <v>0.2</v>
      </c>
      <c r="P18" s="204">
        <f t="shared" si="1"/>
        <v>0</v>
      </c>
      <c r="R18" cm="1">
        <f t="array" ref="R18">_xlfn.LET(_xlpm.current,INDEX('Input Data'!$M$20:$M$963,MATCH(Changes!B18&amp;"_"&amp;Changes!C18,'Input Data'!$B$20:$B$963&amp;"_"&amp;'Input Data'!$C$20:$C$963,0)),_xlpm.prev,INDEX('[2]Input Data'!$L$20:$L$173,MATCH(B18&amp;"_"&amp;C18,'[2]Input Data'!$B$20:$B$173&amp;"_"&amp;'[2]Input Data'!$C$20:$C$173,0)),
IF(OR(ISNA(_xlpm.current),ISNA(_xlpm.prev)),0,_xlpm.current-_xlpm.prev))</f>
        <v>0</v>
      </c>
      <c r="S18" s="186" t="b">
        <f t="shared" si="2"/>
        <v>0</v>
      </c>
      <c r="T18" t="str" cm="1">
        <f t="array" ref="T18">IFERROR(_xlfn._xlws.FILTER('Input Data'!$N$20:$N$963,('Input Data'!$B$20:$B$963=Changes!B18)*('Input Data'!$C$20:$C$963=Changes!C18)),_xlfn._xlws.FILTER('[2]Input Data'!$M$20:$M$173,('[2]Input Data'!$B$20:$B$173=Changes!B18)*('[2]Input Data'!$C$20:$C$173=Changes!C18)))</f>
        <v>SSL (Space Systems/Loral - Part of Maxar)</v>
      </c>
      <c r="V18" s="348"/>
      <c r="W18" s="227"/>
      <c r="Y18" s="225">
        <f>Y17/Y7-1</f>
        <v>-1.2256295934351513E-2</v>
      </c>
      <c r="AB18" s="180" t="s">
        <v>31</v>
      </c>
      <c r="AC18" s="402">
        <f t="shared" si="8"/>
        <v>-2.1720219565518062E-2</v>
      </c>
      <c r="AD18" s="218">
        <f t="shared" si="8"/>
        <v>-0.46547922706751443</v>
      </c>
      <c r="AE18" s="219">
        <f t="shared" si="9"/>
        <v>-7.8617076934235475E-2</v>
      </c>
      <c r="AF18" s="244">
        <f t="shared" si="9"/>
        <v>-0.26160034534213139</v>
      </c>
      <c r="AH18" s="180" t="s">
        <v>31</v>
      </c>
      <c r="AI18" s="237">
        <f>AI13/AI8-1</f>
        <v>-8.069094658396625E-2</v>
      </c>
      <c r="AJ18" s="230">
        <f>AJ13/AJ8-1</f>
        <v>-0.40020927942222406</v>
      </c>
      <c r="AK18" s="231">
        <f t="shared" ref="AK18:AK19" si="10">AK13/AK8-1</f>
        <v>-0.12071991213513777</v>
      </c>
    </row>
    <row r="19" spans="1:41" x14ac:dyDescent="0.35">
      <c r="A19">
        <f t="shared" si="0"/>
        <v>1</v>
      </c>
      <c r="B19" s="315">
        <v>344558</v>
      </c>
      <c r="C19" s="282">
        <v>7</v>
      </c>
      <c r="D19" s="282" t="str">
        <v>W6A/E21B</v>
      </c>
      <c r="E19" s="282" t="str">
        <v>FIID</v>
      </c>
      <c r="F19" s="282" t="str">
        <v>GEO-GSO</v>
      </c>
      <c r="G19" s="283" cm="1">
        <f t="array" ref="G19">_xlfn.IFNA(INDEX('Input Data'!$M$20:$M$963,MATCH(Changes!B19&amp;"_"&amp;Changes!C19,'Input Data'!$B$20:$B$963&amp;"_"&amp;'Input Data'!$C$20:$C$963,0)),INDEX('[2]Input Data'!$L$20:$L$158,MATCH(B19&amp;"_"&amp;C19,'[2]Input Data'!$B$20:$B$158&amp;"_"&amp;'[2]Input Data'!$C$20:$C$158,0)))</f>
        <v>46203</v>
      </c>
      <c r="H19" s="313" cm="1">
        <f t="array" ref="H19">_xlfn._xlws.FILTER('Input Data'!$AA$20:$AA$963,('Input Data'!$B$20:$B$963=Changes!B19)*('Input Data'!$C$20:$C$963=Changes!C19),0)</f>
        <v>8472635.0218910407</v>
      </c>
      <c r="I19" s="313" cm="1">
        <f t="array" ref="I19">_xlfn._xlws.FILTER('[2]Input Data'!$AA$20:$AA$173,('[2]Input Data'!$B$20:$B$173=Changes!B19)*('[2]Input Data'!$C$20:$C$173=Changes!C19),0)</f>
        <v>8472635.0218910407</v>
      </c>
      <c r="J19" s="346" t="str" cm="1">
        <f t="array" ref="J19">_xlfn._xlws.FILTER('Input Data'!$E$20:$E$963,('Input Data'!$B$20:$B$963=Changes!B19)*('Input Data'!$C$20:$C$963=Changes!C19),0)</f>
        <v>Orbit</v>
      </c>
      <c r="K19" s="347" cm="1">
        <f t="array" ref="K19">_xlfn._xlws.FILTER('Input Data'!$L$20:$L$963,('Input Data'!$B$20:$B$963=Changes!B19)*('Input Data'!$C$20:$C$963=Changes!C19),0)</f>
        <v>45839</v>
      </c>
      <c r="L19" s="356" t="str" cm="1">
        <f t="array" ref="L19">_xlfn._xlws.FILTER('[2]Input Data'!$D$20:$D$173,('[2]Input Data'!$B$20:$B$173=Changes!B19)*('[2]Input Data'!$C$20:$C$173=Changes!C19),0)</f>
        <v>Orbit</v>
      </c>
      <c r="M19" s="314">
        <f>IFERROR(INDEX('Input Data'!$P$10:$P$14,MATCH(DATEDIF($M$4,G19,"M"),'Input Data'!$O$10:$O$14,1)),0)</f>
        <v>0.2</v>
      </c>
      <c r="N19" s="227"/>
      <c r="O19" s="227">
        <f>INDEX('Input Data'!$P$10:$P$14,MATCH(DATEDIF($O$4,G19,"M"),'Input Data'!$O$10:$O$14,1))</f>
        <v>0.2</v>
      </c>
      <c r="P19" s="204">
        <f t="shared" si="1"/>
        <v>0</v>
      </c>
      <c r="R19" cm="1">
        <f t="array" ref="R19">_xlfn.LET(_xlpm.current,INDEX('Input Data'!$M$20:$M$963,MATCH(Changes!B19&amp;"_"&amp;Changes!C19,'Input Data'!$B$20:$B$963&amp;"_"&amp;'Input Data'!$C$20:$C$963,0)),_xlpm.prev,INDEX('[2]Input Data'!$L$20:$L$173,MATCH(B19&amp;"_"&amp;C19,'[2]Input Data'!$B$20:$B$173&amp;"_"&amp;'[2]Input Data'!$C$20:$C$173,0)),
IF(OR(ISNA(_xlpm.current),ISNA(_xlpm.prev)),0,_xlpm.current-_xlpm.prev))</f>
        <v>0</v>
      </c>
      <c r="S19" s="186" t="b">
        <f t="shared" si="2"/>
        <v>0</v>
      </c>
      <c r="T19" t="str" cm="1">
        <f t="array" ref="T19">IFERROR(_xlfn._xlws.FILTER('Input Data'!$N$20:$N$963,('Input Data'!$B$20:$B$963=Changes!B19)*('Input Data'!$C$20:$C$963=Changes!C19)),_xlfn._xlws.FILTER('[2]Input Data'!$M$20:$M$173,('[2]Input Data'!$B$20:$B$173=Changes!B19)*('[2]Input Data'!$C$20:$C$173=Changes!C19)))</f>
        <v>Thales Alenia Space France (Cannes)</v>
      </c>
      <c r="V19" s="348"/>
      <c r="W19" s="227"/>
      <c r="AB19" s="180" t="s">
        <v>32</v>
      </c>
      <c r="AC19" s="235">
        <f>AC14/AC9-1</f>
        <v>-3.8148705739129429E-2</v>
      </c>
      <c r="AD19" s="220">
        <f t="shared" si="8"/>
        <v>0.10975526078799613</v>
      </c>
      <c r="AE19" s="221">
        <f t="shared" si="9"/>
        <v>-2.1180539107908514E-2</v>
      </c>
      <c r="AF19" s="245">
        <f t="shared" si="9"/>
        <v>3.7136984605138368E-2</v>
      </c>
      <c r="AH19" s="180" t="s">
        <v>32</v>
      </c>
      <c r="AI19" s="238">
        <f>AI14/AI9-1</f>
        <v>-4.9761291472315783E-2</v>
      </c>
      <c r="AJ19" s="232">
        <f t="shared" ref="AJ19" si="11">AJ14/AJ9-1</f>
        <v>0.42492545128553361</v>
      </c>
      <c r="AK19" s="233">
        <f t="shared" si="10"/>
        <v>-1.9352098398439654E-4</v>
      </c>
    </row>
    <row r="20" spans="1:41" x14ac:dyDescent="0.35">
      <c r="A20">
        <f t="shared" si="0"/>
        <v>1</v>
      </c>
      <c r="B20" s="315">
        <v>344558</v>
      </c>
      <c r="C20" s="282">
        <v>8</v>
      </c>
      <c r="D20" s="282" t="str">
        <v>W5A/E70B</v>
      </c>
      <c r="E20" s="282" t="str">
        <v>FIID</v>
      </c>
      <c r="F20" s="282" t="str">
        <v>GEO-GSO</v>
      </c>
      <c r="G20" s="283" cm="1">
        <f t="array" ref="G20">_xlfn.IFNA(INDEX('Input Data'!$M$20:$M$963,MATCH(Changes!B20&amp;"_"&amp;Changes!C20,'Input Data'!$B$20:$B$963&amp;"_"&amp;'Input Data'!$C$20:$C$963,0)),INDEX('[2]Input Data'!$L$20:$L$158,MATCH(B20&amp;"_"&amp;C20,'[2]Input Data'!$B$20:$B$158&amp;"_"&amp;'[2]Input Data'!$C$20:$C$158,0)))</f>
        <v>46203</v>
      </c>
      <c r="H20" s="313" cm="1">
        <f t="array" ref="H20">_xlfn._xlws.FILTER('Input Data'!$AA$20:$AA$963,('Input Data'!$B$20:$B$963=Changes!B20)*('Input Data'!$C$20:$C$963=Changes!C20),0)</f>
        <v>8104725.6319345096</v>
      </c>
      <c r="I20" s="313" cm="1">
        <f t="array" ref="I20">_xlfn._xlws.FILTER('[2]Input Data'!$AA$20:$AA$173,('[2]Input Data'!$B$20:$B$173=Changes!B20)*('[2]Input Data'!$C$20:$C$173=Changes!C20),0)</f>
        <v>8104725.6319345096</v>
      </c>
      <c r="J20" s="346" t="str" cm="1">
        <f t="array" ref="J20">_xlfn._xlws.FILTER('Input Data'!$E$20:$E$963,('Input Data'!$B$20:$B$963=Changes!B20)*('Input Data'!$C$20:$C$963=Changes!C20),0)</f>
        <v>Orbit</v>
      </c>
      <c r="K20" s="347" cm="1">
        <f t="array" ref="K20">_xlfn._xlws.FILTER('Input Data'!$L$20:$L$963,('Input Data'!$B$20:$B$963=Changes!B20)*('Input Data'!$C$20:$C$963=Changes!C20),0)</f>
        <v>45839</v>
      </c>
      <c r="L20" s="356" t="str" cm="1">
        <f t="array" ref="L20">_xlfn._xlws.FILTER('[2]Input Data'!$D$20:$D$173,('[2]Input Data'!$B$20:$B$173=Changes!B20)*('[2]Input Data'!$C$20:$C$173=Changes!C20),0)</f>
        <v>Orbit</v>
      </c>
      <c r="M20" s="314">
        <f>IFERROR(INDEX('Input Data'!$P$10:$P$14,MATCH(DATEDIF($M$4,G20,"M"),'Input Data'!$O$10:$O$14,1)),0)</f>
        <v>0.2</v>
      </c>
      <c r="N20" s="227"/>
      <c r="O20" s="227">
        <f>INDEX('Input Data'!$P$10:$P$14,MATCH(DATEDIF($O$4,G20,"M"),'Input Data'!$O$10:$O$14,1))</f>
        <v>0.2</v>
      </c>
      <c r="P20" s="204">
        <f t="shared" si="1"/>
        <v>0</v>
      </c>
      <c r="R20" cm="1">
        <f t="array" ref="R20">_xlfn.LET(_xlpm.current,INDEX('Input Data'!$M$20:$M$963,MATCH(Changes!B20&amp;"_"&amp;Changes!C20,'Input Data'!$B$20:$B$963&amp;"_"&amp;'Input Data'!$C$20:$C$963,0)),_xlpm.prev,INDEX('[2]Input Data'!$L$20:$L$173,MATCH(B20&amp;"_"&amp;C20,'[2]Input Data'!$B$20:$B$173&amp;"_"&amp;'[2]Input Data'!$C$20:$C$173,0)),
IF(OR(ISNA(_xlpm.current),ISNA(_xlpm.prev)),0,_xlpm.current-_xlpm.prev))</f>
        <v>0</v>
      </c>
      <c r="S20" s="186" t="b">
        <f t="shared" si="2"/>
        <v>0</v>
      </c>
      <c r="T20" t="str" cm="1">
        <f t="array" ref="T20">IFERROR(_xlfn._xlws.FILTER('Input Data'!$N$20:$N$963,('Input Data'!$B$20:$B$963=Changes!B20)*('Input Data'!$C$20:$C$963=Changes!C20)),_xlfn._xlws.FILTER('[2]Input Data'!$M$20:$M$173,('[2]Input Data'!$B$20:$B$173=Changes!B20)*('[2]Input Data'!$C$20:$C$173=Changes!C20)))</f>
        <v>Astrium Satellites SAS (Toulouse) (Part of EADS)</v>
      </c>
      <c r="V20" s="348"/>
      <c r="W20" s="227"/>
      <c r="AC20" s="348"/>
      <c r="AD20" s="433"/>
      <c r="AH20" s="249" t="s">
        <v>390</v>
      </c>
    </row>
    <row r="21" spans="1:41" x14ac:dyDescent="0.35">
      <c r="A21">
        <f t="shared" si="0"/>
        <v>1</v>
      </c>
      <c r="B21" s="315">
        <v>344558</v>
      </c>
      <c r="C21" s="282">
        <v>9</v>
      </c>
      <c r="D21" s="282" t="str">
        <v>W3D/E3D</v>
      </c>
      <c r="E21" s="282" t="str">
        <v>FIID</v>
      </c>
      <c r="F21" s="282" t="str">
        <v>GEO-GSO</v>
      </c>
      <c r="G21" s="283" cm="1">
        <f t="array" ref="G21">_xlfn.IFNA(INDEX('Input Data'!$M$20:$M$963,MATCH(Changes!B21&amp;"_"&amp;Changes!C21,'Input Data'!$B$20:$B$963&amp;"_"&amp;'Input Data'!$C$20:$C$963,0)),INDEX('[2]Input Data'!$L$20:$L$158,MATCH(B21&amp;"_"&amp;C21,'[2]Input Data'!$B$20:$B$158&amp;"_"&amp;'[2]Input Data'!$C$20:$C$158,0)))</f>
        <v>46203</v>
      </c>
      <c r="H21" s="313" cm="1">
        <f t="array" ref="H21">_xlfn._xlws.FILTER('Input Data'!$AA$20:$AA$963,('Input Data'!$B$20:$B$963=Changes!B21)*('Input Data'!$C$20:$C$963=Changes!C21),0)</f>
        <v>4138792.8983068601</v>
      </c>
      <c r="I21" s="313" cm="1">
        <f t="array" ref="I21">_xlfn._xlws.FILTER('[2]Input Data'!$AA$20:$AA$173,('[2]Input Data'!$B$20:$B$173=Changes!B21)*('[2]Input Data'!$C$20:$C$173=Changes!C21),0)</f>
        <v>4138792.8983068601</v>
      </c>
      <c r="J21" s="346" t="str" cm="1">
        <f t="array" ref="J21">_xlfn._xlws.FILTER('Input Data'!$E$20:$E$963,('Input Data'!$B$20:$B$963=Changes!B21)*('Input Data'!$C$20:$C$963=Changes!C21),0)</f>
        <v>Orbit</v>
      </c>
      <c r="K21" s="347" cm="1">
        <f t="array" ref="K21">_xlfn._xlws.FILTER('Input Data'!$L$20:$L$963,('Input Data'!$B$20:$B$963=Changes!B21)*('Input Data'!$C$20:$C$963=Changes!C21),0)</f>
        <v>45839</v>
      </c>
      <c r="L21" s="356" t="str" cm="1">
        <f t="array" ref="L21">_xlfn._xlws.FILTER('[2]Input Data'!$D$20:$D$173,('[2]Input Data'!$B$20:$B$173=Changes!B21)*('[2]Input Data'!$C$20:$C$173=Changes!C21),0)</f>
        <v>Orbit</v>
      </c>
      <c r="M21" s="314">
        <f>IFERROR(INDEX('Input Data'!$P$10:$P$14,MATCH(DATEDIF($M$4,G21,"M"),'Input Data'!$O$10:$O$14,1)),0)</f>
        <v>0.2</v>
      </c>
      <c r="N21" s="227"/>
      <c r="O21" s="227">
        <f>INDEX('Input Data'!$P$10:$P$14,MATCH(DATEDIF($O$4,G21,"M"),'Input Data'!$O$10:$O$14,1))</f>
        <v>0.2</v>
      </c>
      <c r="P21" s="204">
        <f t="shared" si="1"/>
        <v>0</v>
      </c>
      <c r="R21" cm="1">
        <f t="array" ref="R21">_xlfn.LET(_xlpm.current,INDEX('Input Data'!$M$20:$M$963,MATCH(Changes!B21&amp;"_"&amp;Changes!C21,'Input Data'!$B$20:$B$963&amp;"_"&amp;'Input Data'!$C$20:$C$963,0)),_xlpm.prev,INDEX('[2]Input Data'!$L$20:$L$173,MATCH(B21&amp;"_"&amp;C21,'[2]Input Data'!$B$20:$B$173&amp;"_"&amp;'[2]Input Data'!$C$20:$C$173,0)),
IF(OR(ISNA(_xlpm.current),ISNA(_xlpm.prev)),0,_xlpm.current-_xlpm.prev))</f>
        <v>0</v>
      </c>
      <c r="S21" s="186" t="b">
        <f t="shared" si="2"/>
        <v>0</v>
      </c>
      <c r="T21" t="str" cm="1">
        <f t="array" ref="T21">IFERROR(_xlfn._xlws.FILTER('Input Data'!$N$20:$N$963,('Input Data'!$B$20:$B$963=Changes!B21)*('Input Data'!$C$20:$C$963=Changes!C21)),_xlfn._xlws.FILTER('[2]Input Data'!$M$20:$M$173,('[2]Input Data'!$B$20:$B$173=Changes!B21)*('[2]Input Data'!$C$20:$C$173=Changes!C21)))</f>
        <v>Thales Alenia Space France (Cannes)</v>
      </c>
      <c r="V21" s="348"/>
      <c r="W21" s="227"/>
      <c r="AH21" s="180" t="s">
        <v>389</v>
      </c>
      <c r="AI21" s="180" t="s">
        <v>39</v>
      </c>
      <c r="AJ21" s="180" t="s">
        <v>36</v>
      </c>
      <c r="AK21" s="180" t="s">
        <v>40</v>
      </c>
    </row>
    <row r="22" spans="1:41" x14ac:dyDescent="0.35">
      <c r="A22">
        <f t="shared" si="0"/>
        <v>1</v>
      </c>
      <c r="B22" s="315">
        <v>344558</v>
      </c>
      <c r="C22" s="282">
        <v>10</v>
      </c>
      <c r="D22" s="282" t="str">
        <v>E3B</v>
      </c>
      <c r="E22" s="282" t="str">
        <v>FIID</v>
      </c>
      <c r="F22" s="282" t="str">
        <v>GEO-GSO</v>
      </c>
      <c r="G22" s="283" cm="1">
        <f t="array" ref="G22">_xlfn.IFNA(INDEX('Input Data'!$M$20:$M$963,MATCH(Changes!B22&amp;"_"&amp;Changes!C22,'Input Data'!$B$20:$B$963&amp;"_"&amp;'Input Data'!$C$20:$C$963,0)),INDEX('[2]Input Data'!$L$20:$L$158,MATCH(B22&amp;"_"&amp;C22,'[2]Input Data'!$B$20:$B$158&amp;"_"&amp;'[2]Input Data'!$C$20:$C$158,0)))</f>
        <v>46203</v>
      </c>
      <c r="H22" s="313" cm="1">
        <f t="array" ref="H22">_xlfn._xlws.FILTER('Input Data'!$AA$20:$AA$963,('Input Data'!$B$20:$B$963=Changes!B22)*('Input Data'!$C$20:$C$963=Changes!C22),0)</f>
        <v>8995750.7919540908</v>
      </c>
      <c r="I22" s="313" cm="1">
        <f t="array" ref="I22">_xlfn._xlws.FILTER('[2]Input Data'!$AA$20:$AA$173,('[2]Input Data'!$B$20:$B$173=Changes!B22)*('[2]Input Data'!$C$20:$C$173=Changes!C22),0)</f>
        <v>8995750.7919540908</v>
      </c>
      <c r="J22" s="346" t="str" cm="1">
        <f t="array" ref="J22">_xlfn._xlws.FILTER('Input Data'!$E$20:$E$963,('Input Data'!$B$20:$B$963=Changes!B22)*('Input Data'!$C$20:$C$963=Changes!C22),0)</f>
        <v>Orbit</v>
      </c>
      <c r="K22" s="347" cm="1">
        <f t="array" ref="K22">_xlfn._xlws.FILTER('Input Data'!$L$20:$L$963,('Input Data'!$B$20:$B$963=Changes!B22)*('Input Data'!$C$20:$C$963=Changes!C22),0)</f>
        <v>45839</v>
      </c>
      <c r="L22" s="356" t="str" cm="1">
        <f t="array" ref="L22">_xlfn._xlws.FILTER('[2]Input Data'!$D$20:$D$173,('[2]Input Data'!$B$20:$B$173=Changes!B22)*('[2]Input Data'!$C$20:$C$173=Changes!C22),0)</f>
        <v>Orbit</v>
      </c>
      <c r="M22" s="314">
        <f>IFERROR(INDEX('Input Data'!$P$10:$P$14,MATCH(DATEDIF($M$4,G22,"M"),'Input Data'!$O$10:$O$14,1)),0)</f>
        <v>0.2</v>
      </c>
      <c r="N22" s="227"/>
      <c r="O22" s="227">
        <f>INDEX('Input Data'!$P$10:$P$14,MATCH(DATEDIF($O$4,G22,"M"),'Input Data'!$O$10:$O$14,1))</f>
        <v>0.2</v>
      </c>
      <c r="P22" s="204">
        <f t="shared" si="1"/>
        <v>0</v>
      </c>
      <c r="R22" cm="1">
        <f t="array" ref="R22">_xlfn.LET(_xlpm.current,INDEX('Input Data'!$M$20:$M$963,MATCH(Changes!B22&amp;"_"&amp;Changes!C22,'Input Data'!$B$20:$B$963&amp;"_"&amp;'Input Data'!$C$20:$C$963,0)),_xlpm.prev,INDEX('[2]Input Data'!$L$20:$L$173,MATCH(B22&amp;"_"&amp;C22,'[2]Input Data'!$B$20:$B$173&amp;"_"&amp;'[2]Input Data'!$C$20:$C$173,0)),
IF(OR(ISNA(_xlpm.current),ISNA(_xlpm.prev)),0,_xlpm.current-_xlpm.prev))</f>
        <v>0</v>
      </c>
      <c r="S22" s="186" t="b">
        <f t="shared" si="2"/>
        <v>0</v>
      </c>
      <c r="T22" t="str" cm="1">
        <f t="array" ref="T22">IFERROR(_xlfn._xlws.FILTER('Input Data'!$N$20:$N$963,('Input Data'!$B$20:$B$963=Changes!B22)*('Input Data'!$C$20:$C$963=Changes!C22)),_xlfn._xlws.FILTER('[2]Input Data'!$M$20:$M$173,('[2]Input Data'!$B$20:$B$173=Changes!B22)*('[2]Input Data'!$C$20:$C$173=Changes!C22)))</f>
        <v>Airbus Defence and Space (Toulouse)</v>
      </c>
      <c r="V22" s="348"/>
      <c r="W22" s="227"/>
      <c r="AH22" s="180" t="s">
        <v>29</v>
      </c>
      <c r="AI22" s="246">
        <f>AI17-'Change Narrative (Gen Defect)'!H18</f>
        <v>-1.8887668782854861E-2</v>
      </c>
      <c r="AJ22" s="216">
        <f>AC17-'Change Narrative (Proton Flare)'!H18</f>
        <v>2.2204460492503131E-16</v>
      </c>
      <c r="AK22" s="217">
        <f>AF17-'Change Narrative (Space Debris)'!H19</f>
        <v>4.4408920985006262E-16</v>
      </c>
    </row>
    <row r="23" spans="1:41" x14ac:dyDescent="0.35">
      <c r="A23">
        <f t="shared" si="0"/>
        <v>1</v>
      </c>
      <c r="B23" s="315">
        <v>344558</v>
      </c>
      <c r="C23" s="282">
        <v>11</v>
      </c>
      <c r="D23" s="282" t="str">
        <v>E9B</v>
      </c>
      <c r="E23" s="282" t="str">
        <v>FIID</v>
      </c>
      <c r="F23" s="282" t="str">
        <v>GEO-GSO</v>
      </c>
      <c r="G23" s="283" cm="1">
        <f t="array" ref="G23">_xlfn.IFNA(INDEX('Input Data'!$M$20:$M$963,MATCH(Changes!B23&amp;"_"&amp;Changes!C23,'Input Data'!$B$20:$B$963&amp;"_"&amp;'Input Data'!$C$20:$C$963,0)),INDEX('[2]Input Data'!$L$20:$L$158,MATCH(B23&amp;"_"&amp;C23,'[2]Input Data'!$B$20:$B$158&amp;"_"&amp;'[2]Input Data'!$C$20:$C$158,0)))</f>
        <v>46203</v>
      </c>
      <c r="H23" s="313" cm="1">
        <f t="array" ref="H23">_xlfn._xlws.FILTER('Input Data'!$AA$20:$AA$963,('Input Data'!$B$20:$B$963=Changes!B23)*('Input Data'!$C$20:$C$963=Changes!C23),0)</f>
        <v>6455847.12958916</v>
      </c>
      <c r="I23" s="313" cm="1">
        <f t="array" ref="I23">_xlfn._xlws.FILTER('[2]Input Data'!$AA$20:$AA$173,('[2]Input Data'!$B$20:$B$173=Changes!B23)*('[2]Input Data'!$C$20:$C$173=Changes!C23),0)</f>
        <v>6455847.12958916</v>
      </c>
      <c r="J23" s="346" t="str" cm="1">
        <f t="array" ref="J23">_xlfn._xlws.FILTER('Input Data'!$E$20:$E$963,('Input Data'!$B$20:$B$963=Changes!B23)*('Input Data'!$C$20:$C$963=Changes!C23),0)</f>
        <v>Orbit</v>
      </c>
      <c r="K23" s="347" cm="1">
        <f t="array" ref="K23">_xlfn._xlws.FILTER('Input Data'!$L$20:$L$963,('Input Data'!$B$20:$B$963=Changes!B23)*('Input Data'!$C$20:$C$963=Changes!C23),0)</f>
        <v>45839</v>
      </c>
      <c r="L23" s="356" t="str" cm="1">
        <f t="array" ref="L23">_xlfn._xlws.FILTER('[2]Input Data'!$D$20:$D$173,('[2]Input Data'!$B$20:$B$173=Changes!B23)*('[2]Input Data'!$C$20:$C$173=Changes!C23),0)</f>
        <v>Orbit</v>
      </c>
      <c r="M23" s="314">
        <f>IFERROR(INDEX('Input Data'!$P$10:$P$14,MATCH(DATEDIF($M$4,G23,"M"),'Input Data'!$O$10:$O$14,1)),0)</f>
        <v>0.2</v>
      </c>
      <c r="N23" s="227"/>
      <c r="O23" s="227">
        <f>INDEX('Input Data'!$P$10:$P$14,MATCH(DATEDIF($O$4,G23,"M"),'Input Data'!$O$10:$O$14,1))</f>
        <v>0.2</v>
      </c>
      <c r="P23" s="204">
        <f t="shared" si="1"/>
        <v>0</v>
      </c>
      <c r="R23" cm="1">
        <f t="array" ref="R23">_xlfn.LET(_xlpm.current,INDEX('Input Data'!$M$20:$M$963,MATCH(Changes!B23&amp;"_"&amp;Changes!C23,'Input Data'!$B$20:$B$963&amp;"_"&amp;'Input Data'!$C$20:$C$963,0)),_xlpm.prev,INDEX('[2]Input Data'!$L$20:$L$173,MATCH(B23&amp;"_"&amp;C23,'[2]Input Data'!$B$20:$B$173&amp;"_"&amp;'[2]Input Data'!$C$20:$C$173,0)),
IF(OR(ISNA(_xlpm.current),ISNA(_xlpm.prev)),0,_xlpm.current-_xlpm.prev))</f>
        <v>0</v>
      </c>
      <c r="S23" s="186" t="b">
        <f t="shared" si="2"/>
        <v>0</v>
      </c>
      <c r="T23" t="str" cm="1">
        <f t="array" ref="T23">IFERROR(_xlfn._xlws.FILTER('Input Data'!$N$20:$N$963,('Input Data'!$B$20:$B$963=Changes!B23)*('Input Data'!$C$20:$C$963=Changes!C23)),_xlfn._xlws.FILTER('[2]Input Data'!$M$20:$M$173,('[2]Input Data'!$B$20:$B$173=Changes!B23)*('[2]Input Data'!$C$20:$C$173=Changes!C23)))</f>
        <v>Astrium Satellites SAS (Toulouse) (Part of EADS)</v>
      </c>
      <c r="V23" s="348"/>
      <c r="W23" s="227"/>
      <c r="AH23" s="180" t="s">
        <v>31</v>
      </c>
      <c r="AI23" s="247">
        <f>AI18-'Change Narrative (Gen Defect)'!H20</f>
        <v>0</v>
      </c>
      <c r="AJ23" s="218">
        <f>AC18-'Change Narrative (Proton Flare)'!H20</f>
        <v>1.1102230246251565E-16</v>
      </c>
      <c r="AK23" s="219">
        <f>AF18-'Change Narrative (Space Debris)'!H21</f>
        <v>0</v>
      </c>
    </row>
    <row r="24" spans="1:41" x14ac:dyDescent="0.35">
      <c r="A24">
        <f t="shared" si="0"/>
        <v>1</v>
      </c>
      <c r="B24" s="315">
        <v>344558</v>
      </c>
      <c r="C24" s="282">
        <v>12</v>
      </c>
      <c r="D24" s="282" t="str">
        <v>E117WB (S9)</v>
      </c>
      <c r="E24" s="282" t="str">
        <v>FIID</v>
      </c>
      <c r="F24" s="282" t="str">
        <v>GEO-GSO</v>
      </c>
      <c r="G24" s="283" cm="1">
        <f t="array" ref="G24">_xlfn.IFNA(INDEX('Input Data'!$M$20:$M$963,MATCH(Changes!B24&amp;"_"&amp;Changes!C24,'Input Data'!$B$20:$B$963&amp;"_"&amp;'Input Data'!$C$20:$C$963,0)),INDEX('[2]Input Data'!$L$20:$L$158,MATCH(B24&amp;"_"&amp;C24,'[2]Input Data'!$B$20:$B$158&amp;"_"&amp;'[2]Input Data'!$C$20:$C$158,0)))</f>
        <v>46203</v>
      </c>
      <c r="H24" s="313" cm="1">
        <f t="array" ref="H24">_xlfn._xlws.FILTER('Input Data'!$AA$20:$AA$963,('Input Data'!$B$20:$B$963=Changes!B24)*('Input Data'!$C$20:$C$963=Changes!C24),0)</f>
        <v>4388314.4383435603</v>
      </c>
      <c r="I24" s="313" cm="1">
        <f t="array" ref="I24">_xlfn._xlws.FILTER('[2]Input Data'!$AA$20:$AA$173,('[2]Input Data'!$B$20:$B$173=Changes!B24)*('[2]Input Data'!$C$20:$C$173=Changes!C24),0)</f>
        <v>4388314.4383435603</v>
      </c>
      <c r="J24" s="346" t="str" cm="1">
        <f t="array" ref="J24">_xlfn._xlws.FILTER('Input Data'!$E$20:$E$963,('Input Data'!$B$20:$B$963=Changes!B24)*('Input Data'!$C$20:$C$963=Changes!C24),0)</f>
        <v>Orbit</v>
      </c>
      <c r="K24" s="347" cm="1">
        <f t="array" ref="K24">_xlfn._xlws.FILTER('Input Data'!$L$20:$L$963,('Input Data'!$B$20:$B$963=Changes!B24)*('Input Data'!$C$20:$C$963=Changes!C24),0)</f>
        <v>45839</v>
      </c>
      <c r="L24" s="356" t="str" cm="1">
        <f t="array" ref="L24">_xlfn._xlws.FILTER('[2]Input Data'!$D$20:$D$173,('[2]Input Data'!$B$20:$B$173=Changes!B24)*('[2]Input Data'!$C$20:$C$173=Changes!C24),0)</f>
        <v>Orbit</v>
      </c>
      <c r="M24" s="314">
        <f>IFERROR(INDEX('Input Data'!$P$10:$P$14,MATCH(DATEDIF($M$4,G24,"M"),'Input Data'!$O$10:$O$14,1)),0)</f>
        <v>0.2</v>
      </c>
      <c r="N24" s="227"/>
      <c r="O24" s="227">
        <f>INDEX('Input Data'!$P$10:$P$14,MATCH(DATEDIF($O$4,G24,"M"),'Input Data'!$O$10:$O$14,1))</f>
        <v>0.2</v>
      </c>
      <c r="P24" s="204">
        <f t="shared" si="1"/>
        <v>0</v>
      </c>
      <c r="R24" cm="1">
        <f t="array" ref="R24">_xlfn.LET(_xlpm.current,INDEX('Input Data'!$M$20:$M$963,MATCH(Changes!B24&amp;"_"&amp;Changes!C24,'Input Data'!$B$20:$B$963&amp;"_"&amp;'Input Data'!$C$20:$C$963,0)),_xlpm.prev,INDEX('[2]Input Data'!$L$20:$L$173,MATCH(B24&amp;"_"&amp;C24,'[2]Input Data'!$B$20:$B$173&amp;"_"&amp;'[2]Input Data'!$C$20:$C$173,0)),
IF(OR(ISNA(_xlpm.current),ISNA(_xlpm.prev)),0,_xlpm.current-_xlpm.prev))</f>
        <v>0</v>
      </c>
      <c r="S24" s="186" t="b">
        <f t="shared" si="2"/>
        <v>0</v>
      </c>
      <c r="T24" t="str" cm="1">
        <f t="array" ref="T24">IFERROR(_xlfn._xlws.FILTER('Input Data'!$N$20:$N$963,('Input Data'!$B$20:$B$963=Changes!B24)*('Input Data'!$C$20:$C$963=Changes!C24)),_xlfn._xlws.FILTER('[2]Input Data'!$M$20:$M$173,('[2]Input Data'!$B$20:$B$173=Changes!B24)*('[2]Input Data'!$C$20:$C$173=Changes!C24)))</f>
        <v>Boeing Satellite Systems Inc.</v>
      </c>
      <c r="V24" s="348"/>
      <c r="W24" s="227"/>
      <c r="AH24" s="180" t="s">
        <v>32</v>
      </c>
      <c r="AI24" s="248">
        <f>AI19-'Change Narrative (Gen Defect)'!H17</f>
        <v>-8.2322489822365341E-2</v>
      </c>
      <c r="AJ24" s="220">
        <f>AC19-'Change Narrative (Proton Flare)'!H17</f>
        <v>-6.668013094876013E-2</v>
      </c>
      <c r="AK24" s="221">
        <f>AF19-'Change Narrative (Space Debris)'!H18</f>
        <v>-0.13161908570396741</v>
      </c>
      <c r="AL24" s="71" t="s">
        <v>432</v>
      </c>
    </row>
    <row r="25" spans="1:41" x14ac:dyDescent="0.35">
      <c r="A25">
        <f t="shared" si="0"/>
        <v>1</v>
      </c>
      <c r="B25" s="315">
        <v>344558</v>
      </c>
      <c r="C25" s="282">
        <v>13</v>
      </c>
      <c r="D25" s="282" t="str">
        <v>E8WB</v>
      </c>
      <c r="E25" s="282" t="str">
        <v>FIID</v>
      </c>
      <c r="F25" s="282" t="str">
        <v>GEO-GSO</v>
      </c>
      <c r="G25" s="283" cm="1">
        <f t="array" ref="G25">_xlfn.IFNA(INDEX('Input Data'!$M$20:$M$963,MATCH(Changes!B25&amp;"_"&amp;Changes!C25,'Input Data'!$B$20:$B$963&amp;"_"&amp;'Input Data'!$C$20:$C$963,0)),INDEX('[2]Input Data'!$L$20:$L$158,MATCH(B25&amp;"_"&amp;C25,'[2]Input Data'!$B$20:$B$158&amp;"_"&amp;'[2]Input Data'!$C$20:$C$158,0)))</f>
        <v>46203</v>
      </c>
      <c r="H25" s="313" cm="1">
        <f t="array" ref="H25">_xlfn._xlws.FILTER('Input Data'!$AA$20:$AA$963,('Input Data'!$B$20:$B$963=Changes!B25)*('Input Data'!$C$20:$C$963=Changes!C25),0)</f>
        <v>18484934.5591661</v>
      </c>
      <c r="I25" s="313" cm="1">
        <f t="array" ref="I25">_xlfn._xlws.FILTER('[2]Input Data'!$AA$20:$AA$173,('[2]Input Data'!$B$20:$B$173=Changes!B25)*('[2]Input Data'!$C$20:$C$173=Changes!C25),0)</f>
        <v>18484934.5591661</v>
      </c>
      <c r="J25" s="346" t="str" cm="1">
        <f t="array" ref="J25">_xlfn._xlws.FILTER('Input Data'!$E$20:$E$963,('Input Data'!$B$20:$B$963=Changes!B25)*('Input Data'!$C$20:$C$963=Changes!C25),0)</f>
        <v>Orbit</v>
      </c>
      <c r="K25" s="347" cm="1">
        <f t="array" ref="K25">_xlfn._xlws.FILTER('Input Data'!$L$20:$L$963,('Input Data'!$B$20:$B$963=Changes!B25)*('Input Data'!$C$20:$C$963=Changes!C25),0)</f>
        <v>45839</v>
      </c>
      <c r="L25" s="356" t="str" cm="1">
        <f t="array" ref="L25">_xlfn._xlws.FILTER('[2]Input Data'!$D$20:$D$173,('[2]Input Data'!$B$20:$B$173=Changes!B25)*('[2]Input Data'!$C$20:$C$173=Changes!C25),0)</f>
        <v>Orbit</v>
      </c>
      <c r="M25" s="314">
        <f>IFERROR(INDEX('Input Data'!$P$10:$P$14,MATCH(DATEDIF($M$4,G25,"M"),'Input Data'!$O$10:$O$14,1)),0)</f>
        <v>0.2</v>
      </c>
      <c r="N25" s="227"/>
      <c r="O25" s="227">
        <f>INDEX('Input Data'!$P$10:$P$14,MATCH(DATEDIF($O$4,G25,"M"),'Input Data'!$O$10:$O$14,1))</f>
        <v>0.2</v>
      </c>
      <c r="P25" s="204">
        <f t="shared" si="1"/>
        <v>0</v>
      </c>
      <c r="R25" cm="1">
        <f t="array" ref="R25">_xlfn.LET(_xlpm.current,INDEX('Input Data'!$M$20:$M$963,MATCH(Changes!B25&amp;"_"&amp;Changes!C25,'Input Data'!$B$20:$B$963&amp;"_"&amp;'Input Data'!$C$20:$C$963,0)),_xlpm.prev,INDEX('[2]Input Data'!$L$20:$L$173,MATCH(B25&amp;"_"&amp;C25,'[2]Input Data'!$B$20:$B$173&amp;"_"&amp;'[2]Input Data'!$C$20:$C$173,0)),
IF(OR(ISNA(_xlpm.current),ISNA(_xlpm.prev)),0,_xlpm.current-_xlpm.prev))</f>
        <v>0</v>
      </c>
      <c r="S25" s="186" t="b">
        <f t="shared" si="2"/>
        <v>0</v>
      </c>
      <c r="T25" t="str" cm="1">
        <f t="array" ref="T25">IFERROR(_xlfn._xlws.FILTER('Input Data'!$N$20:$N$963,('Input Data'!$B$20:$B$963=Changes!B25)*('Input Data'!$C$20:$C$963=Changes!C25)),_xlfn._xlws.FILTER('[2]Input Data'!$M$20:$M$173,('[2]Input Data'!$B$20:$B$173=Changes!B25)*('[2]Input Data'!$C$20:$C$173=Changes!C25)))</f>
        <v>Thales Alenia Space France (Cannes)</v>
      </c>
      <c r="V25" s="348"/>
      <c r="W25" s="227"/>
    </row>
    <row r="26" spans="1:41" x14ac:dyDescent="0.35">
      <c r="A26">
        <f t="shared" si="0"/>
        <v>1</v>
      </c>
      <c r="B26" s="315">
        <v>344558</v>
      </c>
      <c r="C26" s="282">
        <v>14</v>
      </c>
      <c r="D26" s="282" t="str">
        <v>E36C</v>
      </c>
      <c r="E26" s="282" t="str">
        <v>FIID</v>
      </c>
      <c r="F26" s="282" t="str">
        <v>GEO-GSO</v>
      </c>
      <c r="G26" s="283" cm="1">
        <f t="array" ref="G26">_xlfn.IFNA(INDEX('Input Data'!$M$20:$M$963,MATCH(Changes!B26&amp;"_"&amp;Changes!C26,'Input Data'!$B$20:$B$963&amp;"_"&amp;'Input Data'!$C$20:$C$963,0)),INDEX('[2]Input Data'!$L$20:$L$158,MATCH(B26&amp;"_"&amp;C26,'[2]Input Data'!$B$20:$B$158&amp;"_"&amp;'[2]Input Data'!$C$20:$C$158,0)))</f>
        <v>46203</v>
      </c>
      <c r="H26" s="313" cm="1">
        <f t="array" ref="H26">_xlfn._xlws.FILTER('Input Data'!$AA$20:$AA$963,('Input Data'!$B$20:$B$963=Changes!B26)*('Input Data'!$C$20:$C$963=Changes!C26),0)</f>
        <v>11617716.6076576</v>
      </c>
      <c r="I26" s="313" cm="1">
        <f t="array" ref="I26">_xlfn._xlws.FILTER('[2]Input Data'!$AA$20:$AA$173,('[2]Input Data'!$B$20:$B$173=Changes!B26)*('[2]Input Data'!$C$20:$C$173=Changes!C26),0)</f>
        <v>11617716.6076576</v>
      </c>
      <c r="J26" s="346" t="str" cm="1">
        <f t="array" ref="J26">_xlfn._xlws.FILTER('Input Data'!$E$20:$E$963,('Input Data'!$B$20:$B$963=Changes!B26)*('Input Data'!$C$20:$C$963=Changes!C26),0)</f>
        <v>Orbit</v>
      </c>
      <c r="K26" s="347" cm="1">
        <f t="array" ref="K26">_xlfn._xlws.FILTER('Input Data'!$L$20:$L$963,('Input Data'!$B$20:$B$963=Changes!B26)*('Input Data'!$C$20:$C$963=Changes!C26),0)</f>
        <v>45839</v>
      </c>
      <c r="L26" s="356" t="str" cm="1">
        <f t="array" ref="L26">_xlfn._xlws.FILTER('[2]Input Data'!$D$20:$D$173,('[2]Input Data'!$B$20:$B$173=Changes!B26)*('[2]Input Data'!$C$20:$C$173=Changes!C26),0)</f>
        <v>Orbit</v>
      </c>
      <c r="M26" s="314">
        <f>IFERROR(INDEX('Input Data'!$P$10:$P$14,MATCH(DATEDIF($M$4,G26,"M"),'Input Data'!$O$10:$O$14,1)),0)</f>
        <v>0.2</v>
      </c>
      <c r="N26" s="227"/>
      <c r="O26" s="227">
        <f>INDEX('Input Data'!$P$10:$P$14,MATCH(DATEDIF($O$4,G26,"M"),'Input Data'!$O$10:$O$14,1))</f>
        <v>0.2</v>
      </c>
      <c r="P26" s="204">
        <f t="shared" si="1"/>
        <v>0</v>
      </c>
      <c r="R26" cm="1">
        <f t="array" ref="R26">_xlfn.LET(_xlpm.current,INDEX('Input Data'!$M$20:$M$963,MATCH(Changes!B26&amp;"_"&amp;Changes!C26,'Input Data'!$B$20:$B$963&amp;"_"&amp;'Input Data'!$C$20:$C$963,0)),_xlpm.prev,INDEX('[2]Input Data'!$L$20:$L$173,MATCH(B26&amp;"_"&amp;C26,'[2]Input Data'!$B$20:$B$173&amp;"_"&amp;'[2]Input Data'!$C$20:$C$173,0)),
IF(OR(ISNA(_xlpm.current),ISNA(_xlpm.prev)),0,_xlpm.current-_xlpm.prev))</f>
        <v>0</v>
      </c>
      <c r="S26" s="186" t="b">
        <f t="shared" si="2"/>
        <v>0</v>
      </c>
      <c r="T26" t="str" cm="1">
        <f t="array" ref="T26">IFERROR(_xlfn._xlws.FILTER('Input Data'!$N$20:$N$963,('Input Data'!$B$20:$B$963=Changes!B26)*('Input Data'!$C$20:$C$963=Changes!C26)),_xlfn._xlws.FILTER('[2]Input Data'!$M$20:$M$173,('[2]Input Data'!$B$20:$B$173=Changes!B26)*('[2]Input Data'!$C$20:$C$173=Changes!C26)))</f>
        <v>Airbus Defence and Space (Toulouse)</v>
      </c>
      <c r="V26" s="348"/>
      <c r="W26" s="227"/>
      <c r="AH26" s="180" t="s">
        <v>391</v>
      </c>
      <c r="AI26" s="301" t="str" cm="1">
        <f t="array" ref="AI26">_xlfn.LET(_xlpm.fails,_xlfn.TEXTJOIN(", ",TRUE,IF(ABS($AI$22:$AK$23)&gt;0.001,$AI$21:$AK$21&amp;" - "&amp;$AH$22:$AH$23,"")),IF(_xlpm.fails="","All Checks Passed","Issues with "&amp;_xlpm.fails))</f>
        <v>Issues with Generic Defect - FUL</v>
      </c>
      <c r="AJ26" s="281"/>
      <c r="AK26" s="281"/>
      <c r="AL26" s="281"/>
      <c r="AM26" s="281"/>
      <c r="AN26" s="281"/>
    </row>
    <row r="27" spans="1:41" x14ac:dyDescent="0.35">
      <c r="A27">
        <f t="shared" si="0"/>
        <v>1</v>
      </c>
      <c r="B27" s="315">
        <v>344558</v>
      </c>
      <c r="C27" s="282">
        <v>15</v>
      </c>
      <c r="D27" s="282" t="str">
        <v>E65WA</v>
      </c>
      <c r="E27" s="282" t="str">
        <v>FIID</v>
      </c>
      <c r="F27" s="282" t="str">
        <v>GEO-GSO</v>
      </c>
      <c r="G27" s="283" cm="1">
        <f t="array" ref="G27">_xlfn.IFNA(INDEX('Input Data'!$M$20:$M$963,MATCH(Changes!B27&amp;"_"&amp;Changes!C27,'Input Data'!$B$20:$B$963&amp;"_"&amp;'Input Data'!$C$20:$C$963,0)),INDEX('[2]Input Data'!$L$20:$L$158,MATCH(B27&amp;"_"&amp;C27,'[2]Input Data'!$B$20:$B$158&amp;"_"&amp;'[2]Input Data'!$C$20:$C$158,0)))</f>
        <v>46203</v>
      </c>
      <c r="H27" s="313" cm="1">
        <f t="array" ref="H27">_xlfn._xlws.FILTER('Input Data'!$AA$20:$AA$963,('Input Data'!$B$20:$B$963=Changes!B27)*('Input Data'!$C$20:$C$963=Changes!C27),0)</f>
        <v>5533750.3557227198</v>
      </c>
      <c r="I27" s="313" cm="1">
        <f t="array" ref="I27">_xlfn._xlws.FILTER('[2]Input Data'!$AA$20:$AA$173,('[2]Input Data'!$B$20:$B$173=Changes!B27)*('[2]Input Data'!$C$20:$C$173=Changes!C27),0)</f>
        <v>5533750.3557227198</v>
      </c>
      <c r="J27" s="346" t="str" cm="1">
        <f t="array" ref="J27">_xlfn._xlws.FILTER('Input Data'!$E$20:$E$963,('Input Data'!$B$20:$B$963=Changes!B27)*('Input Data'!$C$20:$C$963=Changes!C27),0)</f>
        <v>Orbit</v>
      </c>
      <c r="K27" s="347" cm="1">
        <f t="array" ref="K27">_xlfn._xlws.FILTER('Input Data'!$L$20:$L$963,('Input Data'!$B$20:$B$963=Changes!B27)*('Input Data'!$C$20:$C$963=Changes!C27),0)</f>
        <v>45839</v>
      </c>
      <c r="L27" s="356" t="str" cm="1">
        <f t="array" ref="L27">_xlfn._xlws.FILTER('[2]Input Data'!$D$20:$D$173,('[2]Input Data'!$B$20:$B$173=Changes!B27)*('[2]Input Data'!$C$20:$C$173=Changes!C27),0)</f>
        <v>Orbit</v>
      </c>
      <c r="M27" s="314">
        <f>IFERROR(INDEX('Input Data'!$P$10:$P$14,MATCH(DATEDIF($M$4,G27,"M"),'Input Data'!$O$10:$O$14,1)),0)</f>
        <v>0.2</v>
      </c>
      <c r="N27" s="227"/>
      <c r="O27" s="227">
        <f>INDEX('Input Data'!$P$10:$P$14,MATCH(DATEDIF($O$4,G27,"M"),'Input Data'!$O$10:$O$14,1))</f>
        <v>0.2</v>
      </c>
      <c r="P27" s="204">
        <f t="shared" si="1"/>
        <v>0</v>
      </c>
      <c r="R27" cm="1">
        <f t="array" ref="R27">_xlfn.LET(_xlpm.current,INDEX('Input Data'!$M$20:$M$963,MATCH(Changes!B27&amp;"_"&amp;Changes!C27,'Input Data'!$B$20:$B$963&amp;"_"&amp;'Input Data'!$C$20:$C$963,0)),_xlpm.prev,INDEX('[2]Input Data'!$L$20:$L$173,MATCH(B27&amp;"_"&amp;C27,'[2]Input Data'!$B$20:$B$173&amp;"_"&amp;'[2]Input Data'!$C$20:$C$173,0)),
IF(OR(ISNA(_xlpm.current),ISNA(_xlpm.prev)),0,_xlpm.current-_xlpm.prev))</f>
        <v>0</v>
      </c>
      <c r="S27" s="186" t="b">
        <f t="shared" si="2"/>
        <v>0</v>
      </c>
      <c r="T27" t="str" cm="1">
        <f t="array" ref="T27">IFERROR(_xlfn._xlws.FILTER('Input Data'!$N$20:$N$963,('Input Data'!$B$20:$B$963=Changes!B27)*('Input Data'!$C$20:$C$963=Changes!C27)),_xlfn._xlws.FILTER('[2]Input Data'!$M$20:$M$173,('[2]Input Data'!$B$20:$B$173=Changes!B27)*('[2]Input Data'!$C$20:$C$173=Changes!C27)))</f>
        <v>SSL (Space Systems/Loral - Part of Maxar)</v>
      </c>
      <c r="V27" s="348"/>
      <c r="W27" s="227"/>
    </row>
    <row r="28" spans="1:41" x14ac:dyDescent="0.35">
      <c r="A28">
        <f t="shared" si="0"/>
        <v>1</v>
      </c>
      <c r="B28" s="315">
        <v>344558</v>
      </c>
      <c r="C28" s="282">
        <v>16</v>
      </c>
      <c r="D28" s="282" t="str">
        <v>E172B</v>
      </c>
      <c r="E28" s="282" t="str">
        <v>FIID</v>
      </c>
      <c r="F28" s="282" t="str">
        <v>GEO-GSO</v>
      </c>
      <c r="G28" s="283" cm="1">
        <f t="array" ref="G28">_xlfn.IFNA(INDEX('Input Data'!$M$20:$M$963,MATCH(Changes!B28&amp;"_"&amp;Changes!C28,'Input Data'!$B$20:$B$963&amp;"_"&amp;'Input Data'!$C$20:$C$963,0)),INDEX('[2]Input Data'!$L$20:$L$158,MATCH(B28&amp;"_"&amp;C28,'[2]Input Data'!$B$20:$B$158&amp;"_"&amp;'[2]Input Data'!$C$20:$C$158,0)))</f>
        <v>46203</v>
      </c>
      <c r="H28" s="313" cm="1">
        <f t="array" ref="H28">_xlfn._xlws.FILTER('Input Data'!$AA$20:$AA$963,('Input Data'!$B$20:$B$963=Changes!B28)*('Input Data'!$C$20:$C$963=Changes!C28),0)</f>
        <v>10746231.046425199</v>
      </c>
      <c r="I28" s="313" cm="1">
        <f t="array" ref="I28">_xlfn._xlws.FILTER('[2]Input Data'!$AA$20:$AA$173,('[2]Input Data'!$B$20:$B$173=Changes!B28)*('[2]Input Data'!$C$20:$C$173=Changes!C28),0)</f>
        <v>10746231.046425199</v>
      </c>
      <c r="J28" s="346" t="str" cm="1">
        <f t="array" ref="J28">_xlfn._xlws.FILTER('Input Data'!$E$20:$E$963,('Input Data'!$B$20:$B$963=Changes!B28)*('Input Data'!$C$20:$C$963=Changes!C28),0)</f>
        <v>Orbit</v>
      </c>
      <c r="K28" s="347" cm="1">
        <f t="array" ref="K28">_xlfn._xlws.FILTER('Input Data'!$L$20:$L$963,('Input Data'!$B$20:$B$963=Changes!B28)*('Input Data'!$C$20:$C$963=Changes!C28),0)</f>
        <v>45839</v>
      </c>
      <c r="L28" s="356" t="str" cm="1">
        <f t="array" ref="L28">_xlfn._xlws.FILTER('[2]Input Data'!$D$20:$D$173,('[2]Input Data'!$B$20:$B$173=Changes!B28)*('[2]Input Data'!$C$20:$C$173=Changes!C28),0)</f>
        <v>Orbit</v>
      </c>
      <c r="M28" s="314">
        <f>IFERROR(INDEX('Input Data'!$P$10:$P$14,MATCH(DATEDIF($M$4,G28,"M"),'Input Data'!$O$10:$O$14,1)),0)</f>
        <v>0.2</v>
      </c>
      <c r="N28" s="227"/>
      <c r="O28" s="227">
        <f>INDEX('Input Data'!$P$10:$P$14,MATCH(DATEDIF($O$4,G28,"M"),'Input Data'!$O$10:$O$14,1))</f>
        <v>0.2</v>
      </c>
      <c r="P28" s="204">
        <f t="shared" si="1"/>
        <v>0</v>
      </c>
      <c r="R28" cm="1">
        <f t="array" ref="R28">_xlfn.LET(_xlpm.current,INDEX('Input Data'!$M$20:$M$963,MATCH(Changes!B28&amp;"_"&amp;Changes!C28,'Input Data'!$B$20:$B$963&amp;"_"&amp;'Input Data'!$C$20:$C$963,0)),_xlpm.prev,INDEX('[2]Input Data'!$L$20:$L$173,MATCH(B28&amp;"_"&amp;C28,'[2]Input Data'!$B$20:$B$173&amp;"_"&amp;'[2]Input Data'!$C$20:$C$173,0)),
IF(OR(ISNA(_xlpm.current),ISNA(_xlpm.prev)),0,_xlpm.current-_xlpm.prev))</f>
        <v>0</v>
      </c>
      <c r="S28" s="186" t="b">
        <f t="shared" si="2"/>
        <v>0</v>
      </c>
      <c r="T28" t="str" cm="1">
        <f t="array" ref="T28">IFERROR(_xlfn._xlws.FILTER('Input Data'!$N$20:$N$963,('Input Data'!$B$20:$B$963=Changes!B28)*('Input Data'!$C$20:$C$963=Changes!C28)),_xlfn._xlws.FILTER('[2]Input Data'!$M$20:$M$173,('[2]Input Data'!$B$20:$B$173=Changes!B28)*('[2]Input Data'!$C$20:$C$173=Changes!C28)))</f>
        <v>Airbus Defence and Space (Toulouse)</v>
      </c>
      <c r="V28" s="348"/>
      <c r="W28" s="227"/>
      <c r="AH28" s="391" t="s">
        <v>602</v>
      </c>
    </row>
    <row r="29" spans="1:41" x14ac:dyDescent="0.35">
      <c r="A29">
        <f t="shared" si="0"/>
        <v>1</v>
      </c>
      <c r="B29" s="315">
        <v>344558</v>
      </c>
      <c r="C29" s="282">
        <v>17</v>
      </c>
      <c r="D29" s="282" t="str">
        <v>Quantum</v>
      </c>
      <c r="E29" s="282" t="str">
        <v>FIID</v>
      </c>
      <c r="F29" s="282" t="str">
        <v>GEO-GSO</v>
      </c>
      <c r="G29" s="283" cm="1">
        <f t="array" ref="G29">_xlfn.IFNA(INDEX('Input Data'!$M$20:$M$963,MATCH(Changes!B29&amp;"_"&amp;Changes!C29,'Input Data'!$B$20:$B$963&amp;"_"&amp;'Input Data'!$C$20:$C$963,0)),INDEX('[2]Input Data'!$L$20:$L$158,MATCH(B29&amp;"_"&amp;C29,'[2]Input Data'!$B$20:$B$158&amp;"_"&amp;'[2]Input Data'!$C$20:$C$158,0)))</f>
        <v>46203</v>
      </c>
      <c r="H29" s="313" cm="1">
        <f t="array" ref="H29">_xlfn._xlws.FILTER('Input Data'!$AA$20:$AA$963,('Input Data'!$B$20:$B$963=Changes!B29)*('Input Data'!$C$20:$C$963=Changes!C29),0)</f>
        <v>11189100.5630337</v>
      </c>
      <c r="I29" s="313" cm="1">
        <f t="array" ref="I29">_xlfn._xlws.FILTER('[2]Input Data'!$AA$20:$AA$173,('[2]Input Data'!$B$20:$B$173=Changes!B29)*('[2]Input Data'!$C$20:$C$173=Changes!C29),0)</f>
        <v>11189100.5630337</v>
      </c>
      <c r="J29" s="346" t="str" cm="1">
        <f t="array" ref="J29">_xlfn._xlws.FILTER('Input Data'!$E$20:$E$963,('Input Data'!$B$20:$B$963=Changes!B29)*('Input Data'!$C$20:$C$963=Changes!C29),0)</f>
        <v>Orbit</v>
      </c>
      <c r="K29" s="347" cm="1">
        <f t="array" ref="K29">_xlfn._xlws.FILTER('Input Data'!$L$20:$L$963,('Input Data'!$B$20:$B$963=Changes!B29)*('Input Data'!$C$20:$C$963=Changes!C29),0)</f>
        <v>45839</v>
      </c>
      <c r="L29" s="356" t="str" cm="1">
        <f t="array" ref="L29">_xlfn._xlws.FILTER('[2]Input Data'!$D$20:$D$173,('[2]Input Data'!$B$20:$B$173=Changes!B29)*('[2]Input Data'!$C$20:$C$173=Changes!C29),0)</f>
        <v>Orbit</v>
      </c>
      <c r="M29" s="314">
        <f>IFERROR(INDEX('Input Data'!$P$10:$P$14,MATCH(DATEDIF($M$4,G29,"M"),'Input Data'!$O$10:$O$14,1)),0)</f>
        <v>0.2</v>
      </c>
      <c r="N29" s="227"/>
      <c r="O29" s="227">
        <f>INDEX('Input Data'!$P$10:$P$14,MATCH(DATEDIF($O$4,G29,"M"),'Input Data'!$O$10:$O$14,1))</f>
        <v>0.2</v>
      </c>
      <c r="P29" s="204">
        <f t="shared" si="1"/>
        <v>0</v>
      </c>
      <c r="R29" cm="1">
        <f t="array" ref="R29">_xlfn.LET(_xlpm.current,INDEX('Input Data'!$M$20:$M$963,MATCH(Changes!B29&amp;"_"&amp;Changes!C29,'Input Data'!$B$20:$B$963&amp;"_"&amp;'Input Data'!$C$20:$C$963,0)),_xlpm.prev,INDEX('[2]Input Data'!$L$20:$L$173,MATCH(B29&amp;"_"&amp;C29,'[2]Input Data'!$B$20:$B$173&amp;"_"&amp;'[2]Input Data'!$C$20:$C$173,0)),
IF(OR(ISNA(_xlpm.current),ISNA(_xlpm.prev)),0,_xlpm.current-_xlpm.prev))</f>
        <v>0</v>
      </c>
      <c r="S29" s="186" t="b">
        <f t="shared" si="2"/>
        <v>0</v>
      </c>
      <c r="T29" t="str" cm="1">
        <f t="array" ref="T29">IFERROR(_xlfn._xlws.FILTER('Input Data'!$N$20:$N$963,('Input Data'!$B$20:$B$963=Changes!B29)*('Input Data'!$C$20:$C$963=Changes!C29)),_xlfn._xlws.FILTER('[2]Input Data'!$M$20:$M$173,('[2]Input Data'!$B$20:$B$173=Changes!B29)*('[2]Input Data'!$C$20:$C$173=Changes!C29)))</f>
        <v>SSTL - Surrey Satellite Technology Limited (Part of Airbus DS)</v>
      </c>
      <c r="V29" s="348"/>
      <c r="W29" s="227"/>
    </row>
    <row r="30" spans="1:41" x14ac:dyDescent="0.35">
      <c r="A30">
        <f t="shared" si="0"/>
        <v>1</v>
      </c>
      <c r="B30" s="315">
        <v>334331</v>
      </c>
      <c r="C30" s="282">
        <v>1</v>
      </c>
      <c r="D30" s="282" t="str">
        <v>CO3D 1</v>
      </c>
      <c r="E30" s="282" t="str">
        <v>FIID</v>
      </c>
      <c r="F30" s="282" t="str">
        <v>LEO</v>
      </c>
      <c r="G30" s="283" cm="1">
        <f t="array" ref="G30">_xlfn.IFNA(INDEX('Input Data'!$M$20:$M$963,MATCH(Changes!B30&amp;"_"&amp;Changes!C30,'Input Data'!$B$20:$B$963&amp;"_"&amp;'Input Data'!$C$20:$C$963,0)),INDEX('[2]Input Data'!$L$20:$L$158,MATCH(B30&amp;"_"&amp;C30,'[2]Input Data'!$B$20:$B$158&amp;"_"&amp;'[2]Input Data'!$C$20:$C$158,0)))</f>
        <v>46320</v>
      </c>
      <c r="H30" s="313" cm="1">
        <f t="array" ref="H30">_xlfn._xlws.FILTER('Input Data'!$AA$20:$AA$963,('Input Data'!$B$20:$B$963=Changes!B30)*('Input Data'!$C$20:$C$963=Changes!C30),0)</f>
        <v>2196138.3852966102</v>
      </c>
      <c r="I30" s="313" cm="1">
        <f t="array" ref="I30">_xlfn._xlws.FILTER('[2]Input Data'!$AA$20:$AA$173,('[2]Input Data'!$B$20:$B$173=Changes!B30)*('[2]Input Data'!$C$20:$C$173=Changes!C30),0)</f>
        <v>2196138.3852966102</v>
      </c>
      <c r="J30" s="346" t="str" cm="1">
        <f t="array" ref="J30">_xlfn._xlws.FILTER('Input Data'!$E$20:$E$963,('Input Data'!$B$20:$B$963=Changes!B30)*('Input Data'!$C$20:$C$963=Changes!C30),0)</f>
        <v>Launch and Orbit</v>
      </c>
      <c r="K30" s="347" cm="1">
        <f t="array" ref="K30">_xlfn._xlws.FILTER('Input Data'!$L$20:$L$963,('Input Data'!$B$20:$B$963=Changes!B30)*('Input Data'!$C$20:$C$963=Changes!C30),0)</f>
        <v>45864</v>
      </c>
      <c r="L30" s="356" t="str" cm="1">
        <f t="array" ref="L30">_xlfn._xlws.FILTER('[2]Input Data'!$D$20:$D$173,('[2]Input Data'!$B$20:$B$173=Changes!B30)*('[2]Input Data'!$C$20:$C$173=Changes!C30),0)</f>
        <v>Launch and Orbit</v>
      </c>
      <c r="M30" s="314">
        <f>IFERROR(INDEX('Input Data'!$P$10:$P$14,MATCH(DATEDIF($M$4,G30,"M"),'Input Data'!$O$10:$O$14,1)),0)</f>
        <v>0.4</v>
      </c>
      <c r="N30" s="227"/>
      <c r="O30" s="227">
        <f>INDEX('Input Data'!$P$10:$P$14,MATCH(DATEDIF($O$4,G30,"M"),'Input Data'!$O$10:$O$14,1))</f>
        <v>0.4</v>
      </c>
      <c r="P30" s="204">
        <f t="shared" si="1"/>
        <v>0</v>
      </c>
      <c r="R30" cm="1">
        <f t="array" ref="R30">_xlfn.LET(_xlpm.current,INDEX('Input Data'!$M$20:$M$963,MATCH(Changes!B30&amp;"_"&amp;Changes!C30,'Input Data'!$B$20:$B$963&amp;"_"&amp;'Input Data'!$C$20:$C$963,0)),_xlpm.prev,INDEX('[2]Input Data'!$L$20:$L$173,MATCH(B30&amp;"_"&amp;C30,'[2]Input Data'!$B$20:$B$173&amp;"_"&amp;'[2]Input Data'!$C$20:$C$173,0)),
IF(OR(ISNA(_xlpm.current),ISNA(_xlpm.prev)),0,_xlpm.current-_xlpm.prev))</f>
        <v>0</v>
      </c>
      <c r="S30" s="186" t="b">
        <f t="shared" si="2"/>
        <v>0</v>
      </c>
      <c r="T30" t="str" cm="1">
        <f t="array" ref="T30">IFERROR(_xlfn._xlws.FILTER('Input Data'!$N$20:$N$963,('Input Data'!$B$20:$B$963=Changes!B30)*('Input Data'!$C$20:$C$963=Changes!C30)),_xlfn._xlws.FILTER('[2]Input Data'!$M$20:$M$173,('[2]Input Data'!$B$20:$B$173=Changes!B30)*('[2]Input Data'!$C$20:$C$173=Changes!C30)))</f>
        <v>Airbus Defence and Space (Toulouse)</v>
      </c>
      <c r="V30" s="348"/>
      <c r="W30" s="227"/>
      <c r="AI30" s="148"/>
    </row>
    <row r="31" spans="1:41" x14ac:dyDescent="0.35">
      <c r="A31">
        <f t="shared" si="0"/>
        <v>1</v>
      </c>
      <c r="B31" s="315">
        <v>334331</v>
      </c>
      <c r="C31" s="282">
        <v>2</v>
      </c>
      <c r="D31" s="282" t="str">
        <v>CO3D 2</v>
      </c>
      <c r="E31" s="282" t="str">
        <v>FIID</v>
      </c>
      <c r="F31" s="282" t="str">
        <v>LEO</v>
      </c>
      <c r="G31" s="283" cm="1">
        <f t="array" ref="G31">_xlfn.IFNA(INDEX('Input Data'!$M$20:$M$963,MATCH(Changes!B31&amp;"_"&amp;Changes!C31,'Input Data'!$B$20:$B$963&amp;"_"&amp;'Input Data'!$C$20:$C$963,0)),INDEX('[2]Input Data'!$L$20:$L$158,MATCH(B31&amp;"_"&amp;C31,'[2]Input Data'!$B$20:$B$158&amp;"_"&amp;'[2]Input Data'!$C$20:$C$158,0)))</f>
        <v>46320</v>
      </c>
      <c r="H31" s="313" cm="1">
        <f t="array" ref="H31">_xlfn._xlws.FILTER('Input Data'!$AA$20:$AA$963,('Input Data'!$B$20:$B$963=Changes!B31)*('Input Data'!$C$20:$C$963=Changes!C31),0)</f>
        <v>2196138.3852966102</v>
      </c>
      <c r="I31" s="313" cm="1">
        <f t="array" ref="I31">_xlfn._xlws.FILTER('[2]Input Data'!$AA$20:$AA$173,('[2]Input Data'!$B$20:$B$173=Changes!B31)*('[2]Input Data'!$C$20:$C$173=Changes!C31),0)</f>
        <v>2196138.3852966102</v>
      </c>
      <c r="J31" s="346" t="str" cm="1">
        <f t="array" ref="J31">_xlfn._xlws.FILTER('Input Data'!$E$20:$E$963,('Input Data'!$B$20:$B$963=Changes!B31)*('Input Data'!$C$20:$C$963=Changes!C31),0)</f>
        <v>Launch and Orbit</v>
      </c>
      <c r="K31" s="347" cm="1">
        <f t="array" ref="K31">_xlfn._xlws.FILTER('Input Data'!$L$20:$L$963,('Input Data'!$B$20:$B$963=Changes!B31)*('Input Data'!$C$20:$C$963=Changes!C31),0)</f>
        <v>45864</v>
      </c>
      <c r="L31" s="356" t="str" cm="1">
        <f t="array" ref="L31">_xlfn._xlws.FILTER('[2]Input Data'!$D$20:$D$173,('[2]Input Data'!$B$20:$B$173=Changes!B31)*('[2]Input Data'!$C$20:$C$173=Changes!C31),0)</f>
        <v>Launch and Orbit</v>
      </c>
      <c r="M31" s="314">
        <f>IFERROR(INDEX('Input Data'!$P$10:$P$14,MATCH(DATEDIF($M$4,G31,"M"),'Input Data'!$O$10:$O$14,1)),0)</f>
        <v>0.4</v>
      </c>
      <c r="N31" s="227"/>
      <c r="O31" s="227">
        <f>INDEX('Input Data'!$P$10:$P$14,MATCH(DATEDIF($O$4,G31,"M"),'Input Data'!$O$10:$O$14,1))</f>
        <v>0.4</v>
      </c>
      <c r="P31" s="204">
        <f t="shared" si="1"/>
        <v>0</v>
      </c>
      <c r="R31" cm="1">
        <f t="array" ref="R31">_xlfn.LET(_xlpm.current,INDEX('Input Data'!$M$20:$M$963,MATCH(Changes!B31&amp;"_"&amp;Changes!C31,'Input Data'!$B$20:$B$963&amp;"_"&amp;'Input Data'!$C$20:$C$963,0)),_xlpm.prev,INDEX('[2]Input Data'!$L$20:$L$173,MATCH(B31&amp;"_"&amp;C31,'[2]Input Data'!$B$20:$B$173&amp;"_"&amp;'[2]Input Data'!$C$20:$C$173,0)),
IF(OR(ISNA(_xlpm.current),ISNA(_xlpm.prev)),0,_xlpm.current-_xlpm.prev))</f>
        <v>0</v>
      </c>
      <c r="S31" s="186" t="b">
        <f t="shared" si="2"/>
        <v>0</v>
      </c>
      <c r="T31" t="str" cm="1">
        <f t="array" ref="T31">IFERROR(_xlfn._xlws.FILTER('Input Data'!$N$20:$N$963,('Input Data'!$B$20:$B$963=Changes!B31)*('Input Data'!$C$20:$C$963=Changes!C31)),_xlfn._xlws.FILTER('[2]Input Data'!$M$20:$M$173,('[2]Input Data'!$B$20:$B$173=Changes!B31)*('[2]Input Data'!$C$20:$C$173=Changes!C31)))</f>
        <v>Airbus Defence and Space (Toulouse)</v>
      </c>
      <c r="V31" s="348"/>
      <c r="W31" s="227"/>
    </row>
    <row r="32" spans="1:41" x14ac:dyDescent="0.35">
      <c r="A32">
        <f t="shared" si="0"/>
        <v>1</v>
      </c>
      <c r="B32" s="315">
        <v>334331</v>
      </c>
      <c r="C32" s="282">
        <v>3</v>
      </c>
      <c r="D32" s="282" t="str">
        <v>CO3D 3</v>
      </c>
      <c r="E32" s="282" t="str">
        <v>FIID</v>
      </c>
      <c r="F32" s="282" t="str">
        <v>LEO</v>
      </c>
      <c r="G32" s="283" cm="1">
        <f t="array" ref="G32">_xlfn.IFNA(INDEX('Input Data'!$M$20:$M$963,MATCH(Changes!B32&amp;"_"&amp;Changes!C32,'Input Data'!$B$20:$B$963&amp;"_"&amp;'Input Data'!$C$20:$C$963,0)),INDEX('[2]Input Data'!$L$20:$L$158,MATCH(B32&amp;"_"&amp;C32,'[2]Input Data'!$B$20:$B$158&amp;"_"&amp;'[2]Input Data'!$C$20:$C$158,0)))</f>
        <v>46320</v>
      </c>
      <c r="H32" s="313" cm="1">
        <f t="array" ref="H32">_xlfn._xlws.FILTER('Input Data'!$AA$20:$AA$963,('Input Data'!$B$20:$B$963=Changes!B32)*('Input Data'!$C$20:$C$963=Changes!C32),0)</f>
        <v>2196138.3852966102</v>
      </c>
      <c r="I32" s="313" cm="1">
        <f t="array" ref="I32">_xlfn._xlws.FILTER('[2]Input Data'!$AA$20:$AA$173,('[2]Input Data'!$B$20:$B$173=Changes!B32)*('[2]Input Data'!$C$20:$C$173=Changes!C32),0)</f>
        <v>2196138.3852966102</v>
      </c>
      <c r="J32" s="346" t="str" cm="1">
        <f t="array" ref="J32">_xlfn._xlws.FILTER('Input Data'!$E$20:$E$963,('Input Data'!$B$20:$B$963=Changes!B32)*('Input Data'!$C$20:$C$963=Changes!C32),0)</f>
        <v>Launch and Orbit</v>
      </c>
      <c r="K32" s="347" cm="1">
        <f t="array" ref="K32">_xlfn._xlws.FILTER('Input Data'!$L$20:$L$963,('Input Data'!$B$20:$B$963=Changes!B32)*('Input Data'!$C$20:$C$963=Changes!C32),0)</f>
        <v>45864</v>
      </c>
      <c r="L32" s="356" t="str" cm="1">
        <f t="array" ref="L32">_xlfn._xlws.FILTER('[2]Input Data'!$D$20:$D$173,('[2]Input Data'!$B$20:$B$173=Changes!B32)*('[2]Input Data'!$C$20:$C$173=Changes!C32),0)</f>
        <v>Launch and Orbit</v>
      </c>
      <c r="M32" s="314">
        <f>IFERROR(INDEX('Input Data'!$P$10:$P$14,MATCH(DATEDIF($M$4,G32,"M"),'Input Data'!$O$10:$O$14,1)),0)</f>
        <v>0.4</v>
      </c>
      <c r="N32" s="227"/>
      <c r="O32" s="227">
        <f>INDEX('Input Data'!$P$10:$P$14,MATCH(DATEDIF($O$4,G32,"M"),'Input Data'!$O$10:$O$14,1))</f>
        <v>0.4</v>
      </c>
      <c r="P32" s="204">
        <f t="shared" si="1"/>
        <v>0</v>
      </c>
      <c r="R32" cm="1">
        <f t="array" ref="R32">_xlfn.LET(_xlpm.current,INDEX('Input Data'!$M$20:$M$963,MATCH(Changes!B32&amp;"_"&amp;Changes!C32,'Input Data'!$B$20:$B$963&amp;"_"&amp;'Input Data'!$C$20:$C$963,0)),_xlpm.prev,INDEX('[2]Input Data'!$L$20:$L$173,MATCH(B32&amp;"_"&amp;C32,'[2]Input Data'!$B$20:$B$173&amp;"_"&amp;'[2]Input Data'!$C$20:$C$173,0)),
IF(OR(ISNA(_xlpm.current),ISNA(_xlpm.prev)),0,_xlpm.current-_xlpm.prev))</f>
        <v>0</v>
      </c>
      <c r="S32" s="186" t="b">
        <f t="shared" si="2"/>
        <v>0</v>
      </c>
      <c r="T32" t="str" cm="1">
        <f t="array" ref="T32">IFERROR(_xlfn._xlws.FILTER('Input Data'!$N$20:$N$963,('Input Data'!$B$20:$B$963=Changes!B32)*('Input Data'!$C$20:$C$963=Changes!C32)),_xlfn._xlws.FILTER('[2]Input Data'!$M$20:$M$173,('[2]Input Data'!$B$20:$B$173=Changes!B32)*('[2]Input Data'!$C$20:$C$173=Changes!C32)))</f>
        <v>Airbus Defence and Space (Toulouse)</v>
      </c>
      <c r="V32" s="348"/>
      <c r="W32" s="227"/>
    </row>
    <row r="33" spans="1:25" x14ac:dyDescent="0.35">
      <c r="A33">
        <f t="shared" si="0"/>
        <v>1</v>
      </c>
      <c r="B33" s="315">
        <v>334331</v>
      </c>
      <c r="C33" s="282">
        <v>4</v>
      </c>
      <c r="D33" s="282" t="str">
        <v>CO3D 4</v>
      </c>
      <c r="E33" s="282" t="str">
        <v>FIID</v>
      </c>
      <c r="F33" s="282" t="str">
        <v>LEO</v>
      </c>
      <c r="G33" s="283" cm="1">
        <f t="array" ref="G33">_xlfn.IFNA(INDEX('Input Data'!$M$20:$M$963,MATCH(Changes!B33&amp;"_"&amp;Changes!C33,'Input Data'!$B$20:$B$963&amp;"_"&amp;'Input Data'!$C$20:$C$963,0)),INDEX('[2]Input Data'!$L$20:$L$158,MATCH(B33&amp;"_"&amp;C33,'[2]Input Data'!$B$20:$B$158&amp;"_"&amp;'[2]Input Data'!$C$20:$C$158,0)))</f>
        <v>46320</v>
      </c>
      <c r="H33" s="313" cm="1">
        <f t="array" ref="H33">_xlfn._xlws.FILTER('Input Data'!$AA$20:$AA$963,('Input Data'!$B$20:$B$963=Changes!B33)*('Input Data'!$C$20:$C$963=Changes!C33),0)</f>
        <v>2196138.3852966102</v>
      </c>
      <c r="I33" s="313" cm="1">
        <f t="array" ref="I33">_xlfn._xlws.FILTER('[2]Input Data'!$AA$20:$AA$173,('[2]Input Data'!$B$20:$B$173=Changes!B33)*('[2]Input Data'!$C$20:$C$173=Changes!C33),0)</f>
        <v>2196138.3852966102</v>
      </c>
      <c r="J33" s="346" t="str" cm="1">
        <f t="array" ref="J33">_xlfn._xlws.FILTER('Input Data'!$E$20:$E$963,('Input Data'!$B$20:$B$963=Changes!B33)*('Input Data'!$C$20:$C$963=Changes!C33),0)</f>
        <v>Launch and Orbit</v>
      </c>
      <c r="K33" s="347" cm="1">
        <f t="array" ref="K33">_xlfn._xlws.FILTER('Input Data'!$L$20:$L$963,('Input Data'!$B$20:$B$963=Changes!B33)*('Input Data'!$C$20:$C$963=Changes!C33),0)</f>
        <v>45864</v>
      </c>
      <c r="L33" s="356" t="str" cm="1">
        <f t="array" ref="L33">_xlfn._xlws.FILTER('[2]Input Data'!$D$20:$D$173,('[2]Input Data'!$B$20:$B$173=Changes!B33)*('[2]Input Data'!$C$20:$C$173=Changes!C33),0)</f>
        <v>Launch and Orbit</v>
      </c>
      <c r="M33" s="314">
        <f>IFERROR(INDEX('Input Data'!$P$10:$P$14,MATCH(DATEDIF($M$4,G33,"M"),'Input Data'!$O$10:$O$14,1)),0)</f>
        <v>0.4</v>
      </c>
      <c r="N33" s="227"/>
      <c r="O33" s="227">
        <f>INDEX('Input Data'!$P$10:$P$14,MATCH(DATEDIF($O$4,G33,"M"),'Input Data'!$O$10:$O$14,1))</f>
        <v>0.4</v>
      </c>
      <c r="P33" s="204">
        <f t="shared" si="1"/>
        <v>0</v>
      </c>
      <c r="R33" cm="1">
        <f t="array" ref="R33">_xlfn.LET(_xlpm.current,INDEX('Input Data'!$M$20:$M$963,MATCH(Changes!B33&amp;"_"&amp;Changes!C33,'Input Data'!$B$20:$B$963&amp;"_"&amp;'Input Data'!$C$20:$C$963,0)),_xlpm.prev,INDEX('[2]Input Data'!$L$20:$L$173,MATCH(B33&amp;"_"&amp;C33,'[2]Input Data'!$B$20:$B$173&amp;"_"&amp;'[2]Input Data'!$C$20:$C$173,0)),
IF(OR(ISNA(_xlpm.current),ISNA(_xlpm.prev)),0,_xlpm.current-_xlpm.prev))</f>
        <v>0</v>
      </c>
      <c r="S33" s="186" t="b">
        <f t="shared" si="2"/>
        <v>0</v>
      </c>
      <c r="T33" t="str" cm="1">
        <f t="array" ref="T33">IFERROR(_xlfn._xlws.FILTER('Input Data'!$N$20:$N$963,('Input Data'!$B$20:$B$963=Changes!B33)*('Input Data'!$C$20:$C$963=Changes!C33)),_xlfn._xlws.FILTER('[2]Input Data'!$M$20:$M$173,('[2]Input Data'!$B$20:$B$173=Changes!B33)*('[2]Input Data'!$C$20:$C$173=Changes!C33)))</f>
        <v>Airbus Defence and Space (Toulouse)</v>
      </c>
      <c r="V33" s="348"/>
      <c r="W33" s="227"/>
    </row>
    <row r="34" spans="1:25" x14ac:dyDescent="0.35">
      <c r="A34">
        <f t="shared" si="0"/>
        <v>1</v>
      </c>
      <c r="B34" s="315">
        <v>351444</v>
      </c>
      <c r="C34" s="282">
        <v>1</v>
      </c>
      <c r="D34" s="282" t="str">
        <v>ASIASAT 5</v>
      </c>
      <c r="E34" s="282" t="str">
        <v>FUL</v>
      </c>
      <c r="F34" s="282" t="str">
        <v>GEO-GSO</v>
      </c>
      <c r="G34" s="283" cm="1">
        <f t="array" ref="G34">_xlfn.IFNA(INDEX('Input Data'!$M$20:$M$963,MATCH(Changes!B34&amp;"_"&amp;Changes!C34,'Input Data'!$B$20:$B$963&amp;"_"&amp;'Input Data'!$C$20:$C$963,0)),INDEX('[2]Input Data'!$L$20:$L$158,MATCH(B34&amp;"_"&amp;C34,'[2]Input Data'!$B$20:$B$158&amp;"_"&amp;'[2]Input Data'!$C$20:$C$158,0)))</f>
        <v>46285</v>
      </c>
      <c r="H34" s="313" cm="1">
        <f t="array" ref="H34">_xlfn._xlws.FILTER('Input Data'!$AA$20:$AA$963,('Input Data'!$B$20:$B$963=Changes!B34)*('Input Data'!$C$20:$C$963=Changes!C34),0)</f>
        <v>6358762.8759999899</v>
      </c>
      <c r="I34" s="313" cm="1">
        <f t="array" ref="I34">_xlfn._xlws.FILTER('[2]Input Data'!$AA$20:$AA$173,('[2]Input Data'!$B$20:$B$173=Changes!B34)*('[2]Input Data'!$C$20:$C$173=Changes!C34),0)</f>
        <v>6358762.8759999899</v>
      </c>
      <c r="J34" s="346" t="str" cm="1">
        <f t="array" ref="J34">_xlfn._xlws.FILTER('Input Data'!$E$20:$E$963,('Input Data'!$B$20:$B$963=Changes!B34)*('Input Data'!$C$20:$C$963=Changes!C34),0)</f>
        <v>In-Orbit</v>
      </c>
      <c r="K34" s="347" cm="1">
        <f t="array" ref="K34">_xlfn._xlws.FILTER('Input Data'!$L$20:$L$963,('Input Data'!$B$20:$B$963=Changes!B34)*('Input Data'!$C$20:$C$963=Changes!C34),0)</f>
        <v>45921</v>
      </c>
      <c r="L34" s="356" t="str" cm="1">
        <f t="array" ref="L34">_xlfn._xlws.FILTER('[2]Input Data'!$D$20:$D$173,('[2]Input Data'!$B$20:$B$173=Changes!B34)*('[2]Input Data'!$C$20:$C$173=Changes!C34),0)</f>
        <v>In-Orbit</v>
      </c>
      <c r="M34" s="314">
        <f>IFERROR(INDEX('Input Data'!$P$10:$P$14,MATCH(DATEDIF($M$4,G34,"M"),'Input Data'!$O$10:$O$14,1)),0)</f>
        <v>0.2</v>
      </c>
      <c r="N34" s="227"/>
      <c r="O34" s="227">
        <f>INDEX('Input Data'!$P$10:$P$14,MATCH(DATEDIF($O$4,G34,"M"),'Input Data'!$O$10:$O$14,1))</f>
        <v>0.4</v>
      </c>
      <c r="P34" s="204">
        <f>H34-I34</f>
        <v>0</v>
      </c>
      <c r="R34" cm="1">
        <f t="array" ref="R34">_xlfn.LET(_xlpm.current,INDEX('Input Data'!$M$20:$M$963,MATCH(Changes!B34&amp;"_"&amp;Changes!C34,'Input Data'!$B$20:$B$963&amp;"_"&amp;'Input Data'!$C$20:$C$963,0)),_xlpm.prev,INDEX('[2]Input Data'!$L$20:$L$173,MATCH(B34&amp;"_"&amp;C34,'[2]Input Data'!$B$20:$B$173&amp;"_"&amp;'[2]Input Data'!$C$20:$C$173,0)),
IF(OR(ISNA(_xlpm.current),ISNA(_xlpm.prev)),0,_xlpm.current-_xlpm.prev))</f>
        <v>0</v>
      </c>
      <c r="S34" s="186" t="b">
        <f>O34&gt;M34</f>
        <v>1</v>
      </c>
      <c r="T34" t="str" cm="1">
        <f t="array" ref="T34">IFERROR(_xlfn._xlws.FILTER('Input Data'!$N$20:$N$963,('Input Data'!$B$20:$B$963=Changes!B34)*('Input Data'!$C$20:$C$963=Changes!C34)),_xlfn._xlws.FILTER('[2]Input Data'!$M$20:$M$173,('[2]Input Data'!$B$20:$B$173=Changes!B34)*('[2]Input Data'!$C$20:$C$173=Changes!C34)))</f>
        <v>SSL (Space Systems/Loral - Part of Maxar)</v>
      </c>
      <c r="V34" s="348"/>
      <c r="W34" s="227"/>
    </row>
    <row r="35" spans="1:25" x14ac:dyDescent="0.35">
      <c r="A35">
        <f t="shared" si="0"/>
        <v>1</v>
      </c>
      <c r="B35" s="315">
        <v>351444</v>
      </c>
      <c r="C35" s="282">
        <v>2</v>
      </c>
      <c r="D35" s="282" t="str">
        <v>ASIASAT 6/THAICOM 7</v>
      </c>
      <c r="E35" s="282" t="str">
        <v>FUL</v>
      </c>
      <c r="F35" s="282" t="str">
        <v>GEO-GSO</v>
      </c>
      <c r="G35" s="283" cm="1">
        <f t="array" ref="G35">_xlfn.IFNA(INDEX('Input Data'!$M$20:$M$963,MATCH(Changes!B35&amp;"_"&amp;Changes!C35,'Input Data'!$B$20:$B$963&amp;"_"&amp;'Input Data'!$C$20:$C$963,0)),INDEX('[2]Input Data'!$L$20:$L$158,MATCH(B35&amp;"_"&amp;C35,'[2]Input Data'!$B$20:$B$158&amp;"_"&amp;'[2]Input Data'!$C$20:$C$158,0)))</f>
        <v>46285</v>
      </c>
      <c r="H35" s="313" cm="1">
        <f t="array" ref="H35">_xlfn._xlws.FILTER('Input Data'!$AA$20:$AA$963,('Input Data'!$B$20:$B$963=Changes!B35)*('Input Data'!$C$20:$C$963=Changes!C35),0)</f>
        <v>4082474.21999999</v>
      </c>
      <c r="I35" s="313" cm="1">
        <f t="array" ref="I35">_xlfn._xlws.FILTER('[2]Input Data'!$AA$20:$AA$173,('[2]Input Data'!$B$20:$B$173=Changes!B35)*('[2]Input Data'!$C$20:$C$173=Changes!C35),0)</f>
        <v>4082474.21999999</v>
      </c>
      <c r="J35" s="346" t="str" cm="1">
        <f t="array" ref="J35">_xlfn._xlws.FILTER('Input Data'!$E$20:$E$963,('Input Data'!$B$20:$B$963=Changes!B35)*('Input Data'!$C$20:$C$963=Changes!C35),0)</f>
        <v>In-Orbit</v>
      </c>
      <c r="K35" s="347" cm="1">
        <f t="array" ref="K35">_xlfn._xlws.FILTER('Input Data'!$L$20:$L$963,('Input Data'!$B$20:$B$963=Changes!B35)*('Input Data'!$C$20:$C$963=Changes!C35),0)</f>
        <v>45921</v>
      </c>
      <c r="L35" s="356" t="str" cm="1">
        <f t="array" ref="L35">_xlfn._xlws.FILTER('[2]Input Data'!$D$20:$D$173,('[2]Input Data'!$B$20:$B$173=Changes!B35)*('[2]Input Data'!$C$20:$C$173=Changes!C35),0)</f>
        <v>In-Orbit</v>
      </c>
      <c r="M35" s="314">
        <f>IFERROR(INDEX('Input Data'!$P$10:$P$14,MATCH(DATEDIF($M$4,G35,"M"),'Input Data'!$O$10:$O$14,1)),0)</f>
        <v>0.2</v>
      </c>
      <c r="N35" s="227"/>
      <c r="O35" s="227">
        <f>INDEX('Input Data'!$P$10:$P$14,MATCH(DATEDIF($O$4,G35,"M"),'Input Data'!$O$10:$O$14,1))</f>
        <v>0.4</v>
      </c>
      <c r="P35" s="204">
        <f t="shared" si="1"/>
        <v>0</v>
      </c>
      <c r="R35" cm="1">
        <f t="array" ref="R35">_xlfn.LET(_xlpm.current,INDEX('Input Data'!$M$20:$M$963,MATCH(Changes!B35&amp;"_"&amp;Changes!C35,'Input Data'!$B$20:$B$963&amp;"_"&amp;'Input Data'!$C$20:$C$963,0)),_xlpm.prev,INDEX('[2]Input Data'!$L$20:$L$173,MATCH(B35&amp;"_"&amp;C35,'[2]Input Data'!$B$20:$B$173&amp;"_"&amp;'[2]Input Data'!$C$20:$C$173,0)),
IF(OR(ISNA(_xlpm.current),ISNA(_xlpm.prev)),0,_xlpm.current-_xlpm.prev))</f>
        <v>0</v>
      </c>
      <c r="S35" s="186" t="b">
        <f t="shared" si="2"/>
        <v>1</v>
      </c>
      <c r="T35" t="str" cm="1">
        <f t="array" ref="T35">IFERROR(_xlfn._xlws.FILTER('Input Data'!$N$20:$N$963,('Input Data'!$B$20:$B$963=Changes!B35)*('Input Data'!$C$20:$C$963=Changes!C35)),_xlfn._xlws.FILTER('[2]Input Data'!$M$20:$M$173,('[2]Input Data'!$B$20:$B$173=Changes!B35)*('[2]Input Data'!$C$20:$C$173=Changes!C35)))</f>
        <v>SSL (Space Systems/Loral - Part of Maxar)</v>
      </c>
      <c r="V35" s="348"/>
      <c r="W35" s="227"/>
    </row>
    <row r="36" spans="1:25" x14ac:dyDescent="0.35">
      <c r="A36">
        <f t="shared" si="0"/>
        <v>1</v>
      </c>
      <c r="B36" s="315">
        <v>351444</v>
      </c>
      <c r="C36" s="282">
        <v>3</v>
      </c>
      <c r="D36" s="282" t="str">
        <v>ASIASAT 7</v>
      </c>
      <c r="E36" s="282" t="str">
        <v>FUL</v>
      </c>
      <c r="F36" s="282" t="str">
        <v>GEO-GSO</v>
      </c>
      <c r="G36" s="283" cm="1">
        <f t="array" ref="G36">_xlfn.IFNA(INDEX('Input Data'!$M$20:$M$963,MATCH(Changes!B36&amp;"_"&amp;Changes!C36,'Input Data'!$B$20:$B$963&amp;"_"&amp;'Input Data'!$C$20:$C$963,0)),INDEX('[2]Input Data'!$L$20:$L$158,MATCH(B36&amp;"_"&amp;C36,'[2]Input Data'!$B$20:$B$158&amp;"_"&amp;'[2]Input Data'!$C$20:$C$158,0)))</f>
        <v>46285</v>
      </c>
      <c r="H36" s="313" cm="1">
        <f t="array" ref="H36">_xlfn._xlws.FILTER('Input Data'!$AA$20:$AA$963,('Input Data'!$B$20:$B$963=Changes!B36)*('Input Data'!$C$20:$C$963=Changes!C36),0)</f>
        <v>6581443.2879999997</v>
      </c>
      <c r="I36" s="313" cm="1">
        <f t="array" ref="I36">_xlfn._xlws.FILTER('[2]Input Data'!$AA$20:$AA$173,('[2]Input Data'!$B$20:$B$173=Changes!B36)*('[2]Input Data'!$C$20:$C$173=Changes!C36),0)</f>
        <v>6581443.2879999997</v>
      </c>
      <c r="J36" s="346" t="str" cm="1">
        <f t="array" ref="J36">_xlfn._xlws.FILTER('Input Data'!$E$20:$E$963,('Input Data'!$B$20:$B$963=Changes!B36)*('Input Data'!$C$20:$C$963=Changes!C36),0)</f>
        <v>In-Orbit</v>
      </c>
      <c r="K36" s="347" cm="1">
        <f t="array" ref="K36">_xlfn._xlws.FILTER('Input Data'!$L$20:$L$963,('Input Data'!$B$20:$B$963=Changes!B36)*('Input Data'!$C$20:$C$963=Changes!C36),0)</f>
        <v>45921</v>
      </c>
      <c r="L36" s="356" t="str" cm="1">
        <f t="array" ref="L36">_xlfn._xlws.FILTER('[2]Input Data'!$D$20:$D$173,('[2]Input Data'!$B$20:$B$173=Changes!B36)*('[2]Input Data'!$C$20:$C$173=Changes!C36),0)</f>
        <v>In-Orbit</v>
      </c>
      <c r="M36" s="314">
        <f>IFERROR(INDEX('Input Data'!$P$10:$P$14,MATCH(DATEDIF($M$4,G36,"M"),'Input Data'!$O$10:$O$14,1)),0)</f>
        <v>0.2</v>
      </c>
      <c r="N36" s="227"/>
      <c r="O36" s="227">
        <f>INDEX('Input Data'!$P$10:$P$14,MATCH(DATEDIF($O$4,G36,"M"),'Input Data'!$O$10:$O$14,1))</f>
        <v>0.4</v>
      </c>
      <c r="P36" s="204">
        <f t="shared" si="1"/>
        <v>0</v>
      </c>
      <c r="R36" cm="1">
        <f t="array" ref="R36">_xlfn.LET(_xlpm.current,INDEX('Input Data'!$M$20:$M$963,MATCH(Changes!B36&amp;"_"&amp;Changes!C36,'Input Data'!$B$20:$B$963&amp;"_"&amp;'Input Data'!$C$20:$C$963,0)),_xlpm.prev,INDEX('[2]Input Data'!$L$20:$L$173,MATCH(B36&amp;"_"&amp;C36,'[2]Input Data'!$B$20:$B$173&amp;"_"&amp;'[2]Input Data'!$C$20:$C$173,0)),
IF(OR(ISNA(_xlpm.current),ISNA(_xlpm.prev)),0,_xlpm.current-_xlpm.prev))</f>
        <v>0</v>
      </c>
      <c r="S36" s="186" t="b">
        <f t="shared" si="2"/>
        <v>1</v>
      </c>
      <c r="T36" t="str" cm="1">
        <f t="array" ref="T36">IFERROR(_xlfn._xlws.FILTER('Input Data'!$N$20:$N$963,('Input Data'!$B$20:$B$963=Changes!B36)*('Input Data'!$C$20:$C$963=Changes!C36)),_xlfn._xlws.FILTER('[2]Input Data'!$M$20:$M$173,('[2]Input Data'!$B$20:$B$173=Changes!B36)*('[2]Input Data'!$C$20:$C$173=Changes!C36)))</f>
        <v>SSL (Space Systems/Loral - Part of Maxar)</v>
      </c>
      <c r="V36" s="348"/>
      <c r="W36" s="227"/>
    </row>
    <row r="37" spans="1:25" x14ac:dyDescent="0.35">
      <c r="A37">
        <f t="shared" si="0"/>
        <v>1</v>
      </c>
      <c r="B37" s="315">
        <v>351444</v>
      </c>
      <c r="C37" s="282">
        <v>4</v>
      </c>
      <c r="D37" s="282" t="str">
        <v>AMOS 7 (ASIASAT 8)</v>
      </c>
      <c r="E37" s="282" t="str">
        <v>FUL</v>
      </c>
      <c r="F37" s="282" t="str">
        <v>GEO-GSO</v>
      </c>
      <c r="G37" s="283" cm="1">
        <f t="array" ref="G37">_xlfn.IFNA(INDEX('Input Data'!$M$20:$M$963,MATCH(Changes!B37&amp;"_"&amp;Changes!C37,'Input Data'!$B$20:$B$963&amp;"_"&amp;'Input Data'!$C$20:$C$963,0)),INDEX('[2]Input Data'!$L$20:$L$158,MATCH(B37&amp;"_"&amp;C37,'[2]Input Data'!$B$20:$B$158&amp;"_"&amp;'[2]Input Data'!$C$20:$C$158,0)))</f>
        <v>46285</v>
      </c>
      <c r="H37" s="313" cm="1">
        <f t="array" ref="H37">_xlfn._xlws.FILTER('Input Data'!$AA$20:$AA$963,('Input Data'!$B$20:$B$963=Changes!B37)*('Input Data'!$C$20:$C$963=Changes!C37),0)</f>
        <v>4391752.5699999901</v>
      </c>
      <c r="I37" s="313" cm="1">
        <f t="array" ref="I37">_xlfn._xlws.FILTER('[2]Input Data'!$AA$20:$AA$173,('[2]Input Data'!$B$20:$B$173=Changes!B37)*('[2]Input Data'!$C$20:$C$173=Changes!C37),0)</f>
        <v>4391752.5699999901</v>
      </c>
      <c r="J37" s="346" t="str" cm="1">
        <f t="array" ref="J37">_xlfn._xlws.FILTER('Input Data'!$E$20:$E$963,('Input Data'!$B$20:$B$963=Changes!B37)*('Input Data'!$C$20:$C$963=Changes!C37),0)</f>
        <v>In-Orbit</v>
      </c>
      <c r="K37" s="347" cm="1">
        <f t="array" ref="K37">_xlfn._xlws.FILTER('Input Data'!$L$20:$L$963,('Input Data'!$B$20:$B$963=Changes!B37)*('Input Data'!$C$20:$C$963=Changes!C37),0)</f>
        <v>45921</v>
      </c>
      <c r="L37" s="356" t="str" cm="1">
        <f t="array" ref="L37">_xlfn._xlws.FILTER('[2]Input Data'!$D$20:$D$173,('[2]Input Data'!$B$20:$B$173=Changes!B37)*('[2]Input Data'!$C$20:$C$173=Changes!C37),0)</f>
        <v>In-Orbit</v>
      </c>
      <c r="M37" s="314">
        <f>IFERROR(INDEX('Input Data'!$P$10:$P$14,MATCH(DATEDIF($M$4,G37,"M"),'Input Data'!$O$10:$O$14,1)),0)</f>
        <v>0.2</v>
      </c>
      <c r="N37" s="227"/>
      <c r="O37" s="227">
        <f>INDEX('Input Data'!$P$10:$P$14,MATCH(DATEDIF($O$4,G37,"M"),'Input Data'!$O$10:$O$14,1))</f>
        <v>0.4</v>
      </c>
      <c r="P37" s="204">
        <f t="shared" si="1"/>
        <v>0</v>
      </c>
      <c r="R37" cm="1">
        <f t="array" ref="R37">_xlfn.LET(_xlpm.current,INDEX('Input Data'!$M$20:$M$963,MATCH(Changes!B37&amp;"_"&amp;Changes!C37,'Input Data'!$B$20:$B$963&amp;"_"&amp;'Input Data'!$C$20:$C$963,0)),_xlpm.prev,INDEX('[2]Input Data'!$L$20:$L$173,MATCH(B37&amp;"_"&amp;C37,'[2]Input Data'!$B$20:$B$173&amp;"_"&amp;'[2]Input Data'!$C$20:$C$173,0)),
IF(OR(ISNA(_xlpm.current),ISNA(_xlpm.prev)),0,_xlpm.current-_xlpm.prev))</f>
        <v>0</v>
      </c>
      <c r="S37" s="186" t="b">
        <f t="shared" si="2"/>
        <v>1</v>
      </c>
      <c r="T37" t="str" cm="1">
        <f t="array" ref="T37">IFERROR(_xlfn._xlws.FILTER('Input Data'!$N$20:$N$963,('Input Data'!$B$20:$B$963=Changes!B37)*('Input Data'!$C$20:$C$963=Changes!C37)),_xlfn._xlws.FILTER('[2]Input Data'!$M$20:$M$173,('[2]Input Data'!$B$20:$B$173=Changes!B37)*('[2]Input Data'!$C$20:$C$173=Changes!C37)))</f>
        <v>SSL (Space Systems/Loral - Part of Maxar)</v>
      </c>
      <c r="V37" s="348"/>
      <c r="W37" s="227"/>
    </row>
    <row r="38" spans="1:25" x14ac:dyDescent="0.35">
      <c r="A38">
        <f t="shared" si="0"/>
        <v>1</v>
      </c>
      <c r="B38" s="315">
        <v>351444</v>
      </c>
      <c r="C38" s="282">
        <v>5</v>
      </c>
      <c r="D38" s="282" t="str">
        <v>ASIASAT 9</v>
      </c>
      <c r="E38" s="282" t="str">
        <v>FUL</v>
      </c>
      <c r="F38" s="282" t="str">
        <v>GEO-GSO</v>
      </c>
      <c r="G38" s="283" cm="1">
        <f t="array" ref="G38">_xlfn.IFNA(INDEX('Input Data'!$M$20:$M$963,MATCH(Changes!B38&amp;"_"&amp;Changes!C38,'Input Data'!$B$20:$B$963&amp;"_"&amp;'Input Data'!$C$20:$C$963,0)),INDEX('[2]Input Data'!$L$20:$L$158,MATCH(B38&amp;"_"&amp;C38,'[2]Input Data'!$B$20:$B$158&amp;"_"&amp;'[2]Input Data'!$C$20:$C$158,0)))</f>
        <v>46285</v>
      </c>
      <c r="H38" s="313" cm="1">
        <f t="array" ref="H38">_xlfn._xlws.FILTER('Input Data'!$AA$20:$AA$963,('Input Data'!$B$20:$B$963=Changes!B38)*('Input Data'!$C$20:$C$963=Changes!C38),0)</f>
        <v>9380721.6338499896</v>
      </c>
      <c r="I38" s="313" cm="1">
        <f t="array" ref="I38">_xlfn._xlws.FILTER('[2]Input Data'!$AA$20:$AA$173,('[2]Input Data'!$B$20:$B$173=Changes!B38)*('[2]Input Data'!$C$20:$C$173=Changes!C38),0)</f>
        <v>9380721.6338499896</v>
      </c>
      <c r="J38" s="346" t="str" cm="1">
        <f t="array" ref="J38">_xlfn._xlws.FILTER('Input Data'!$E$20:$E$963,('Input Data'!$B$20:$B$963=Changes!B38)*('Input Data'!$C$20:$C$963=Changes!C38),0)</f>
        <v>In-Orbit</v>
      </c>
      <c r="K38" s="347" cm="1">
        <f t="array" ref="K38">_xlfn._xlws.FILTER('Input Data'!$L$20:$L$963,('Input Data'!$B$20:$B$963=Changes!B38)*('Input Data'!$C$20:$C$963=Changes!C38),0)</f>
        <v>45921</v>
      </c>
      <c r="L38" s="356" t="str" cm="1">
        <f t="array" ref="L38">_xlfn._xlws.FILTER('[2]Input Data'!$D$20:$D$173,('[2]Input Data'!$B$20:$B$173=Changes!B38)*('[2]Input Data'!$C$20:$C$173=Changes!C38),0)</f>
        <v>In-Orbit</v>
      </c>
      <c r="M38" s="314">
        <f>IFERROR(INDEX('Input Data'!$P$10:$P$14,MATCH(DATEDIF($M$4,G38,"M"),'Input Data'!$O$10:$O$14,1)),0)</f>
        <v>0.2</v>
      </c>
      <c r="N38" s="227"/>
      <c r="O38" s="227">
        <f>INDEX('Input Data'!$P$10:$P$14,MATCH(DATEDIF($O$4,G38,"M"),'Input Data'!$O$10:$O$14,1))</f>
        <v>0.4</v>
      </c>
      <c r="P38" s="204">
        <f t="shared" si="1"/>
        <v>0</v>
      </c>
      <c r="R38" cm="1">
        <f t="array" ref="R38">_xlfn.LET(_xlpm.current,INDEX('Input Data'!$M$20:$M$963,MATCH(Changes!B38&amp;"_"&amp;Changes!C38,'Input Data'!$B$20:$B$963&amp;"_"&amp;'Input Data'!$C$20:$C$963,0)),_xlpm.prev,INDEX('[2]Input Data'!$L$20:$L$173,MATCH(B38&amp;"_"&amp;C38,'[2]Input Data'!$B$20:$B$173&amp;"_"&amp;'[2]Input Data'!$C$20:$C$173,0)),
IF(OR(ISNA(_xlpm.current),ISNA(_xlpm.prev)),0,_xlpm.current-_xlpm.prev))</f>
        <v>0</v>
      </c>
      <c r="S38" s="186" t="b">
        <f t="shared" si="2"/>
        <v>1</v>
      </c>
      <c r="T38" t="str" cm="1">
        <f t="array" ref="T38">IFERROR(_xlfn._xlws.FILTER('Input Data'!$N$20:$N$963,('Input Data'!$B$20:$B$963=Changes!B38)*('Input Data'!$C$20:$C$963=Changes!C38)),_xlfn._xlws.FILTER('[2]Input Data'!$M$20:$M$173,('[2]Input Data'!$B$20:$B$173=Changes!B38)*('[2]Input Data'!$C$20:$C$173=Changes!C38)))</f>
        <v>SSL (Space Systems/Loral - Part of Maxar)</v>
      </c>
      <c r="V38" s="348"/>
      <c r="W38" s="227"/>
    </row>
    <row r="39" spans="1:25" x14ac:dyDescent="0.35">
      <c r="A39">
        <f t="shared" si="0"/>
        <v>1</v>
      </c>
      <c r="B39" s="315">
        <v>344558</v>
      </c>
      <c r="C39" s="282">
        <v>18</v>
      </c>
      <c r="D39" s="282" t="str">
        <v>E7C</v>
      </c>
      <c r="E39" s="282" t="str">
        <v>FIID</v>
      </c>
      <c r="F39" s="282" t="str">
        <v>GEO-GSO</v>
      </c>
      <c r="G39" s="283" cm="1">
        <f t="array" ref="G39">_xlfn.IFNA(INDEX('Input Data'!$M$20:$M$963,MATCH(Changes!B39&amp;"_"&amp;Changes!C39,'Input Data'!$B$20:$B$963&amp;"_"&amp;'Input Data'!$C$20:$C$963,0)),INDEX('[2]Input Data'!$L$20:$L$158,MATCH(B39&amp;"_"&amp;C39,'[2]Input Data'!$B$20:$B$158&amp;"_"&amp;'[2]Input Data'!$C$20:$C$158,0)))</f>
        <v>46203</v>
      </c>
      <c r="H39" s="313" cm="1">
        <f t="array" ref="H39">_xlfn._xlws.FILTER('Input Data'!$AA$20:$AA$963,('Input Data'!$B$20:$B$963=Changes!B39)*('Input Data'!$C$20:$C$963=Changes!C39),0)</f>
        <v>3094813.59839442</v>
      </c>
      <c r="I39" s="313" cm="1">
        <f t="array" ref="I39">_xlfn._xlws.FILTER('[2]Input Data'!$AA$20:$AA$173,('[2]Input Data'!$B$20:$B$173=Changes!B39)*('[2]Input Data'!$C$20:$C$173=Changes!C39),0)</f>
        <v>3094813.59839442</v>
      </c>
      <c r="J39" s="346" t="str" cm="1">
        <f t="array" ref="J39">_xlfn._xlws.FILTER('Input Data'!$E$20:$E$963,('Input Data'!$B$20:$B$963=Changes!B39)*('Input Data'!$C$20:$C$963=Changes!C39),0)</f>
        <v>Orbit</v>
      </c>
      <c r="K39" s="347" cm="1">
        <f t="array" ref="K39">_xlfn._xlws.FILTER('Input Data'!$L$20:$L$963,('Input Data'!$B$20:$B$963=Changes!B39)*('Input Data'!$C$20:$C$963=Changes!C39),0)</f>
        <v>45839</v>
      </c>
      <c r="L39" s="356" t="str" cm="1">
        <f t="array" ref="L39">_xlfn._xlws.FILTER('[2]Input Data'!$D$20:$D$173,('[2]Input Data'!$B$20:$B$173=Changes!B39)*('[2]Input Data'!$C$20:$C$173=Changes!C39),0)</f>
        <v>Orbit</v>
      </c>
      <c r="M39" s="314">
        <f>IFERROR(INDEX('Input Data'!$P$10:$P$14,MATCH(DATEDIF($M$4,G39,"M"),'Input Data'!$O$10:$O$14,1)),0)</f>
        <v>0.2</v>
      </c>
      <c r="N39" s="227"/>
      <c r="O39" s="227">
        <f>INDEX('Input Data'!$P$10:$P$14,MATCH(DATEDIF($O$4,G39,"M"),'Input Data'!$O$10:$O$14,1))</f>
        <v>0.2</v>
      </c>
      <c r="P39" s="204">
        <f t="shared" si="1"/>
        <v>0</v>
      </c>
      <c r="R39" cm="1">
        <f t="array" ref="R39">_xlfn.LET(_xlpm.current,INDEX('Input Data'!$M$20:$M$963,MATCH(Changes!B39&amp;"_"&amp;Changes!C39,'Input Data'!$B$20:$B$963&amp;"_"&amp;'Input Data'!$C$20:$C$963,0)),_xlpm.prev,INDEX('[2]Input Data'!$L$20:$L$173,MATCH(B39&amp;"_"&amp;C39,'[2]Input Data'!$B$20:$B$173&amp;"_"&amp;'[2]Input Data'!$C$20:$C$173,0)),
IF(OR(ISNA(_xlpm.current),ISNA(_xlpm.prev)),0,_xlpm.current-_xlpm.prev))</f>
        <v>0</v>
      </c>
      <c r="S39" s="186" t="b">
        <f t="shared" si="2"/>
        <v>0</v>
      </c>
      <c r="T39" t="str" cm="1">
        <f t="array" ref="T39">IFERROR(_xlfn._xlws.FILTER('Input Data'!$N$20:$N$963,('Input Data'!$B$20:$B$963=Changes!B39)*('Input Data'!$C$20:$C$963=Changes!C39)),_xlfn._xlws.FILTER('[2]Input Data'!$M$20:$M$173,('[2]Input Data'!$B$20:$B$173=Changes!B39)*('[2]Input Data'!$C$20:$C$173=Changes!C39)))</f>
        <v>SSL (Space Systems/Loral - Part of Maxar)</v>
      </c>
      <c r="V39" s="348"/>
      <c r="W39" s="227"/>
    </row>
    <row r="40" spans="1:25" x14ac:dyDescent="0.35">
      <c r="A40">
        <f t="shared" si="0"/>
        <v>1</v>
      </c>
      <c r="B40" s="315">
        <v>344558</v>
      </c>
      <c r="C40" s="282">
        <v>19</v>
      </c>
      <c r="D40" s="282" t="str">
        <v>Konnect</v>
      </c>
      <c r="E40" s="282" t="str">
        <v>FIID</v>
      </c>
      <c r="F40" s="282" t="str">
        <v>GEO-GSO</v>
      </c>
      <c r="G40" s="283" cm="1">
        <f t="array" ref="G40">_xlfn.IFNA(INDEX('Input Data'!$M$20:$M$963,MATCH(Changes!B40&amp;"_"&amp;Changes!C40,'Input Data'!$B$20:$B$963&amp;"_"&amp;'Input Data'!$C$20:$C$963,0)),INDEX('[2]Input Data'!$L$20:$L$158,MATCH(B40&amp;"_"&amp;C40,'[2]Input Data'!$B$20:$B$158&amp;"_"&amp;'[2]Input Data'!$C$20:$C$158,0)))</f>
        <v>46203</v>
      </c>
      <c r="H40" s="313" cm="1">
        <f t="array" ref="H40">_xlfn._xlws.FILTER('Input Data'!$AA$20:$AA$963,('Input Data'!$B$20:$B$963=Changes!B40)*('Input Data'!$C$20:$C$963=Changes!C40),0)</f>
        <v>8602524.4033901896</v>
      </c>
      <c r="I40" s="313" cm="1">
        <f t="array" ref="I40">_xlfn._xlws.FILTER('[2]Input Data'!$AA$20:$AA$173,('[2]Input Data'!$B$20:$B$173=Changes!B40)*('[2]Input Data'!$C$20:$C$173=Changes!C40),0)</f>
        <v>8602524.4033901896</v>
      </c>
      <c r="J40" s="346" t="str" cm="1">
        <f t="array" ref="J40">_xlfn._xlws.FILTER('Input Data'!$E$20:$E$963,('Input Data'!$B$20:$B$963=Changes!B40)*('Input Data'!$C$20:$C$963=Changes!C40),0)</f>
        <v>Orbit</v>
      </c>
      <c r="K40" s="347" cm="1">
        <f t="array" ref="K40">_xlfn._xlws.FILTER('Input Data'!$L$20:$L$963,('Input Data'!$B$20:$B$963=Changes!B40)*('Input Data'!$C$20:$C$963=Changes!C40),0)</f>
        <v>45839</v>
      </c>
      <c r="L40" s="356" t="str" cm="1">
        <f t="array" ref="L40">_xlfn._xlws.FILTER('[2]Input Data'!$D$20:$D$173,('[2]Input Data'!$B$20:$B$173=Changes!B40)*('[2]Input Data'!$C$20:$C$173=Changes!C40),0)</f>
        <v>Orbit</v>
      </c>
      <c r="M40" s="314">
        <f>IFERROR(INDEX('Input Data'!$P$10:$P$14,MATCH(DATEDIF($M$4,G40,"M"),'Input Data'!$O$10:$O$14,1)),0)</f>
        <v>0.2</v>
      </c>
      <c r="N40" s="227"/>
      <c r="O40" s="227">
        <f>INDEX('Input Data'!$P$10:$P$14,MATCH(DATEDIF($O$4,G40,"M"),'Input Data'!$O$10:$O$14,1))</f>
        <v>0.2</v>
      </c>
      <c r="P40" s="204">
        <f t="shared" si="1"/>
        <v>0</v>
      </c>
      <c r="R40" cm="1">
        <f t="array" ref="R40">_xlfn.LET(_xlpm.current,INDEX('Input Data'!$M$20:$M$963,MATCH(Changes!B40&amp;"_"&amp;Changes!C40,'Input Data'!$B$20:$B$963&amp;"_"&amp;'Input Data'!$C$20:$C$963,0)),_xlpm.prev,INDEX('[2]Input Data'!$L$20:$L$173,MATCH(B40&amp;"_"&amp;C40,'[2]Input Data'!$B$20:$B$173&amp;"_"&amp;'[2]Input Data'!$C$20:$C$173,0)),
IF(OR(ISNA(_xlpm.current),ISNA(_xlpm.prev)),0,_xlpm.current-_xlpm.prev))</f>
        <v>0</v>
      </c>
      <c r="S40" s="186" t="b">
        <f t="shared" si="2"/>
        <v>0</v>
      </c>
      <c r="T40" t="str" cm="1">
        <f t="array" ref="T40">IFERROR(_xlfn._xlws.FILTER('Input Data'!$N$20:$N$963,('Input Data'!$B$20:$B$963=Changes!B40)*('Input Data'!$C$20:$C$963=Changes!C40)),_xlfn._xlws.FILTER('[2]Input Data'!$M$20:$M$173,('[2]Input Data'!$B$20:$B$173=Changes!B40)*('[2]Input Data'!$C$20:$C$173=Changes!C40)))</f>
        <v>Thales Alenia Space France (Cannes)</v>
      </c>
      <c r="V40" s="348"/>
      <c r="W40" s="227"/>
    </row>
    <row r="41" spans="1:25" x14ac:dyDescent="0.35">
      <c r="A41">
        <f t="shared" si="0"/>
        <v>1</v>
      </c>
      <c r="B41" s="315">
        <v>344558</v>
      </c>
      <c r="C41" s="282">
        <v>21</v>
      </c>
      <c r="D41" s="282" t="str">
        <v>K-VHTS</v>
      </c>
      <c r="E41" s="282" t="str">
        <v>FIID</v>
      </c>
      <c r="F41" s="282" t="str">
        <v>GEO-GSO</v>
      </c>
      <c r="G41" s="283" cm="1">
        <f t="array" ref="G41">_xlfn.IFNA(INDEX('Input Data'!$M$20:$M$963,MATCH(Changes!B41&amp;"_"&amp;Changes!C41,'Input Data'!$B$20:$B$963&amp;"_"&amp;'Input Data'!$C$20:$C$963,0)),INDEX('[2]Input Data'!$L$20:$L$158,MATCH(B41&amp;"_"&amp;C41,'[2]Input Data'!$B$20:$B$158&amp;"_"&amp;'[2]Input Data'!$C$20:$C$158,0)))</f>
        <v>46203</v>
      </c>
      <c r="H41" s="313" cm="1">
        <f t="array" ref="H41">_xlfn._xlws.FILTER('Input Data'!$AA$20:$AA$963,('Input Data'!$B$20:$B$963=Changes!B41)*('Input Data'!$C$20:$C$963=Changes!C41),0)</f>
        <v>16937675.495607499</v>
      </c>
      <c r="I41" s="313" cm="1">
        <f t="array" ref="I41">_xlfn._xlws.FILTER('[2]Input Data'!$AA$20:$AA$173,('[2]Input Data'!$B$20:$B$173=Changes!B41)*('[2]Input Data'!$C$20:$C$173=Changes!C41),0)</f>
        <v>16937675.495607499</v>
      </c>
      <c r="J41" s="346" t="str" cm="1">
        <f t="array" ref="J41">_xlfn._xlws.FILTER('Input Data'!$E$20:$E$963,('Input Data'!$B$20:$B$963=Changes!B41)*('Input Data'!$C$20:$C$963=Changes!C41),0)</f>
        <v>Orbit</v>
      </c>
      <c r="K41" s="347" cm="1">
        <f t="array" ref="K41">_xlfn._xlws.FILTER('Input Data'!$L$20:$L$963,('Input Data'!$B$20:$B$963=Changes!B41)*('Input Data'!$C$20:$C$963=Changes!C41),0)</f>
        <v>45839</v>
      </c>
      <c r="L41" s="356" t="str" cm="1">
        <f t="array" ref="L41">_xlfn._xlws.FILTER('[2]Input Data'!$D$20:$D$173,('[2]Input Data'!$B$20:$B$173=Changes!B41)*('[2]Input Data'!$C$20:$C$173=Changes!C41),0)</f>
        <v>Orbit</v>
      </c>
      <c r="M41" s="314">
        <f>IFERROR(INDEX('Input Data'!$P$10:$P$14,MATCH(DATEDIF($M$4,G41,"M"),'Input Data'!$O$10:$O$14,1)),0)</f>
        <v>0.2</v>
      </c>
      <c r="N41" s="227"/>
      <c r="O41" s="227">
        <f>INDEX('Input Data'!$P$10:$P$14,MATCH(DATEDIF($O$4,G41,"M"),'Input Data'!$O$10:$O$14,1))</f>
        <v>0.2</v>
      </c>
      <c r="P41" s="204">
        <f t="shared" si="1"/>
        <v>0</v>
      </c>
      <c r="R41" cm="1">
        <f t="array" ref="R41">_xlfn.LET(_xlpm.current,INDEX('Input Data'!$M$20:$M$963,MATCH(Changes!B41&amp;"_"&amp;Changes!C41,'Input Data'!$B$20:$B$963&amp;"_"&amp;'Input Data'!$C$20:$C$963,0)),_xlpm.prev,INDEX('[2]Input Data'!$L$20:$L$173,MATCH(B41&amp;"_"&amp;C41,'[2]Input Data'!$B$20:$B$173&amp;"_"&amp;'[2]Input Data'!$C$20:$C$173,0)),
IF(OR(ISNA(_xlpm.current),ISNA(_xlpm.prev)),0,_xlpm.current-_xlpm.prev))</f>
        <v>0</v>
      </c>
      <c r="S41" s="186" t="b">
        <f t="shared" si="2"/>
        <v>0</v>
      </c>
      <c r="T41" t="str" cm="1">
        <f t="array" ref="T41">IFERROR(_xlfn._xlws.FILTER('Input Data'!$N$20:$N$963,('Input Data'!$B$20:$B$963=Changes!B41)*('Input Data'!$C$20:$C$963=Changes!C41)),_xlfn._xlws.FILTER('[2]Input Data'!$M$20:$M$173,('[2]Input Data'!$B$20:$B$173=Changes!B41)*('[2]Input Data'!$C$20:$C$173=Changes!C41)))</f>
        <v>Thales Alenia Space France (Cannes)</v>
      </c>
      <c r="V41" s="348"/>
      <c r="W41" s="227"/>
    </row>
    <row r="42" spans="1:25" x14ac:dyDescent="0.35">
      <c r="A42">
        <f t="shared" si="0"/>
        <v>1</v>
      </c>
      <c r="B42" s="315">
        <v>344558</v>
      </c>
      <c r="C42" s="282">
        <v>20</v>
      </c>
      <c r="D42" s="282" t="str">
        <v>E13G</v>
      </c>
      <c r="E42" s="282" t="str">
        <v>FIID</v>
      </c>
      <c r="F42" s="282" t="str">
        <v>GEO-GSO</v>
      </c>
      <c r="G42" s="283" cm="1">
        <f t="array" ref="G42">_xlfn.IFNA(INDEX('Input Data'!$M$20:$M$963,MATCH(Changes!B42&amp;"_"&amp;Changes!C42,'Input Data'!$B$20:$B$963&amp;"_"&amp;'Input Data'!$C$20:$C$963,0)),INDEX('[2]Input Data'!$L$20:$L$158,MATCH(B42&amp;"_"&amp;C42,'[2]Input Data'!$B$20:$B$158&amp;"_"&amp;'[2]Input Data'!$C$20:$C$158,0)))</f>
        <v>46203</v>
      </c>
      <c r="H42" s="313" cm="1">
        <f t="array" ref="H42">_xlfn._xlws.FILTER('Input Data'!$AA$20:$AA$963,('Input Data'!$B$20:$B$963=Changes!B42)*('Input Data'!$C$20:$C$963=Changes!C42),0)</f>
        <v>19814782.423728701</v>
      </c>
      <c r="I42" s="313" cm="1">
        <f t="array" ref="I42">_xlfn._xlws.FILTER('[2]Input Data'!$AA$20:$AA$173,('[2]Input Data'!$B$20:$B$173=Changes!B42)*('[2]Input Data'!$C$20:$C$173=Changes!C42),0)</f>
        <v>19814782.423728701</v>
      </c>
      <c r="J42" s="346" t="str" cm="1">
        <f t="array" ref="J42">_xlfn._xlws.FILTER('Input Data'!$E$20:$E$963,('Input Data'!$B$20:$B$963=Changes!B42)*('Input Data'!$C$20:$C$963=Changes!C42),0)</f>
        <v>Orbit</v>
      </c>
      <c r="K42" s="347" cm="1">
        <f t="array" ref="K42">_xlfn._xlws.FILTER('Input Data'!$L$20:$L$963,('Input Data'!$B$20:$B$963=Changes!B42)*('Input Data'!$C$20:$C$963=Changes!C42),0)</f>
        <v>45839</v>
      </c>
      <c r="L42" s="356" t="str" cm="1">
        <f t="array" ref="L42">_xlfn._xlws.FILTER('[2]Input Data'!$D$20:$D$173,('[2]Input Data'!$B$20:$B$173=Changes!B42)*('[2]Input Data'!$C$20:$C$173=Changes!C42),0)</f>
        <v>Orbit</v>
      </c>
      <c r="M42" s="314">
        <f>IFERROR(INDEX('Input Data'!$P$10:$P$14,MATCH(DATEDIF($M$4,G42,"M"),'Input Data'!$O$10:$O$14,1)),0)</f>
        <v>0.2</v>
      </c>
      <c r="N42" s="227"/>
      <c r="O42" s="227">
        <f>INDEX('Input Data'!$P$10:$P$14,MATCH(DATEDIF($O$4,G42,"M"),'Input Data'!$O$10:$O$14,1))</f>
        <v>0.2</v>
      </c>
      <c r="P42" s="204">
        <f t="shared" si="1"/>
        <v>0</v>
      </c>
      <c r="R42" cm="1">
        <f t="array" ref="R42">_xlfn.LET(_xlpm.current,INDEX('Input Data'!$M$20:$M$963,MATCH(Changes!B42&amp;"_"&amp;Changes!C42,'Input Data'!$B$20:$B$963&amp;"_"&amp;'Input Data'!$C$20:$C$963,0)),_xlpm.prev,INDEX('[2]Input Data'!$L$20:$L$173,MATCH(B42&amp;"_"&amp;C42,'[2]Input Data'!$B$20:$B$173&amp;"_"&amp;'[2]Input Data'!$C$20:$C$173,0)),
IF(OR(ISNA(_xlpm.current),ISNA(_xlpm.prev)),0,_xlpm.current-_xlpm.prev))</f>
        <v>0</v>
      </c>
      <c r="S42" s="186" t="b">
        <f t="shared" si="2"/>
        <v>0</v>
      </c>
      <c r="T42" t="str" cm="1">
        <f t="array" ref="T42">IFERROR(_xlfn._xlws.FILTER('Input Data'!$N$20:$N$963,('Input Data'!$B$20:$B$963=Changes!B42)*('Input Data'!$C$20:$C$963=Changes!C42)),_xlfn._xlws.FILTER('[2]Input Data'!$M$20:$M$173,('[2]Input Data'!$B$20:$B$173=Changes!B42)*('[2]Input Data'!$C$20:$C$173=Changes!C42)))</f>
        <v>Airbus Defence and Space (Toulouse)</v>
      </c>
      <c r="V42" s="348"/>
      <c r="W42" s="227"/>
    </row>
    <row r="43" spans="1:25" x14ac:dyDescent="0.35">
      <c r="A43">
        <f t="shared" si="0"/>
        <v>1</v>
      </c>
      <c r="B43" s="315">
        <v>344558</v>
      </c>
      <c r="C43" s="282">
        <v>22</v>
      </c>
      <c r="D43" s="282" t="str">
        <v>E10B</v>
      </c>
      <c r="E43" s="282" t="str">
        <v>FIID</v>
      </c>
      <c r="F43" s="282" t="str">
        <v>GEO-GSO</v>
      </c>
      <c r="G43" s="283" cm="1">
        <f t="array" ref="G43">_xlfn.IFNA(INDEX('Input Data'!$M$20:$M$963,MATCH(Changes!B43&amp;"_"&amp;Changes!C43,'Input Data'!$B$20:$B$963&amp;"_"&amp;'Input Data'!$C$20:$C$963,0)),INDEX('[2]Input Data'!$L$20:$L$158,MATCH(B43&amp;"_"&amp;C43,'[2]Input Data'!$B$20:$B$158&amp;"_"&amp;'[2]Input Data'!$C$20:$C$158,0)))</f>
        <v>46203</v>
      </c>
      <c r="H43" s="313" cm="1">
        <f t="array" ref="H43">_xlfn._xlws.FILTER('Input Data'!$AA$20:$AA$963,('Input Data'!$B$20:$B$963=Changes!B43)*('Input Data'!$C$20:$C$963=Changes!C43),0)</f>
        <v>19814782.423728701</v>
      </c>
      <c r="I43" s="313" cm="1">
        <f t="array" ref="I43">_xlfn._xlws.FILTER('[2]Input Data'!$AA$20:$AA$173,('[2]Input Data'!$B$20:$B$173=Changes!B43)*('[2]Input Data'!$C$20:$C$173=Changes!C43),0)</f>
        <v>19814782.423728701</v>
      </c>
      <c r="J43" s="346" t="str" cm="1">
        <f t="array" ref="J43">_xlfn._xlws.FILTER('Input Data'!$E$20:$E$963,('Input Data'!$B$20:$B$963=Changes!B43)*('Input Data'!$C$20:$C$963=Changes!C43),0)</f>
        <v>Orbit</v>
      </c>
      <c r="K43" s="347" cm="1">
        <f t="array" ref="K43">_xlfn._xlws.FILTER('Input Data'!$L$20:$L$963,('Input Data'!$B$20:$B$963=Changes!B43)*('Input Data'!$C$20:$C$963=Changes!C43),0)</f>
        <v>45839</v>
      </c>
      <c r="L43" s="356" t="str" cm="1">
        <f t="array" ref="L43">_xlfn._xlws.FILTER('[2]Input Data'!$D$20:$D$173,('[2]Input Data'!$B$20:$B$173=Changes!B43)*('[2]Input Data'!$C$20:$C$173=Changes!C43),0)</f>
        <v>Orbit</v>
      </c>
      <c r="M43" s="314">
        <f>IFERROR(INDEX('Input Data'!$P$10:$P$14,MATCH(DATEDIF($M$4,G43,"M"),'Input Data'!$O$10:$O$14,1)),0)</f>
        <v>0.2</v>
      </c>
      <c r="N43" s="227"/>
      <c r="O43" s="227">
        <f>INDEX('Input Data'!$P$10:$P$14,MATCH(DATEDIF($O$4,G43,"M"),'Input Data'!$O$10:$O$14,1))</f>
        <v>0.2</v>
      </c>
      <c r="P43" s="204">
        <f t="shared" si="1"/>
        <v>0</v>
      </c>
      <c r="R43" cm="1">
        <f t="array" ref="R43">_xlfn.LET(_xlpm.current,INDEX('Input Data'!$M$20:$M$963,MATCH(Changes!B43&amp;"_"&amp;Changes!C43,'Input Data'!$B$20:$B$963&amp;"_"&amp;'Input Data'!$C$20:$C$963,0)),_xlpm.prev,INDEX('[2]Input Data'!$L$20:$L$173,MATCH(B43&amp;"_"&amp;C43,'[2]Input Data'!$B$20:$B$173&amp;"_"&amp;'[2]Input Data'!$C$20:$C$173,0)),
IF(OR(ISNA(_xlpm.current),ISNA(_xlpm.prev)),0,_xlpm.current-_xlpm.prev))</f>
        <v>0</v>
      </c>
      <c r="S43" s="186" t="b">
        <f t="shared" si="2"/>
        <v>0</v>
      </c>
      <c r="T43" t="str" cm="1">
        <f t="array" ref="T43">IFERROR(_xlfn._xlws.FILTER('Input Data'!$N$20:$N$963,('Input Data'!$B$20:$B$963=Changes!B43)*('Input Data'!$C$20:$C$963=Changes!C43)),_xlfn._xlws.FILTER('[2]Input Data'!$M$20:$M$173,('[2]Input Data'!$B$20:$B$173=Changes!B43)*('[2]Input Data'!$C$20:$C$173=Changes!C43)))</f>
        <v>Thales Alenia Space France (Cannes)</v>
      </c>
      <c r="V43" s="348"/>
      <c r="W43" s="227"/>
    </row>
    <row r="44" spans="1:25" x14ac:dyDescent="0.35">
      <c r="A44">
        <f t="shared" si="0"/>
        <v>1</v>
      </c>
      <c r="B44" s="315">
        <v>344558</v>
      </c>
      <c r="C44" s="282">
        <v>23</v>
      </c>
      <c r="D44" s="282" t="str">
        <v>E13F</v>
      </c>
      <c r="E44" s="282" t="str">
        <v>FIID</v>
      </c>
      <c r="F44" s="282" t="str">
        <v>GEO-GSO</v>
      </c>
      <c r="G44" s="283" cm="1">
        <f t="array" ref="G44">_xlfn.IFNA(INDEX('Input Data'!$M$20:$M$963,MATCH(Changes!B44&amp;"_"&amp;Changes!C44,'Input Data'!$B$20:$B$963&amp;"_"&amp;'Input Data'!$C$20:$C$963,0)),INDEX('[2]Input Data'!$L$20:$L$158,MATCH(B44&amp;"_"&amp;C44,'[2]Input Data'!$B$20:$B$158&amp;"_"&amp;'[2]Input Data'!$C$20:$C$158,0)))</f>
        <v>46203</v>
      </c>
      <c r="H44" s="313" cm="1">
        <f t="array" ref="H44">_xlfn._xlws.FILTER('Input Data'!$AA$20:$AA$963,('Input Data'!$B$20:$B$963=Changes!B44)*('Input Data'!$C$20:$C$963=Changes!C44),0)</f>
        <v>19814782.423728701</v>
      </c>
      <c r="I44" s="313" cm="1">
        <f t="array" ref="I44">_xlfn._xlws.FILTER('[2]Input Data'!$AA$20:$AA$173,('[2]Input Data'!$B$20:$B$173=Changes!B44)*('[2]Input Data'!$C$20:$C$173=Changes!C44),0)</f>
        <v>19814782.423728701</v>
      </c>
      <c r="J44" s="346" t="str" cm="1">
        <f t="array" ref="J44">_xlfn._xlws.FILTER('Input Data'!$E$20:$E$963,('Input Data'!$B$20:$B$963=Changes!B44)*('Input Data'!$C$20:$C$963=Changes!C44),0)</f>
        <v>Orbit</v>
      </c>
      <c r="K44" s="347" cm="1">
        <f t="array" ref="K44">_xlfn._xlws.FILTER('Input Data'!$L$20:$L$963,('Input Data'!$B$20:$B$963=Changes!B44)*('Input Data'!$C$20:$C$963=Changes!C44),0)</f>
        <v>45839</v>
      </c>
      <c r="L44" s="356" t="str" cm="1">
        <f t="array" ref="L44">_xlfn._xlws.FILTER('[2]Input Data'!$D$20:$D$173,('[2]Input Data'!$B$20:$B$173=Changes!B44)*('[2]Input Data'!$C$20:$C$173=Changes!C44),0)</f>
        <v>Orbit</v>
      </c>
      <c r="M44" s="314">
        <f>IFERROR(INDEX('Input Data'!$P$10:$P$14,MATCH(DATEDIF($M$4,G44,"M"),'Input Data'!$O$10:$O$14,1)),0)</f>
        <v>0.2</v>
      </c>
      <c r="N44" s="227"/>
      <c r="O44" s="227">
        <f>INDEX('Input Data'!$P$10:$P$14,MATCH(DATEDIF($O$4,G44,"M"),'Input Data'!$O$10:$O$14,1))</f>
        <v>0.2</v>
      </c>
      <c r="P44" s="204">
        <f t="shared" si="1"/>
        <v>0</v>
      </c>
      <c r="R44" cm="1">
        <f t="array" ref="R44">_xlfn.LET(_xlpm.current,INDEX('Input Data'!$M$20:$M$963,MATCH(Changes!B44&amp;"_"&amp;Changes!C44,'Input Data'!$B$20:$B$963&amp;"_"&amp;'Input Data'!$C$20:$C$963,0)),_xlpm.prev,INDEX('[2]Input Data'!$L$20:$L$173,MATCH(B44&amp;"_"&amp;C44,'[2]Input Data'!$B$20:$B$173&amp;"_"&amp;'[2]Input Data'!$C$20:$C$173,0)),
IF(OR(ISNA(_xlpm.current),ISNA(_xlpm.prev)),0,_xlpm.current-_xlpm.prev))</f>
        <v>0</v>
      </c>
      <c r="S44" s="186" t="b">
        <f t="shared" si="2"/>
        <v>0</v>
      </c>
      <c r="T44" t="str" cm="1">
        <f t="array" ref="T44">IFERROR(_xlfn._xlws.FILTER('Input Data'!$N$20:$N$963,('Input Data'!$B$20:$B$963=Changes!B44)*('Input Data'!$C$20:$C$963=Changes!C44)),_xlfn._xlws.FILTER('[2]Input Data'!$M$20:$M$173,('[2]Input Data'!$B$20:$B$173=Changes!B44)*('[2]Input Data'!$C$20:$C$173=Changes!C44)))</f>
        <v>Airbus Defence and Space (Toulouse)</v>
      </c>
      <c r="V44" s="348"/>
      <c r="W44" s="227"/>
    </row>
    <row r="45" spans="1:25" x14ac:dyDescent="0.35">
      <c r="A45">
        <f t="shared" si="0"/>
        <v>1</v>
      </c>
      <c r="B45" s="315">
        <v>328274</v>
      </c>
      <c r="C45" s="282">
        <v>433090</v>
      </c>
      <c r="D45" s="282" t="str">
        <v>SPAINSAT NG-1</v>
      </c>
      <c r="E45" s="282" t="str">
        <v>FIID</v>
      </c>
      <c r="F45" s="282" t="str">
        <v>GEO-GSO</v>
      </c>
      <c r="G45" s="283" cm="1">
        <f t="array" ref="G45">_xlfn.IFNA(INDEX('Input Data'!$M$20:$M$963,MATCH(Changes!B45&amp;"_"&amp;Changes!C45,'Input Data'!$B$20:$B$963&amp;"_"&amp;'Input Data'!$C$20:$C$963,0)),INDEX('[2]Input Data'!$L$20:$L$158,MATCH(B45&amp;"_"&amp;C45,'[2]Input Data'!$B$20:$B$158&amp;"_"&amp;'[2]Input Data'!$C$20:$C$158,0)))</f>
        <v>46172</v>
      </c>
      <c r="H45" s="313" cm="1">
        <f t="array" ref="H45">_xlfn._xlws.FILTER('Input Data'!$AA$20:$AA$963,('Input Data'!$B$20:$B$963=Changes!B45)*('Input Data'!$C$20:$C$963=Changes!C45),0)</f>
        <v>26601157.9806302</v>
      </c>
      <c r="I45" s="313" cm="1">
        <f t="array" ref="I45">_xlfn._xlws.FILTER('[2]Input Data'!$AA$20:$AA$173,('[2]Input Data'!$B$20:$B$173=Changes!B45)*('[2]Input Data'!$C$20:$C$173=Changes!C45),0)</f>
        <v>26601157.9806302</v>
      </c>
      <c r="J45" s="346" t="str" cm="1">
        <f t="array" ref="J45">_xlfn._xlws.FILTER('Input Data'!$E$20:$E$963,('Input Data'!$B$20:$B$963=Changes!B45)*('Input Data'!$C$20:$C$963=Changes!C45),0)</f>
        <v>L + 24 Months</v>
      </c>
      <c r="K45" s="347" cm="1">
        <f t="array" ref="K45">_xlfn._xlws.FILTER('Input Data'!$L$20:$L$963,('Input Data'!$B$20:$B$963=Changes!B45)*('Input Data'!$C$20:$C$963=Changes!C45),0)</f>
        <v>45687</v>
      </c>
      <c r="L45" s="356" t="str" cm="1">
        <f t="array" ref="L45">_xlfn._xlws.FILTER('[2]Input Data'!$D$20:$D$173,('[2]Input Data'!$B$20:$B$173=Changes!B45)*('[2]Input Data'!$C$20:$C$173=Changes!C45),0)</f>
        <v>L + 24 Months</v>
      </c>
      <c r="M45" s="314">
        <f>IFERROR(INDEX('Input Data'!$P$10:$P$14,MATCH(DATEDIF($M$4,G45,"M"),'Input Data'!$O$10:$O$14,1)),0)</f>
        <v>0.2</v>
      </c>
      <c r="N45" s="227"/>
      <c r="O45" s="227">
        <f>INDEX('Input Data'!$P$10:$P$14,MATCH(DATEDIF($O$4,G45,"M"),'Input Data'!$O$10:$O$14,1))</f>
        <v>0.2</v>
      </c>
      <c r="P45" s="204">
        <f t="shared" si="1"/>
        <v>0</v>
      </c>
      <c r="R45" cm="1">
        <f t="array" ref="R45">_xlfn.LET(_xlpm.current,INDEX('Input Data'!$M$20:$M$963,MATCH(Changes!B45&amp;"_"&amp;Changes!C45,'Input Data'!$B$20:$B$963&amp;"_"&amp;'Input Data'!$C$20:$C$963,0)),_xlpm.prev,INDEX('[2]Input Data'!$L$20:$L$173,MATCH(B45&amp;"_"&amp;C45,'[2]Input Data'!$B$20:$B$173&amp;"_"&amp;'[2]Input Data'!$C$20:$C$173,0)),
IF(OR(ISNA(_xlpm.current),ISNA(_xlpm.prev)),0,_xlpm.current-_xlpm.prev))</f>
        <v>0</v>
      </c>
      <c r="S45" s="186" t="b">
        <f t="shared" si="2"/>
        <v>0</v>
      </c>
      <c r="T45" t="str" cm="1">
        <f t="array" ref="T45">IFERROR(_xlfn._xlws.FILTER('Input Data'!$N$20:$N$963,('Input Data'!$B$20:$B$963=Changes!B45)*('Input Data'!$C$20:$C$963=Changes!C45)),_xlfn._xlws.FILTER('[2]Input Data'!$M$20:$M$173,('[2]Input Data'!$B$20:$B$173=Changes!B45)*('[2]Input Data'!$C$20:$C$173=Changes!C45)))</f>
        <v>Airbus Defence and Space (Toulouse)</v>
      </c>
      <c r="V45" s="348"/>
      <c r="W45" s="227"/>
    </row>
    <row r="46" spans="1:25" x14ac:dyDescent="0.35">
      <c r="A46">
        <f t="shared" si="0"/>
        <v>1</v>
      </c>
      <c r="B46" s="315">
        <v>328274</v>
      </c>
      <c r="C46" s="282">
        <v>436566</v>
      </c>
      <c r="D46" s="282" t="str">
        <v>SPAINSAT NG-2</v>
      </c>
      <c r="E46" s="282" t="str">
        <v>FIID</v>
      </c>
      <c r="F46" s="282" t="str">
        <v>GEO-GSO</v>
      </c>
      <c r="G46" s="283" cm="1">
        <f t="array" ref="G46">_xlfn.IFNA(INDEX('Input Data'!$M$20:$M$963,MATCH(Changes!B46&amp;"_"&amp;Changes!C46,'Input Data'!$B$20:$B$963&amp;"_"&amp;'Input Data'!$C$20:$C$963,0)),INDEX('[2]Input Data'!$L$20:$L$158,MATCH(B46&amp;"_"&amp;C46,'[2]Input Data'!$B$20:$B$158&amp;"_"&amp;'[2]Input Data'!$C$20:$C$158,0)))</f>
        <v>46442</v>
      </c>
      <c r="H46" s="313" cm="1">
        <f t="array" ref="H46">_xlfn._xlws.FILTER('Input Data'!$AA$20:$AA$963,('Input Data'!$B$20:$B$963=Changes!B46)*('Input Data'!$C$20:$C$963=Changes!C46),0)</f>
        <v>26601157.9806302</v>
      </c>
      <c r="I46" s="313" cm="1">
        <f t="array" ref="I46">_xlfn._xlws.FILTER('[2]Input Data'!$AA$20:$AA$173,('[2]Input Data'!$B$20:$B$173=Changes!B46)*('[2]Input Data'!$C$20:$C$173=Changes!C46),0)</f>
        <v>26601157.9806302</v>
      </c>
      <c r="J46" s="346" t="str" cm="1">
        <f t="array" ref="J46">_xlfn._xlws.FILTER('Input Data'!$E$20:$E$963,('Input Data'!$B$20:$B$963=Changes!B46)*('Input Data'!$C$20:$C$963=Changes!C46),0)</f>
        <v>L + 24 Months</v>
      </c>
      <c r="K46" s="347" cm="1">
        <f t="array" ref="K46">_xlfn._xlws.FILTER('Input Data'!$L$20:$L$963,('Input Data'!$B$20:$B$963=Changes!B46)*('Input Data'!$C$20:$C$963=Changes!C46),0)</f>
        <v>45954</v>
      </c>
      <c r="L46" s="356" t="str" cm="1">
        <f t="array" ref="L46">_xlfn._xlws.FILTER('[2]Input Data'!$D$20:$D$173,('[2]Input Data'!$B$20:$B$173=Changes!B46)*('[2]Input Data'!$C$20:$C$173=Changes!C46),0)</f>
        <v>L + 24 Months</v>
      </c>
      <c r="M46" s="314">
        <f>IFERROR(INDEX('Input Data'!$P$10:$P$14,MATCH(DATEDIF($M$4,G46,"M"),'Input Data'!$O$10:$O$14,1)),0)</f>
        <v>0.4</v>
      </c>
      <c r="N46" s="227"/>
      <c r="O46" s="227">
        <f>INDEX('Input Data'!$P$10:$P$14,MATCH(DATEDIF($O$4,G46,"M"),'Input Data'!$O$10:$O$14,1))</f>
        <v>0.6</v>
      </c>
      <c r="P46" s="204">
        <f t="shared" si="1"/>
        <v>0</v>
      </c>
      <c r="R46" cm="1">
        <f t="array" ref="R46">_xlfn.LET(_xlpm.current,INDEX('Input Data'!$M$20:$M$963,MATCH(Changes!B46&amp;"_"&amp;Changes!C46,'Input Data'!$B$20:$B$963&amp;"_"&amp;'Input Data'!$C$20:$C$963,0)),_xlpm.prev,INDEX('[2]Input Data'!$L$20:$L$173,MATCH(B46&amp;"_"&amp;C46,'[2]Input Data'!$B$20:$B$173&amp;"_"&amp;'[2]Input Data'!$C$20:$C$173,0)),
IF(OR(ISNA(_xlpm.current),ISNA(_xlpm.prev)),0,_xlpm.current-_xlpm.prev))</f>
        <v>0</v>
      </c>
      <c r="S46" s="186" t="b">
        <f t="shared" si="2"/>
        <v>1</v>
      </c>
      <c r="T46" t="str" cm="1">
        <f t="array" ref="T46">IFERROR(_xlfn._xlws.FILTER('Input Data'!$N$20:$N$963,('Input Data'!$B$20:$B$963=Changes!B46)*('Input Data'!$C$20:$C$963=Changes!C46)),_xlfn._xlws.FILTER('[2]Input Data'!$M$20:$M$173,('[2]Input Data'!$B$20:$B$173=Changes!B46)*('[2]Input Data'!$C$20:$C$173=Changes!C46)))</f>
        <v>Airbus Defence and Space (Toulouse)</v>
      </c>
      <c r="V46" s="348"/>
      <c r="W46" s="227"/>
      <c r="X46" s="206" t="s">
        <v>494</v>
      </c>
      <c r="Y46" s="206" t="s">
        <v>493</v>
      </c>
    </row>
    <row r="47" spans="1:25" x14ac:dyDescent="0.35">
      <c r="A47">
        <f t="shared" si="0"/>
        <v>1</v>
      </c>
      <c r="B47" s="315">
        <v>334082</v>
      </c>
      <c r="C47" s="282">
        <v>445095</v>
      </c>
      <c r="D47" s="282" t="str">
        <v>SPAINSAT NG-1</v>
      </c>
      <c r="E47" s="282" t="str">
        <v>FIID</v>
      </c>
      <c r="F47" s="282" t="str">
        <v>GEO-GSO</v>
      </c>
      <c r="G47" s="283" cm="1">
        <f t="array" ref="G47">_xlfn.IFNA(INDEX('Input Data'!$M$20:$M$963,MATCH(Changes!B47&amp;"_"&amp;Changes!C47,'Input Data'!$B$20:$B$963&amp;"_"&amp;'Input Data'!$C$20:$C$963,0)),INDEX('[2]Input Data'!$L$20:$L$158,MATCH(B47&amp;"_"&amp;C47,'[2]Input Data'!$B$20:$B$158&amp;"_"&amp;'[2]Input Data'!$C$20:$C$158,0)))</f>
        <v>46172</v>
      </c>
      <c r="H47" s="313" cm="1">
        <f t="array" ref="H47">_xlfn._xlws.FILTER('Input Data'!$AA$20:$AA$963,('Input Data'!$B$20:$B$963=Changes!B47)*('Input Data'!$C$20:$C$963=Changes!C47),0)</f>
        <v>2256469.3948105499</v>
      </c>
      <c r="I47" s="313" cm="1">
        <f t="array" ref="I47">_xlfn._xlws.FILTER('[2]Input Data'!$AA$20:$AA$173,('[2]Input Data'!$B$20:$B$173=Changes!B47)*('[2]Input Data'!$C$20:$C$173=Changes!C47),0)</f>
        <v>2256469.3948105499</v>
      </c>
      <c r="J47" s="346" t="str" cm="1">
        <f t="array" ref="J47">_xlfn._xlws.FILTER('Input Data'!$E$20:$E$963,('Input Data'!$B$20:$B$963=Changes!B47)*('Input Data'!$C$20:$C$963=Changes!C47),0)</f>
        <v>L + 24 Months</v>
      </c>
      <c r="K47" s="347" cm="1">
        <f t="array" ref="K47">_xlfn._xlws.FILTER('Input Data'!$L$20:$L$963,('Input Data'!$B$20:$B$963=Changes!B47)*('Input Data'!$C$20:$C$963=Changes!C47),0)</f>
        <v>45687</v>
      </c>
      <c r="L47" s="356" t="str" cm="1">
        <f t="array" ref="L47">_xlfn._xlws.FILTER('[2]Input Data'!$D$20:$D$173,('[2]Input Data'!$B$20:$B$173=Changes!B47)*('[2]Input Data'!$C$20:$C$173=Changes!C47),0)</f>
        <v>L + 24 Months</v>
      </c>
      <c r="M47" s="314">
        <f>IFERROR(INDEX('Input Data'!$P$10:$P$14,MATCH(DATEDIF($M$4,G47,"M"),'Input Data'!$O$10:$O$14,1)),0)</f>
        <v>0.2</v>
      </c>
      <c r="N47" s="227"/>
      <c r="O47" s="227">
        <f>INDEX('Input Data'!$P$10:$P$14,MATCH(DATEDIF($O$4,G47,"M"),'Input Data'!$O$10:$O$14,1))</f>
        <v>0.2</v>
      </c>
      <c r="P47" s="204">
        <f t="shared" si="1"/>
        <v>0</v>
      </c>
      <c r="R47" cm="1">
        <f t="array" ref="R47">_xlfn.LET(_xlpm.current,INDEX('Input Data'!$M$20:$M$963,MATCH(Changes!B47&amp;"_"&amp;Changes!C47,'Input Data'!$B$20:$B$963&amp;"_"&amp;'Input Data'!$C$20:$C$963,0)),_xlpm.prev,INDEX('[2]Input Data'!$L$20:$L$173,MATCH(B47&amp;"_"&amp;C47,'[2]Input Data'!$B$20:$B$173&amp;"_"&amp;'[2]Input Data'!$C$20:$C$173,0)),
IF(OR(ISNA(_xlpm.current),ISNA(_xlpm.prev)),0,_xlpm.current-_xlpm.prev))</f>
        <v>0</v>
      </c>
      <c r="S47" s="186" t="b">
        <f t="shared" si="2"/>
        <v>0</v>
      </c>
      <c r="T47" t="str" cm="1">
        <f t="array" ref="T47">IFERROR(_xlfn._xlws.FILTER('Input Data'!$N$20:$N$963,('Input Data'!$B$20:$B$963=Changes!B47)*('Input Data'!$C$20:$C$963=Changes!C47)),_xlfn._xlws.FILTER('[2]Input Data'!$M$20:$M$173,('[2]Input Data'!$B$20:$B$173=Changes!B47)*('[2]Input Data'!$C$20:$C$173=Changes!C47)))</f>
        <v>Airbus Defence and Space (Toulouse)</v>
      </c>
      <c r="V47" s="348"/>
      <c r="W47" s="227"/>
      <c r="X47" s="258" t="str">
        <f>X8</f>
        <v>Came On Risk</v>
      </c>
      <c r="Y47" t="e" cm="1" vm="1">
        <f t="array" ref="Y47">_xlfn.TEXTJOIN(", ",TRUE,_xlfn.UNIQUE(_xlfn._xlws.FILTER($D$7:$D$205,$Q$7:$Q$205=$X8)))</f>
        <v>#VALUE!</v>
      </c>
    </row>
    <row r="48" spans="1:25" x14ac:dyDescent="0.35">
      <c r="A48">
        <f t="shared" si="0"/>
        <v>1</v>
      </c>
      <c r="B48" s="315">
        <v>334902</v>
      </c>
      <c r="C48" s="282">
        <v>446645</v>
      </c>
      <c r="D48" s="282" t="str">
        <v>OVZON-3</v>
      </c>
      <c r="E48" s="282" t="str">
        <v>FIID</v>
      </c>
      <c r="F48" s="282" t="str">
        <v>GEO-GSO</v>
      </c>
      <c r="G48" s="283" cm="1">
        <f t="array" ref="G48">_xlfn.IFNA(INDEX('Input Data'!$M$20:$M$963,MATCH(Changes!B48&amp;"_"&amp;Changes!C48,'Input Data'!$B$20:$B$963&amp;"_"&amp;'Input Data'!$C$20:$C$963,0)),INDEX('[2]Input Data'!$L$20:$L$158,MATCH(B48&amp;"_"&amp;C48,'[2]Input Data'!$B$20:$B$158&amp;"_"&amp;'[2]Input Data'!$C$20:$C$158,0)))</f>
        <v>46142</v>
      </c>
      <c r="H48" s="313" cm="1">
        <f t="array" ref="H48">_xlfn._xlws.FILTER('Input Data'!$AA$20:$AA$963,('Input Data'!$B$20:$B$963=Changes!B48)*('Input Data'!$C$20:$C$963=Changes!C48),0)</f>
        <v>10824710.7036082</v>
      </c>
      <c r="I48" s="313" cm="1">
        <f t="array" ref="I48">_xlfn._xlws.FILTER('[2]Input Data'!$AA$20:$AA$173,('[2]Input Data'!$B$20:$B$173=Changes!B48)*('[2]Input Data'!$C$20:$C$173=Changes!C48),0)</f>
        <v>10824710.7036082</v>
      </c>
      <c r="J48" s="346" t="str" cm="1">
        <f t="array" ref="J48">_xlfn._xlws.FILTER('Input Data'!$E$20:$E$963,('Input Data'!$B$20:$B$963=Changes!B48)*('Input Data'!$C$20:$C$963=Changes!C48),0)</f>
        <v>In-Orbit</v>
      </c>
      <c r="K48" s="347" cm="1">
        <f t="array" ref="K48">_xlfn._xlws.FILTER('Input Data'!$L$20:$L$963,('Input Data'!$B$20:$B$963=Changes!B48)*('Input Data'!$C$20:$C$963=Changes!C48),0)</f>
        <v>45689</v>
      </c>
      <c r="L48" s="356" t="str" cm="1">
        <f t="array" ref="L48">_xlfn._xlws.FILTER('[2]Input Data'!$D$20:$D$173,('[2]Input Data'!$B$20:$B$173=Changes!B48)*('[2]Input Data'!$C$20:$C$173=Changes!C48),0)</f>
        <v>In-Orbit</v>
      </c>
      <c r="M48" s="314">
        <f>IFERROR(INDEX('Input Data'!$P$10:$P$14,MATCH(DATEDIF($M$4,G48,"M"),'Input Data'!$O$10:$O$14,1)),0)</f>
        <v>0.2</v>
      </c>
      <c r="N48" s="227"/>
      <c r="O48" s="227">
        <f>INDEX('Input Data'!$P$10:$P$14,MATCH(DATEDIF($O$4,G48,"M"),'Input Data'!$O$10:$O$14,1))</f>
        <v>0.2</v>
      </c>
      <c r="P48" s="204">
        <f t="shared" si="1"/>
        <v>0</v>
      </c>
      <c r="R48" cm="1">
        <f t="array" ref="R48">_xlfn.LET(_xlpm.current,INDEX('Input Data'!$M$20:$M$963,MATCH(Changes!B48&amp;"_"&amp;Changes!C48,'Input Data'!$B$20:$B$963&amp;"_"&amp;'Input Data'!$C$20:$C$963,0)),_xlpm.prev,INDEX('[2]Input Data'!$L$20:$L$173,MATCH(B48&amp;"_"&amp;C48,'[2]Input Data'!$B$20:$B$173&amp;"_"&amp;'[2]Input Data'!$C$20:$C$173,0)),
IF(OR(ISNA(_xlpm.current),ISNA(_xlpm.prev)),0,_xlpm.current-_xlpm.prev))</f>
        <v>0</v>
      </c>
      <c r="S48" s="186" t="b">
        <f t="shared" si="2"/>
        <v>0</v>
      </c>
      <c r="T48" t="str" cm="1">
        <f t="array" ref="T48">IFERROR(_xlfn._xlws.FILTER('Input Data'!$N$20:$N$963,('Input Data'!$B$20:$B$963=Changes!B48)*('Input Data'!$C$20:$C$963=Changes!C48)),_xlfn._xlws.FILTER('[2]Input Data'!$M$20:$M$173,('[2]Input Data'!$B$20:$B$173=Changes!B48)*('[2]Input Data'!$C$20:$C$173=Changes!C48)))</f>
        <v>SSL (Space Systems/Loral)</v>
      </c>
      <c r="V48" s="348"/>
      <c r="W48" s="227"/>
      <c r="X48" s="258" t="str">
        <f>X9</f>
        <v>Written</v>
      </c>
      <c r="Y48" t="str" cm="1">
        <f t="array" ref="Y48">_xlfn.TEXTJOIN(", ",TRUE,_xlfn.UNIQUE(_xlfn._xlws.FILTER($D$7:$D$205,$Q$7:$Q$205=$X9)))</f>
        <v>THURAYA 4-NGS, WORLDVIEW LEGION-1, WORLDVIEW LEGION-6, WORLDVIEW LEGION-5, WORLDVIEW LEGION-4, WORLDVIEW LEGION-3, WORLDVIEW LEGION-2, ALSAT 3A (AERJILIYA YAOGAN-3A), ALSAT 3B (AERJILIYA YAOGAN-3B), HOTSAT-2 (SATELLITE VU 2), ANUVU 1 (NUVIEW A), ANUVU 2 (NUVIEW B), AGILA</v>
      </c>
    </row>
    <row r="49" spans="1:37" x14ac:dyDescent="0.35">
      <c r="A49">
        <f t="shared" si="0"/>
        <v>1</v>
      </c>
      <c r="B49" s="315">
        <v>335513</v>
      </c>
      <c r="C49" s="282">
        <v>447941</v>
      </c>
      <c r="D49" s="282" t="str">
        <v>PAKSAT-MULTI MISSION 1 (PAKSAT-MM1)</v>
      </c>
      <c r="E49" s="282" t="str">
        <v>FUL</v>
      </c>
      <c r="F49" s="282" t="str">
        <v>GEO-GSO</v>
      </c>
      <c r="G49" s="283" cm="1">
        <f t="array" ref="G49">_xlfn.IFNA(INDEX('Input Data'!$M$20:$M$963,MATCH(Changes!B49&amp;"_"&amp;Changes!C49,'Input Data'!$B$20:$B$963&amp;"_"&amp;'Input Data'!$C$20:$C$963,0)),INDEX('[2]Input Data'!$L$20:$L$158,MATCH(B49&amp;"_"&amp;C49,'[2]Input Data'!$B$20:$B$158&amp;"_"&amp;'[2]Input Data'!$C$20:$C$158,0)))</f>
        <v>46171</v>
      </c>
      <c r="H49" s="313" cm="1">
        <f t="array" ref="H49">_xlfn._xlws.FILTER('Input Data'!$AA$20:$AA$963,('Input Data'!$B$20:$B$963=Changes!B49)*('Input Data'!$C$20:$C$963=Changes!C49),0)</f>
        <v>21649484.5</v>
      </c>
      <c r="I49" s="313" cm="1">
        <f t="array" ref="I49">_xlfn._xlws.FILTER('[2]Input Data'!$AA$20:$AA$173,('[2]Input Data'!$B$20:$B$173=Changes!B49)*('[2]Input Data'!$C$20:$C$173=Changes!C49),0)</f>
        <v>21649484.5</v>
      </c>
      <c r="J49" s="346" t="str" cm="1">
        <f t="array" ref="J49">_xlfn._xlws.FILTER('Input Data'!$E$20:$E$963,('Input Data'!$B$20:$B$963=Changes!B49)*('Input Data'!$C$20:$C$963=Changes!C49),0)</f>
        <v>In-Orbit</v>
      </c>
      <c r="K49" s="347" cm="1">
        <f t="array" ref="K49">_xlfn._xlws.FILTER('Input Data'!$L$20:$L$963,('Input Data'!$B$20:$B$963=Changes!B49)*('Input Data'!$C$20:$C$963=Changes!C49),0)</f>
        <v>45807</v>
      </c>
      <c r="L49" s="356" t="str" cm="1">
        <f t="array" ref="L49">_xlfn._xlws.FILTER('[2]Input Data'!$D$20:$D$173,('[2]Input Data'!$B$20:$B$173=Changes!B49)*('[2]Input Data'!$C$20:$C$173=Changes!C49),0)</f>
        <v>In-Orbit</v>
      </c>
      <c r="M49" s="314">
        <f>IFERROR(INDEX('Input Data'!$P$10:$P$14,MATCH(DATEDIF($M$4,G49,"M"),'Input Data'!$O$10:$O$14,1)),0)</f>
        <v>0.2</v>
      </c>
      <c r="N49" s="227"/>
      <c r="O49" s="227">
        <f>INDEX('Input Data'!$P$10:$P$14,MATCH(DATEDIF($O$4,G49,"M"),'Input Data'!$O$10:$O$14,1))</f>
        <v>0.2</v>
      </c>
      <c r="P49" s="204">
        <f t="shared" si="1"/>
        <v>0</v>
      </c>
      <c r="R49" cm="1">
        <f t="array" ref="R49">_xlfn.LET(_xlpm.current,INDEX('Input Data'!$M$20:$M$963,MATCH(Changes!B49&amp;"_"&amp;Changes!C49,'Input Data'!$B$20:$B$963&amp;"_"&amp;'Input Data'!$C$20:$C$963,0)),_xlpm.prev,INDEX('[2]Input Data'!$L$20:$L$173,MATCH(B49&amp;"_"&amp;C49,'[2]Input Data'!$B$20:$B$173&amp;"_"&amp;'[2]Input Data'!$C$20:$C$173,0)),
IF(OR(ISNA(_xlpm.current),ISNA(_xlpm.prev)),0,_xlpm.current-_xlpm.prev))</f>
        <v>0</v>
      </c>
      <c r="S49" s="186" t="b">
        <f t="shared" si="2"/>
        <v>0</v>
      </c>
      <c r="T49" t="str" cm="1">
        <f t="array" ref="T49">IFERROR(_xlfn._xlws.FILTER('Input Data'!$N$20:$N$963,('Input Data'!$B$20:$B$963=Changes!B49)*('Input Data'!$C$20:$C$963=Changes!C49)),_xlfn._xlws.FILTER('[2]Input Data'!$M$20:$M$173,('[2]Input Data'!$B$20:$B$173=Changes!B49)*('[2]Input Data'!$C$20:$C$173=Changes!C49)))</f>
        <v>CAST - Chinese Academy of Space Technology</v>
      </c>
      <c r="V49" s="348"/>
      <c r="W49" s="227"/>
      <c r="X49" s="258" t="str">
        <f>X10</f>
        <v>Renewed</v>
      </c>
      <c r="Y49" t="str" cm="1">
        <f t="array" ref="Y49">_xlfn.TEXTJOIN(", ",TRUE,_xlfn.UNIQUE(_xlfn._xlws.FILTER($D$7:$D$205,$Q$7:$Q$205=$X10)))</f>
        <v>AZERSPACE-1/AFRICASAT 1A, JCSAT-2B (JCSAT-14), JCSAT-18/KACIFIC-1, JCSAT-16, JCSAT-110A (JCSAT-15), TELKOMSAT 113BT, JCSAT-17, HYLAS 2, HYLAS 1</v>
      </c>
    </row>
    <row r="50" spans="1:37" x14ac:dyDescent="0.35">
      <c r="A50">
        <f t="shared" si="0"/>
        <v>1</v>
      </c>
      <c r="B50" s="315">
        <v>340072</v>
      </c>
      <c r="C50" s="282">
        <v>456306</v>
      </c>
      <c r="D50" s="282" t="str">
        <v>THAICOM 8</v>
      </c>
      <c r="E50" s="282" t="str">
        <v>FUL</v>
      </c>
      <c r="F50" s="282" t="str">
        <v>GEO-GSO</v>
      </c>
      <c r="G50" s="283" cm="1">
        <f t="array" ref="G50">_xlfn.IFNA(INDEX('Input Data'!$M$20:$M$963,MATCH(Changes!B50&amp;"_"&amp;Changes!C50,'Input Data'!$B$20:$B$963&amp;"_"&amp;'Input Data'!$C$20:$C$963,0)),INDEX('[2]Input Data'!$L$20:$L$158,MATCH(B50&amp;"_"&amp;C50,'[2]Input Data'!$B$20:$B$158&amp;"_"&amp;'[2]Input Data'!$C$20:$C$158,0)))</f>
        <v>46169</v>
      </c>
      <c r="H50" s="313" cm="1">
        <f t="array" ref="H50">_xlfn._xlws.FILTER('Input Data'!$AA$20:$AA$963,('Input Data'!$B$20:$B$963=Changes!B50)*('Input Data'!$C$20:$C$963=Changes!C50),0)</f>
        <v>11134020.6</v>
      </c>
      <c r="I50" s="313" cm="1">
        <f t="array" ref="I50">_xlfn._xlws.FILTER('[2]Input Data'!$AA$20:$AA$173,('[2]Input Data'!$B$20:$B$173=Changes!B50)*('[2]Input Data'!$C$20:$C$173=Changes!C50),0)</f>
        <v>11134020.6</v>
      </c>
      <c r="J50" s="346" t="str" cm="1">
        <f t="array" ref="J50">_xlfn._xlws.FILTER('Input Data'!$E$20:$E$963,('Input Data'!$B$20:$B$963=Changes!B50)*('Input Data'!$C$20:$C$963=Changes!C50),0)</f>
        <v>In-Orbit</v>
      </c>
      <c r="K50" s="347" cm="1">
        <f t="array" ref="K50">_xlfn._xlws.FILTER('Input Data'!$L$20:$L$963,('Input Data'!$B$20:$B$963=Changes!B50)*('Input Data'!$C$20:$C$963=Changes!C50),0)</f>
        <v>45805</v>
      </c>
      <c r="L50" s="356" t="str" cm="1">
        <f t="array" ref="L50">_xlfn._xlws.FILTER('[2]Input Data'!$D$20:$D$173,('[2]Input Data'!$B$20:$B$173=Changes!B50)*('[2]Input Data'!$C$20:$C$173=Changes!C50),0)</f>
        <v>In-Orbit</v>
      </c>
      <c r="M50" s="314">
        <f>IFERROR(INDEX('Input Data'!$P$10:$P$14,MATCH(DATEDIF($M$4,G50,"M"),'Input Data'!$O$10:$O$14,1)),0)</f>
        <v>0.2</v>
      </c>
      <c r="N50" s="227"/>
      <c r="O50" s="227">
        <f>INDEX('Input Data'!$P$10:$P$14,MATCH(DATEDIF($O$4,G50,"M"),'Input Data'!$O$10:$O$14,1))</f>
        <v>0.2</v>
      </c>
      <c r="P50" s="204">
        <f t="shared" si="1"/>
        <v>0</v>
      </c>
      <c r="R50" cm="1">
        <f t="array" ref="R50">_xlfn.LET(_xlpm.current,INDEX('Input Data'!$M$20:$M$963,MATCH(Changes!B50&amp;"_"&amp;Changes!C50,'Input Data'!$B$20:$B$963&amp;"_"&amp;'Input Data'!$C$20:$C$963,0)),_xlpm.prev,INDEX('[2]Input Data'!$L$20:$L$173,MATCH(B50&amp;"_"&amp;C50,'[2]Input Data'!$B$20:$B$173&amp;"_"&amp;'[2]Input Data'!$C$20:$C$173,0)),
IF(OR(ISNA(_xlpm.current),ISNA(_xlpm.prev)),0,_xlpm.current-_xlpm.prev))</f>
        <v>0</v>
      </c>
      <c r="S50" s="186" t="b">
        <f t="shared" si="2"/>
        <v>0</v>
      </c>
      <c r="T50" t="str" cm="1">
        <f t="array" ref="T50">IFERROR(_xlfn._xlws.FILTER('Input Data'!$N$20:$N$963,('Input Data'!$B$20:$B$963=Changes!B50)*('Input Data'!$C$20:$C$963=Changes!C50)),_xlfn._xlws.FILTER('[2]Input Data'!$M$20:$M$173,('[2]Input Data'!$B$20:$B$173=Changes!B50)*('[2]Input Data'!$C$20:$C$173=Changes!C50)))</f>
        <v>ORBITAL ATK INC.</v>
      </c>
      <c r="V50" s="348"/>
      <c r="W50" s="227"/>
      <c r="X50" s="258" t="str">
        <f>X11</f>
        <v>Expired</v>
      </c>
      <c r="Y50" t="str" cm="1">
        <f t="array" ref="Y50">_xlfn.TEXTJOIN(", ",TRUE,_xlfn.UNIQUE(_xlfn._xlws.FILTER($D$7:$D$205,$Q$7:$Q$205=$X11)))</f>
        <v>HELLAS-SAT 4/SAUDIGEOSAT-1, GEO-KOMPSAT-2B, METHANESAT, EUTELSAT 36D, THURAYA 4-NGS, WORLDVIEW LEGION-5, WORLDVIEW LEGION-6, LUXEOSYS (NAOS)</v>
      </c>
    </row>
    <row r="51" spans="1:37" x14ac:dyDescent="0.35">
      <c r="A51">
        <f t="shared" si="0"/>
        <v>1</v>
      </c>
      <c r="B51" s="315">
        <v>340405</v>
      </c>
      <c r="C51" s="282">
        <v>457079</v>
      </c>
      <c r="D51" s="282" t="str">
        <v>INMARSAT 6-F1</v>
      </c>
      <c r="E51" s="282" t="str">
        <v>FUL</v>
      </c>
      <c r="F51" s="282" t="str">
        <v>GEO-GSO</v>
      </c>
      <c r="G51" s="283" cm="1">
        <f t="array" ref="G51">_xlfn.IFNA(INDEX('Input Data'!$M$20:$M$963,MATCH(Changes!B51&amp;"_"&amp;Changes!C51,'Input Data'!$B$20:$B$963&amp;"_"&amp;'Input Data'!$C$20:$C$963,0)),INDEX('[2]Input Data'!$L$20:$L$158,MATCH(B51&amp;"_"&amp;C51,'[2]Input Data'!$B$20:$B$158&amp;"_"&amp;'[2]Input Data'!$C$20:$C$158,0)))</f>
        <v>46133</v>
      </c>
      <c r="H51" s="313" cm="1">
        <f t="array" ref="H51">_xlfn._xlws.FILTER('Input Data'!$AA$20:$AA$963,('Input Data'!$B$20:$B$963=Changes!B51)*('Input Data'!$C$20:$C$963=Changes!C51),0)</f>
        <v>10424239.7764406</v>
      </c>
      <c r="I51" s="313" cm="1">
        <f t="array" ref="I51">_xlfn._xlws.FILTER('[2]Input Data'!$AA$20:$AA$173,('[2]Input Data'!$B$20:$B$173=Changes!B51)*('[2]Input Data'!$C$20:$C$173=Changes!C51),0)</f>
        <v>10424239.7764406</v>
      </c>
      <c r="J51" s="346" t="str" cm="1">
        <f t="array" ref="J51">_xlfn._xlws.FILTER('Input Data'!$E$20:$E$963,('Input Data'!$B$20:$B$963=Changes!B51)*('Input Data'!$C$20:$C$963=Changes!C51),0)</f>
        <v>In-Orbit</v>
      </c>
      <c r="K51" s="347" cm="1">
        <f t="array" ref="K51">_xlfn._xlws.FILTER('Input Data'!$L$20:$L$963,('Input Data'!$B$20:$B$963=Changes!B51)*('Input Data'!$C$20:$C$963=Changes!C51),0)</f>
        <v>45769</v>
      </c>
      <c r="L51" s="356" t="str" cm="1">
        <f t="array" ref="L51">_xlfn._xlws.FILTER('[2]Input Data'!$D$20:$D$173,('[2]Input Data'!$B$20:$B$173=Changes!B51)*('[2]Input Data'!$C$20:$C$173=Changes!C51),0)</f>
        <v>In-Orbit</v>
      </c>
      <c r="M51" s="314">
        <f>IFERROR(INDEX('Input Data'!$P$10:$P$14,MATCH(DATEDIF($M$4,G51,"M"),'Input Data'!$O$10:$O$14,1)),0)</f>
        <v>0.2</v>
      </c>
      <c r="N51" s="227"/>
      <c r="O51" s="227">
        <f>INDEX('Input Data'!$P$10:$P$14,MATCH(DATEDIF($O$4,G51,"M"),'Input Data'!$O$10:$O$14,1))</f>
        <v>0.2</v>
      </c>
      <c r="P51" s="204">
        <f t="shared" si="1"/>
        <v>0</v>
      </c>
      <c r="R51" cm="1">
        <f t="array" ref="R51">_xlfn.LET(_xlpm.current,INDEX('Input Data'!$M$20:$M$963,MATCH(Changes!B51&amp;"_"&amp;Changes!C51,'Input Data'!$B$20:$B$963&amp;"_"&amp;'Input Data'!$C$20:$C$963,0)),_xlpm.prev,INDEX('[2]Input Data'!$L$20:$L$173,MATCH(B51&amp;"_"&amp;C51,'[2]Input Data'!$B$20:$B$173&amp;"_"&amp;'[2]Input Data'!$C$20:$C$173,0)),
IF(OR(ISNA(_xlpm.current),ISNA(_xlpm.prev)),0,_xlpm.current-_xlpm.prev))</f>
        <v>0</v>
      </c>
      <c r="S51" s="186" t="b">
        <f t="shared" si="2"/>
        <v>0</v>
      </c>
      <c r="T51" t="str" cm="1">
        <f t="array" ref="T51">IFERROR(_xlfn._xlws.FILTER('Input Data'!$N$20:$N$963,('Input Data'!$B$20:$B$963=Changes!B51)*('Input Data'!$C$20:$C$963=Changes!C51)),_xlfn._xlws.FILTER('[2]Input Data'!$M$20:$M$173,('[2]Input Data'!$B$20:$B$173=Changes!B51)*('[2]Input Data'!$C$20:$C$173=Changes!C51)))</f>
        <v>Airbus Defence and Space (Toulouse)</v>
      </c>
      <c r="V51" s="348"/>
      <c r="W51" s="227"/>
      <c r="X51" s="258" t="str">
        <f>X12</f>
        <v>Came Off Risk</v>
      </c>
      <c r="Y51" t="e" cm="1" vm="1">
        <f t="array" ref="Y51">_xlfn.TEXTJOIN(", ",TRUE,_xlfn.UNIQUE(_xlfn._xlws.FILTER($D$7:$D$205,$Q$7:$Q$205=$X12)))</f>
        <v>#VALUE!</v>
      </c>
      <c r="AK51" s="204"/>
    </row>
    <row r="52" spans="1:37" x14ac:dyDescent="0.35">
      <c r="A52">
        <f t="shared" si="0"/>
        <v>1</v>
      </c>
      <c r="B52" s="315">
        <v>340408</v>
      </c>
      <c r="C52" s="282">
        <v>457089</v>
      </c>
      <c r="D52" s="282" t="str">
        <v>HYLAS 4</v>
      </c>
      <c r="E52" s="282" t="str">
        <v>FUL</v>
      </c>
      <c r="F52" s="282" t="str">
        <v>GEO-GSO</v>
      </c>
      <c r="G52" s="283" cm="1">
        <f t="array" ref="G52">_xlfn.IFNA(INDEX('Input Data'!$M$20:$M$963,MATCH(Changes!B52&amp;"_"&amp;Changes!C52,'Input Data'!$B$20:$B$963&amp;"_"&amp;'Input Data'!$C$20:$C$963,0)),INDEX('[2]Input Data'!$L$20:$L$158,MATCH(B52&amp;"_"&amp;C52,'[2]Input Data'!$B$20:$B$158&amp;"_"&amp;'[2]Input Data'!$C$20:$C$158,0)))</f>
        <v>46130</v>
      </c>
      <c r="H52" s="313" cm="1">
        <f t="array" ref="H52">_xlfn._xlws.FILTER('Input Data'!$AA$20:$AA$963,('Input Data'!$B$20:$B$963=Changes!B52)*('Input Data'!$C$20:$C$963=Changes!C52),0)</f>
        <v>1237113.3999999999</v>
      </c>
      <c r="I52" s="313" cm="1">
        <f t="array" ref="I52">_xlfn._xlws.FILTER('[2]Input Data'!$AA$20:$AA$173,('[2]Input Data'!$B$20:$B$173=Changes!B52)*('[2]Input Data'!$C$20:$C$173=Changes!C52),0)</f>
        <v>1237113.3999999999</v>
      </c>
      <c r="J52" s="346" t="str" cm="1">
        <f t="array" ref="J52">_xlfn._xlws.FILTER('Input Data'!$E$20:$E$963,('Input Data'!$B$20:$B$963=Changes!B52)*('Input Data'!$C$20:$C$963=Changes!C52),0)</f>
        <v>In-Orbit</v>
      </c>
      <c r="K52" s="347" cm="1">
        <f t="array" ref="K52">_xlfn._xlws.FILTER('Input Data'!$L$20:$L$963,('Input Data'!$B$20:$B$963=Changes!B52)*('Input Data'!$C$20:$C$963=Changes!C52),0)</f>
        <v>45766</v>
      </c>
      <c r="L52" s="356" t="str" cm="1">
        <f t="array" ref="L52">_xlfn._xlws.FILTER('[2]Input Data'!$D$20:$D$173,('[2]Input Data'!$B$20:$B$173=Changes!B52)*('[2]Input Data'!$C$20:$C$173=Changes!C52),0)</f>
        <v>In-Orbit</v>
      </c>
      <c r="M52" s="314">
        <f>IFERROR(INDEX('Input Data'!$P$10:$P$14,MATCH(DATEDIF($M$4,G52,"M"),'Input Data'!$O$10:$O$14,1)),0)</f>
        <v>0.2</v>
      </c>
      <c r="N52" s="227"/>
      <c r="O52" s="227">
        <f>INDEX('Input Data'!$P$10:$P$14,MATCH(DATEDIF($O$4,G52,"M"),'Input Data'!$O$10:$O$14,1))</f>
        <v>0.2</v>
      </c>
      <c r="P52" s="204">
        <f t="shared" si="1"/>
        <v>0</v>
      </c>
      <c r="R52" cm="1">
        <f t="array" ref="R52">_xlfn.LET(_xlpm.current,INDEX('Input Data'!$M$20:$M$963,MATCH(Changes!B52&amp;"_"&amp;Changes!C52,'Input Data'!$B$20:$B$963&amp;"_"&amp;'Input Data'!$C$20:$C$963,0)),_xlpm.prev,INDEX('[2]Input Data'!$L$20:$L$173,MATCH(B52&amp;"_"&amp;C52,'[2]Input Data'!$B$20:$B$173&amp;"_"&amp;'[2]Input Data'!$C$20:$C$173,0)),
IF(OR(ISNA(_xlpm.current),ISNA(_xlpm.prev)),0,_xlpm.current-_xlpm.prev))</f>
        <v>0</v>
      </c>
      <c r="S52" s="186" t="b">
        <f t="shared" si="2"/>
        <v>0</v>
      </c>
      <c r="T52" t="str" cm="1">
        <f t="array" ref="T52">IFERROR(_xlfn._xlws.FILTER('Input Data'!$N$20:$N$963,('Input Data'!$B$20:$B$963=Changes!B52)*('Input Data'!$C$20:$C$963=Changes!C52)),_xlfn._xlws.FILTER('[2]Input Data'!$M$20:$M$173,('[2]Input Data'!$B$20:$B$173=Changes!B52)*('[2]Input Data'!$C$20:$C$173=Changes!C52)))</f>
        <v>ORBITAL ATK INC.</v>
      </c>
      <c r="V52" s="348"/>
      <c r="W52" s="227"/>
      <c r="X52" s="258" t="str">
        <f>X15</f>
        <v>Binding Change</v>
      </c>
      <c r="Y52" t="str" cm="1">
        <f t="array" ref="Y52">_xlfn.TEXTJOIN(", ",TRUE,_xlfn.UNIQUE(_xlfn._xlws.FILTER($D$7:$D$205,$Q$7:$Q$205=$X15,"None")))</f>
        <v>None</v>
      </c>
    </row>
    <row r="53" spans="1:37" x14ac:dyDescent="0.35">
      <c r="A53">
        <f t="shared" si="0"/>
        <v>1</v>
      </c>
      <c r="B53" s="315">
        <v>340408</v>
      </c>
      <c r="C53" s="282">
        <v>457090</v>
      </c>
      <c r="D53" s="282" t="str">
        <v>HYLAS 4</v>
      </c>
      <c r="E53" s="282" t="str">
        <v>FUL</v>
      </c>
      <c r="F53" s="282" t="str">
        <v>GEO-GSO</v>
      </c>
      <c r="G53" s="283" cm="1">
        <f t="array" ref="G53">_xlfn.IFNA(INDEX('Input Data'!$M$20:$M$963,MATCH(Changes!B53&amp;"_"&amp;Changes!C53,'Input Data'!$B$20:$B$963&amp;"_"&amp;'Input Data'!$C$20:$C$963,0)),INDEX('[2]Input Data'!$L$20:$L$158,MATCH(B53&amp;"_"&amp;C53,'[2]Input Data'!$B$20:$B$158&amp;"_"&amp;'[2]Input Data'!$C$20:$C$158,0)))</f>
        <v>46130</v>
      </c>
      <c r="H53" s="313" cm="1">
        <f t="array" ref="H53">_xlfn._xlws.FILTER('Input Data'!$AA$20:$AA$963,('Input Data'!$B$20:$B$963=Changes!B53)*('Input Data'!$C$20:$C$963=Changes!C53),0)</f>
        <v>10824742.25</v>
      </c>
      <c r="I53" s="313" cm="1">
        <f t="array" ref="I53">_xlfn._xlws.FILTER('[2]Input Data'!$AA$20:$AA$173,('[2]Input Data'!$B$20:$B$173=Changes!B53)*('[2]Input Data'!$C$20:$C$173=Changes!C53),0)</f>
        <v>10824742.25</v>
      </c>
      <c r="J53" s="346" t="str" cm="1">
        <f t="array" ref="J53">_xlfn._xlws.FILTER('Input Data'!$E$20:$E$963,('Input Data'!$B$20:$B$963=Changes!B53)*('Input Data'!$C$20:$C$963=Changes!C53),0)</f>
        <v>In-Orbit</v>
      </c>
      <c r="K53" s="347" cm="1">
        <f t="array" ref="K53">_xlfn._xlws.FILTER('Input Data'!$L$20:$L$963,('Input Data'!$B$20:$B$963=Changes!B53)*('Input Data'!$C$20:$C$963=Changes!C53),0)</f>
        <v>45766</v>
      </c>
      <c r="L53" s="356" t="str" cm="1">
        <f t="array" ref="L53">_xlfn._xlws.FILTER('[2]Input Data'!$D$20:$D$173,('[2]Input Data'!$B$20:$B$173=Changes!B53)*('[2]Input Data'!$C$20:$C$173=Changes!C53),0)</f>
        <v>In-Orbit</v>
      </c>
      <c r="M53" s="314">
        <f>IFERROR(INDEX('Input Data'!$P$10:$P$14,MATCH(DATEDIF($M$4,G53,"M"),'Input Data'!$O$10:$O$14,1)),0)</f>
        <v>0.2</v>
      </c>
      <c r="N53" s="227"/>
      <c r="O53" s="227">
        <f>INDEX('Input Data'!$P$10:$P$14,MATCH(DATEDIF($O$4,G53,"M"),'Input Data'!$O$10:$O$14,1))</f>
        <v>0.2</v>
      </c>
      <c r="P53" s="204">
        <f t="shared" si="1"/>
        <v>0</v>
      </c>
      <c r="R53" cm="1">
        <f t="array" ref="R53">_xlfn.LET(_xlpm.current,INDEX('Input Data'!$M$20:$M$963,MATCH(Changes!B53&amp;"_"&amp;Changes!C53,'Input Data'!$B$20:$B$963&amp;"_"&amp;'Input Data'!$C$20:$C$963,0)),_xlpm.prev,INDEX('[2]Input Data'!$L$20:$L$173,MATCH(B53&amp;"_"&amp;C53,'[2]Input Data'!$B$20:$B$173&amp;"_"&amp;'[2]Input Data'!$C$20:$C$173,0)),
IF(OR(ISNA(_xlpm.current),ISNA(_xlpm.prev)),0,_xlpm.current-_xlpm.prev))</f>
        <v>0</v>
      </c>
      <c r="S53" s="186" t="b">
        <f t="shared" si="2"/>
        <v>0</v>
      </c>
      <c r="T53" t="str" cm="1">
        <f t="array" ref="T53">IFERROR(_xlfn._xlws.FILTER('Input Data'!$N$20:$N$963,('Input Data'!$B$20:$B$963=Changes!B53)*('Input Data'!$C$20:$C$963=Changes!C53)),_xlfn._xlws.FILTER('[2]Input Data'!$M$20:$M$173,('[2]Input Data'!$B$20:$B$173=Changes!B53)*('[2]Input Data'!$C$20:$C$173=Changes!C53)))</f>
        <v>ORBITAL ATK INC.</v>
      </c>
      <c r="V53" s="348"/>
      <c r="W53" s="227"/>
    </row>
    <row r="54" spans="1:37" x14ac:dyDescent="0.35">
      <c r="A54">
        <f t="shared" si="0"/>
        <v>1</v>
      </c>
      <c r="B54" s="315">
        <v>341429</v>
      </c>
      <c r="C54" s="282">
        <v>458634</v>
      </c>
      <c r="D54" s="282" t="str">
        <v>TURKSAT 6A</v>
      </c>
      <c r="E54" s="282" t="str">
        <v>FUL</v>
      </c>
      <c r="F54" s="282" t="str">
        <v>GEO-GSO</v>
      </c>
      <c r="G54" s="283" cm="1">
        <f t="array" ref="G54">_xlfn.IFNA(INDEX('Input Data'!$M$20:$M$963,MATCH(Changes!B54&amp;"_"&amp;Changes!C54,'Input Data'!$B$20:$B$963&amp;"_"&amp;'Input Data'!$C$20:$C$963,0)),INDEX('[2]Input Data'!$L$20:$L$158,MATCH(B54&amp;"_"&amp;C54,'[2]Input Data'!$B$20:$B$158&amp;"_"&amp;'[2]Input Data'!$C$20:$C$158,0)))</f>
        <v>46121</v>
      </c>
      <c r="H54" s="313" cm="1">
        <f t="array" ref="H54">_xlfn._xlws.FILTER('Input Data'!$AA$20:$AA$963,('Input Data'!$B$20:$B$963=Changes!B54)*('Input Data'!$C$20:$C$963=Changes!C54),0)</f>
        <v>7422681.0185566898</v>
      </c>
      <c r="I54" s="313" cm="1">
        <f t="array" ref="I54">_xlfn._xlws.FILTER('[2]Input Data'!$AA$20:$AA$173,('[2]Input Data'!$B$20:$B$173=Changes!B54)*('[2]Input Data'!$C$20:$C$173=Changes!C54),0)</f>
        <v>7422681.0185566898</v>
      </c>
      <c r="J54" s="346" t="str" cm="1">
        <f t="array" ref="J54">_xlfn._xlws.FILTER('Input Data'!$E$20:$E$963,('Input Data'!$B$20:$B$963=Changes!B54)*('Input Data'!$C$20:$C$963=Changes!C54),0)</f>
        <v>In-Orbit</v>
      </c>
      <c r="K54" s="347" cm="1">
        <f t="array" ref="K54">_xlfn._xlws.FILTER('Input Data'!$L$20:$L$963,('Input Data'!$B$20:$B$963=Changes!B54)*('Input Data'!$C$20:$C$963=Changes!C54),0)</f>
        <v>45757</v>
      </c>
      <c r="L54" s="356" t="str" cm="1">
        <f t="array" ref="L54">_xlfn._xlws.FILTER('[2]Input Data'!$D$20:$D$173,('[2]Input Data'!$B$20:$B$173=Changes!B54)*('[2]Input Data'!$C$20:$C$173=Changes!C54),0)</f>
        <v>In-Orbit</v>
      </c>
      <c r="M54" s="314">
        <f>IFERROR(INDEX('Input Data'!$P$10:$P$14,MATCH(DATEDIF($M$4,G54,"M"),'Input Data'!$O$10:$O$14,1)),0)</f>
        <v>0.2</v>
      </c>
      <c r="N54" s="227"/>
      <c r="O54" s="227">
        <f>INDEX('Input Data'!$P$10:$P$14,MATCH(DATEDIF($O$4,G54,"M"),'Input Data'!$O$10:$O$14,1))</f>
        <v>0.2</v>
      </c>
      <c r="P54" s="204">
        <f t="shared" si="1"/>
        <v>0</v>
      </c>
      <c r="R54" cm="1">
        <f t="array" ref="R54">_xlfn.LET(_xlpm.current,INDEX('Input Data'!$M$20:$M$963,MATCH(Changes!B54&amp;"_"&amp;Changes!C54,'Input Data'!$B$20:$B$963&amp;"_"&amp;'Input Data'!$C$20:$C$963,0)),_xlpm.prev,INDEX('[2]Input Data'!$L$20:$L$173,MATCH(B54&amp;"_"&amp;C54,'[2]Input Data'!$B$20:$B$173&amp;"_"&amp;'[2]Input Data'!$C$20:$C$173,0)),
IF(OR(ISNA(_xlpm.current),ISNA(_xlpm.prev)),0,_xlpm.current-_xlpm.prev))</f>
        <v>0</v>
      </c>
      <c r="S54" s="186" t="b">
        <f t="shared" si="2"/>
        <v>0</v>
      </c>
      <c r="T54" t="str" cm="1">
        <f t="array" ref="T54">IFERROR(_xlfn._xlws.FILTER('Input Data'!$N$20:$N$963,('Input Data'!$B$20:$B$963=Changes!B54)*('Input Data'!$C$20:$C$963=Changes!C54)),_xlfn._xlws.FILTER('[2]Input Data'!$M$20:$M$173,('[2]Input Data'!$B$20:$B$173=Changes!B54)*('[2]Input Data'!$C$20:$C$173=Changes!C54)))</f>
        <v>Turkish Aerospace Industries (TAI/TUSAs)</v>
      </c>
      <c r="V54" s="348"/>
      <c r="W54" s="227"/>
    </row>
    <row r="55" spans="1:37" x14ac:dyDescent="0.35">
      <c r="A55">
        <f t="shared" si="0"/>
        <v>1</v>
      </c>
      <c r="B55" s="315">
        <v>341568</v>
      </c>
      <c r="C55" s="282">
        <v>458837</v>
      </c>
      <c r="D55" s="282" t="str">
        <v>WORLDVIEW LEGION-1</v>
      </c>
      <c r="E55" s="282" t="str">
        <v>FUL</v>
      </c>
      <c r="F55" s="282" t="str">
        <v>LEO</v>
      </c>
      <c r="G55" s="283" cm="1">
        <f t="array" ref="G55">_xlfn.IFNA(INDEX('Input Data'!$M$20:$M$963,MATCH(Changes!B55&amp;"_"&amp;Changes!C55,'Input Data'!$B$20:$B$963&amp;"_"&amp;'Input Data'!$C$20:$C$963,0)),INDEX('[2]Input Data'!$L$20:$L$158,MATCH(B55&amp;"_"&amp;C55,'[2]Input Data'!$B$20:$B$158&amp;"_"&amp;'[2]Input Data'!$C$20:$C$158,0)))</f>
        <v>46144</v>
      </c>
      <c r="H55" s="313" cm="1">
        <f t="array" ref="H55">_xlfn._xlws.FILTER('Input Data'!$AA$20:$AA$963,('Input Data'!$B$20:$B$963=Changes!B55)*('Input Data'!$C$20:$C$963=Changes!C55),0)</f>
        <v>4020619.7871133899</v>
      </c>
      <c r="I55" s="313" cm="1">
        <f t="array" ref="I55">_xlfn._xlws.FILTER('[2]Input Data'!$AA$20:$AA$173,('[2]Input Data'!$B$20:$B$173=Changes!B55)*('[2]Input Data'!$C$20:$C$173=Changes!C55),0)</f>
        <v>4020619.7871133899</v>
      </c>
      <c r="J55" s="346" t="str" cm="1">
        <f t="array" ref="J55">_xlfn._xlws.FILTER('Input Data'!$E$20:$E$963,('Input Data'!$B$20:$B$963=Changes!B55)*('Input Data'!$C$20:$C$963=Changes!C55),0)</f>
        <v>In-Orbit</v>
      </c>
      <c r="K55" s="347" cm="1">
        <f t="array" ref="K55">_xlfn._xlws.FILTER('Input Data'!$L$20:$L$963,('Input Data'!$B$20:$B$963=Changes!B55)*('Input Data'!$C$20:$C$963=Changes!C55),0)</f>
        <v>45780</v>
      </c>
      <c r="L55" s="356" t="str" cm="1">
        <f t="array" ref="L55">_xlfn._xlws.FILTER('[2]Input Data'!$D$20:$D$173,('[2]Input Data'!$B$20:$B$173=Changes!B55)*('[2]Input Data'!$C$20:$C$173=Changes!C55),0)</f>
        <v>In-Orbit</v>
      </c>
      <c r="M55" s="314">
        <f>IFERROR(INDEX('Input Data'!$P$10:$P$14,MATCH(DATEDIF($M$4,G55,"M"),'Input Data'!$O$10:$O$14,1)),0)</f>
        <v>0.2</v>
      </c>
      <c r="N55" s="227"/>
      <c r="O55" s="227">
        <f>INDEX('Input Data'!$P$10:$P$14,MATCH(DATEDIF($O$4,G55,"M"),'Input Data'!$O$10:$O$14,1))</f>
        <v>0.2</v>
      </c>
      <c r="P55" s="204">
        <f t="shared" si="1"/>
        <v>0</v>
      </c>
      <c r="R55" cm="1">
        <f t="array" ref="R55">_xlfn.LET(_xlpm.current,INDEX('Input Data'!$M$20:$M$963,MATCH(Changes!B55&amp;"_"&amp;Changes!C55,'Input Data'!$B$20:$B$963&amp;"_"&amp;'Input Data'!$C$20:$C$963,0)),_xlpm.prev,INDEX('[2]Input Data'!$L$20:$L$173,MATCH(B55&amp;"_"&amp;C55,'[2]Input Data'!$B$20:$B$173&amp;"_"&amp;'[2]Input Data'!$C$20:$C$173,0)),
IF(OR(ISNA(_xlpm.current),ISNA(_xlpm.prev)),0,_xlpm.current-_xlpm.prev))</f>
        <v>0</v>
      </c>
      <c r="S55" s="186" t="b">
        <f t="shared" si="2"/>
        <v>0</v>
      </c>
      <c r="T55" t="str" cm="1">
        <f t="array" ref="T55">IFERROR(_xlfn._xlws.FILTER('Input Data'!$N$20:$N$963,('Input Data'!$B$20:$B$963=Changes!B55)*('Input Data'!$C$20:$C$963=Changes!C55)),_xlfn._xlws.FILTER('[2]Input Data'!$M$20:$M$173,('[2]Input Data'!$B$20:$B$173=Changes!B55)*('[2]Input Data'!$C$20:$C$173=Changes!C55)))</f>
        <v>Maxar Space Systems</v>
      </c>
      <c r="V55" s="348"/>
      <c r="W55" s="227"/>
      <c r="AC55" s="281" t="s">
        <v>545</v>
      </c>
    </row>
    <row r="56" spans="1:37" x14ac:dyDescent="0.35">
      <c r="A56">
        <f t="shared" si="0"/>
        <v>1</v>
      </c>
      <c r="B56" s="315">
        <v>341568</v>
      </c>
      <c r="C56" s="282">
        <v>459135</v>
      </c>
      <c r="D56" s="282" t="str">
        <v>WORLDVIEW LEGION-2</v>
      </c>
      <c r="E56" s="282" t="str">
        <v>FUL</v>
      </c>
      <c r="F56" s="282" t="str">
        <v>LEO</v>
      </c>
      <c r="G56" s="283" cm="1">
        <f t="array" ref="G56">_xlfn.IFNA(INDEX('Input Data'!$M$20:$M$963,MATCH(Changes!B56&amp;"_"&amp;Changes!C56,'Input Data'!$B$20:$B$963&amp;"_"&amp;'Input Data'!$C$20:$C$963,0)),INDEX('[2]Input Data'!$L$20:$L$158,MATCH(B56&amp;"_"&amp;C56,'[2]Input Data'!$B$20:$B$158&amp;"_"&amp;'[2]Input Data'!$C$20:$C$158,0)))</f>
        <v>46144</v>
      </c>
      <c r="H56" s="313" cm="1">
        <f t="array" ref="H56">_xlfn._xlws.FILTER('Input Data'!$AA$20:$AA$963,('Input Data'!$B$20:$B$963=Changes!B56)*('Input Data'!$C$20:$C$963=Changes!C56),0)</f>
        <v>4020619.7871133899</v>
      </c>
      <c r="I56" s="313" cm="1">
        <f t="array" ref="I56">_xlfn._xlws.FILTER('[2]Input Data'!$AA$20:$AA$173,('[2]Input Data'!$B$20:$B$173=Changes!B56)*('[2]Input Data'!$C$20:$C$173=Changes!C56),0)</f>
        <v>4020619.7871133899</v>
      </c>
      <c r="J56" s="346" t="str" cm="1">
        <f t="array" ref="J56">_xlfn._xlws.FILTER('Input Data'!$E$20:$E$963,('Input Data'!$B$20:$B$963=Changes!B56)*('Input Data'!$C$20:$C$963=Changes!C56),0)</f>
        <v>In-Orbit</v>
      </c>
      <c r="K56" s="347" cm="1">
        <f t="array" ref="K56">_xlfn._xlws.FILTER('Input Data'!$L$20:$L$963,('Input Data'!$B$20:$B$963=Changes!B56)*('Input Data'!$C$20:$C$963=Changes!C56),0)</f>
        <v>45885</v>
      </c>
      <c r="L56" s="356" t="str" cm="1">
        <f t="array" ref="L56">_xlfn._xlws.FILTER('[2]Input Data'!$D$20:$D$173,('[2]Input Data'!$B$20:$B$173=Changes!B56)*('[2]Input Data'!$C$20:$C$173=Changes!C56),0)</f>
        <v>In-Orbit</v>
      </c>
      <c r="M56" s="314">
        <f>IFERROR(INDEX('Input Data'!$P$10:$P$14,MATCH(DATEDIF($M$4,G56,"M"),'Input Data'!$O$10:$O$14,1)),0)</f>
        <v>0.2</v>
      </c>
      <c r="N56" s="227"/>
      <c r="O56" s="227">
        <f>INDEX('Input Data'!$P$10:$P$14,MATCH(DATEDIF($O$4,G56,"M"),'Input Data'!$O$10:$O$14,1))</f>
        <v>0.2</v>
      </c>
      <c r="P56" s="204">
        <f t="shared" si="1"/>
        <v>0</v>
      </c>
      <c r="R56" cm="1">
        <f t="array" ref="R56">_xlfn.LET(_xlpm.current,INDEX('Input Data'!$M$20:$M$963,MATCH(Changes!B56&amp;"_"&amp;Changes!C56,'Input Data'!$B$20:$B$963&amp;"_"&amp;'Input Data'!$C$20:$C$963,0)),_xlpm.prev,INDEX('[2]Input Data'!$L$20:$L$173,MATCH(B56&amp;"_"&amp;C56,'[2]Input Data'!$B$20:$B$173&amp;"_"&amp;'[2]Input Data'!$C$20:$C$173,0)),
IF(OR(ISNA(_xlpm.current),ISNA(_xlpm.prev)),0,_xlpm.current-_xlpm.prev))</f>
        <v>0</v>
      </c>
      <c r="S56" s="186" t="b">
        <f t="shared" si="2"/>
        <v>0</v>
      </c>
      <c r="T56" t="str" cm="1">
        <f t="array" ref="T56">IFERROR(_xlfn._xlws.FILTER('Input Data'!$N$20:$N$963,('Input Data'!$B$20:$B$963=Changes!B56)*('Input Data'!$C$20:$C$963=Changes!C56)),_xlfn._xlws.FILTER('[2]Input Data'!$M$20:$M$173,('[2]Input Data'!$B$20:$B$173=Changes!B56)*('[2]Input Data'!$C$20:$C$173=Changes!C56)))</f>
        <v>Maxar Space Systems</v>
      </c>
      <c r="V56" s="348"/>
      <c r="W56" s="227"/>
      <c r="X56" s="5" t="s">
        <v>492</v>
      </c>
      <c r="AH56" s="51" t="s">
        <v>497</v>
      </c>
    </row>
    <row r="57" spans="1:37" x14ac:dyDescent="0.35">
      <c r="A57">
        <f t="shared" si="0"/>
        <v>1</v>
      </c>
      <c r="B57" s="315">
        <v>341568</v>
      </c>
      <c r="C57" s="282">
        <v>459136</v>
      </c>
      <c r="D57" s="282" t="str">
        <v>WORLDVIEW LEGION-3</v>
      </c>
      <c r="E57" s="282" t="str">
        <v>FUL</v>
      </c>
      <c r="F57" s="282" t="str">
        <v>LEO</v>
      </c>
      <c r="G57" s="283" cm="1">
        <f t="array" ref="G57">_xlfn.IFNA(INDEX('Input Data'!$M$20:$M$963,MATCH(Changes!B57&amp;"_"&amp;Changes!C57,'Input Data'!$B$20:$B$963&amp;"_"&amp;'Input Data'!$C$20:$C$963,0)),INDEX('[2]Input Data'!$L$20:$L$158,MATCH(B57&amp;"_"&amp;C57,'[2]Input Data'!$B$20:$B$158&amp;"_"&amp;'[2]Input Data'!$C$20:$C$158,0)))</f>
        <v>46144</v>
      </c>
      <c r="H57" s="313" cm="1">
        <f t="array" ref="H57">_xlfn._xlws.FILTER('Input Data'!$AA$20:$AA$963,('Input Data'!$B$20:$B$963=Changes!B57)*('Input Data'!$C$20:$C$963=Changes!C57),0)</f>
        <v>4020619.7871133899</v>
      </c>
      <c r="I57" s="313" cm="1">
        <f t="array" ref="I57">_xlfn._xlws.FILTER('[2]Input Data'!$AA$20:$AA$173,('[2]Input Data'!$B$20:$B$173=Changes!B57)*('[2]Input Data'!$C$20:$C$173=Changes!C57),0)</f>
        <v>4020619.7871133899</v>
      </c>
      <c r="J57" s="346" t="str" cm="1">
        <f t="array" ref="J57">_xlfn._xlws.FILTER('Input Data'!$E$20:$E$963,('Input Data'!$B$20:$B$963=Changes!B57)*('Input Data'!$C$20:$C$963=Changes!C57),0)</f>
        <v>In-Orbit</v>
      </c>
      <c r="K57" s="347" cm="1">
        <f t="array" ref="K57">_xlfn._xlws.FILTER('Input Data'!$L$20:$L$963,('Input Data'!$B$20:$B$963=Changes!B57)*('Input Data'!$C$20:$C$963=Changes!C57),0)</f>
        <v>45885</v>
      </c>
      <c r="L57" s="356" t="str" cm="1">
        <f t="array" ref="L57">_xlfn._xlws.FILTER('[2]Input Data'!$D$20:$D$173,('[2]Input Data'!$B$20:$B$173=Changes!B57)*('[2]Input Data'!$C$20:$C$173=Changes!C57),0)</f>
        <v>In-Orbit</v>
      </c>
      <c r="M57" s="314">
        <f>IFERROR(INDEX('Input Data'!$P$10:$P$14,MATCH(DATEDIF($M$4,G57,"M"),'Input Data'!$O$10:$O$14,1)),0)</f>
        <v>0.2</v>
      </c>
      <c r="N57" s="227"/>
      <c r="O57" s="227">
        <f>INDEX('Input Data'!$P$10:$P$14,MATCH(DATEDIF($O$4,G57,"M"),'Input Data'!$O$10:$O$14,1))</f>
        <v>0.2</v>
      </c>
      <c r="P57" s="204">
        <f t="shared" si="1"/>
        <v>0</v>
      </c>
      <c r="R57" cm="1">
        <f t="array" ref="R57">_xlfn.LET(_xlpm.current,INDEX('Input Data'!$M$20:$M$963,MATCH(Changes!B57&amp;"_"&amp;Changes!C57,'Input Data'!$B$20:$B$963&amp;"_"&amp;'Input Data'!$C$20:$C$963,0)),_xlpm.prev,INDEX('[2]Input Data'!$L$20:$L$173,MATCH(B57&amp;"_"&amp;C57,'[2]Input Data'!$B$20:$B$173&amp;"_"&amp;'[2]Input Data'!$C$20:$C$173,0)),
IF(OR(ISNA(_xlpm.current),ISNA(_xlpm.prev)),0,_xlpm.current-_xlpm.prev))</f>
        <v>0</v>
      </c>
      <c r="S57" s="186" t="b">
        <f t="shared" si="2"/>
        <v>0</v>
      </c>
      <c r="T57" t="str" cm="1">
        <f t="array" ref="T57">IFERROR(_xlfn._xlws.FILTER('Input Data'!$N$20:$N$963,('Input Data'!$B$20:$B$963=Changes!B57)*('Input Data'!$C$20:$C$963=Changes!C57)),_xlfn._xlws.FILTER('[2]Input Data'!$M$20:$M$173,('[2]Input Data'!$B$20:$B$173=Changes!B57)*('[2]Input Data'!$C$20:$C$173=Changes!C57)))</f>
        <v>Maxar Space Systems</v>
      </c>
      <c r="V57" s="348"/>
      <c r="W57" s="227"/>
      <c r="X57" s="77" t="s">
        <v>122</v>
      </c>
      <c r="Y57" s="77" t="s">
        <v>163</v>
      </c>
      <c r="Z57" s="77" t="s">
        <v>164</v>
      </c>
      <c r="AA57" s="77" t="s">
        <v>140</v>
      </c>
      <c r="AC57" s="77" t="s">
        <v>122</v>
      </c>
      <c r="AD57" s="77" t="s">
        <v>163</v>
      </c>
      <c r="AE57" s="77" t="s">
        <v>164</v>
      </c>
      <c r="AF57" s="77" t="s">
        <v>140</v>
      </c>
      <c r="AH57" s="261" t="s">
        <v>495</v>
      </c>
      <c r="AI57" s="206" t="s">
        <v>496</v>
      </c>
    </row>
    <row r="58" spans="1:37" x14ac:dyDescent="0.35">
      <c r="A58">
        <f t="shared" si="0"/>
        <v>1</v>
      </c>
      <c r="B58" s="315">
        <v>341568</v>
      </c>
      <c r="C58" s="282">
        <v>459137</v>
      </c>
      <c r="D58" s="282" t="str">
        <v>WORLDVIEW LEGION-4</v>
      </c>
      <c r="E58" s="282" t="str">
        <v>FUL</v>
      </c>
      <c r="F58" s="282" t="str">
        <v>LEO</v>
      </c>
      <c r="G58" s="283" cm="1">
        <f t="array" ref="G58">_xlfn.IFNA(INDEX('Input Data'!$M$20:$M$963,MATCH(Changes!B58&amp;"_"&amp;Changes!C58,'Input Data'!$B$20:$B$963&amp;"_"&amp;'Input Data'!$C$20:$C$963,0)),INDEX('[2]Input Data'!$L$20:$L$158,MATCH(B58&amp;"_"&amp;C58,'[2]Input Data'!$B$20:$B$158&amp;"_"&amp;'[2]Input Data'!$C$20:$C$158,0)))</f>
        <v>46144</v>
      </c>
      <c r="H58" s="313" cm="1">
        <f t="array" ref="H58">_xlfn._xlws.FILTER('Input Data'!$AA$20:$AA$963,('Input Data'!$B$20:$B$963=Changes!B58)*('Input Data'!$C$20:$C$963=Changes!C58),0)</f>
        <v>4020619.7871133899</v>
      </c>
      <c r="I58" s="313" cm="1">
        <f t="array" ref="I58">_xlfn._xlws.FILTER('[2]Input Data'!$AA$20:$AA$173,('[2]Input Data'!$B$20:$B$173=Changes!B58)*('[2]Input Data'!$C$20:$C$173=Changes!C58),0)</f>
        <v>4020619.7871133899</v>
      </c>
      <c r="J58" s="346" t="str" cm="1">
        <f t="array" ref="J58">_xlfn._xlws.FILTER('Input Data'!$E$20:$E$963,('Input Data'!$B$20:$B$963=Changes!B58)*('Input Data'!$C$20:$C$963=Changes!C58),0)</f>
        <v>In-Orbit</v>
      </c>
      <c r="K58" s="347" cm="1">
        <f t="array" ref="K58">_xlfn._xlws.FILTER('Input Data'!$L$20:$L$963,('Input Data'!$B$20:$B$963=Changes!B58)*('Input Data'!$C$20:$C$963=Changes!C58),0)</f>
        <v>45780</v>
      </c>
      <c r="L58" s="356" t="str" cm="1">
        <f t="array" ref="L58">_xlfn._xlws.FILTER('[2]Input Data'!$D$20:$D$173,('[2]Input Data'!$B$20:$B$173=Changes!B58)*('[2]Input Data'!$C$20:$C$173=Changes!C58),0)</f>
        <v>In-Orbit</v>
      </c>
      <c r="M58" s="314">
        <f>IFERROR(INDEX('Input Data'!$P$10:$P$14,MATCH(DATEDIF($M$4,G58,"M"),'Input Data'!$O$10:$O$14,1)),0)</f>
        <v>0.2</v>
      </c>
      <c r="N58" s="227"/>
      <c r="O58" s="227">
        <f>INDEX('Input Data'!$P$10:$P$14,MATCH(DATEDIF($O$4,G58,"M"),'Input Data'!$O$10:$O$14,1))</f>
        <v>0.2</v>
      </c>
      <c r="P58" s="204">
        <f t="shared" si="1"/>
        <v>0</v>
      </c>
      <c r="R58" cm="1">
        <f t="array" ref="R58">_xlfn.LET(_xlpm.current,INDEX('Input Data'!$M$20:$M$963,MATCH(Changes!B58&amp;"_"&amp;Changes!C58,'Input Data'!$B$20:$B$963&amp;"_"&amp;'Input Data'!$C$20:$C$963,0)),_xlpm.prev,INDEX('[2]Input Data'!$L$20:$L$173,MATCH(B58&amp;"_"&amp;C58,'[2]Input Data'!$B$20:$B$173&amp;"_"&amp;'[2]Input Data'!$C$20:$C$173,0)),
IF(OR(ISNA(_xlpm.current),ISNA(_xlpm.prev)),0,_xlpm.current-_xlpm.prev))</f>
        <v>0</v>
      </c>
      <c r="S58" s="186" t="b">
        <f t="shared" si="2"/>
        <v>0</v>
      </c>
      <c r="T58" t="str" cm="1">
        <f t="array" ref="T58">IFERROR(_xlfn._xlws.FILTER('Input Data'!$N$20:$N$963,('Input Data'!$B$20:$B$963=Changes!B58)*('Input Data'!$C$20:$C$963=Changes!C58)),_xlfn._xlws.FILTER('[2]Input Data'!$M$20:$M$173,('[2]Input Data'!$B$20:$B$173=Changes!B58)*('[2]Input Data'!$C$20:$C$173=Changes!C58)))</f>
        <v>Maxar Space Systems</v>
      </c>
      <c r="V58" s="348"/>
      <c r="W58" s="227"/>
      <c r="X58" t="str" cm="1">
        <f t="array" ref="X58:X66">_xlfn.UNIQUE(_xlfn._xlws.FILTER($D$7:$D$205,Q7:Q205="Renewed"))</f>
        <v>AZERSPACE-1/AFRICASAT 1A</v>
      </c>
      <c r="Y58" s="33" cm="1">
        <f t="array" ref="Y58:Y66">SUMIFS($H$7:$H$205,$D$7:$D$205,_xlfn.ANCHORARRAY(X58),$Q$7:$Q$205,"Renewed")</f>
        <v>6576079.0788000003</v>
      </c>
      <c r="Z58" s="33" cm="1">
        <f t="array" ref="Z58:Z66">SUMIFS($I$7:$I$205,$D$7:$D$205,_xlfn.ANCHORARRAY(X58),$Q$7:$Q$205,"Renewed")</f>
        <v>9278349.8814432994</v>
      </c>
      <c r="AA58" s="33">
        <f t="shared" ref="AA58:AA86" si="12">Y58-Z58</f>
        <v>-2702270.8026432991</v>
      </c>
      <c r="AC58" s="183" t="s">
        <v>307</v>
      </c>
      <c r="AD58" s="259">
        <v>6576079.0788000003</v>
      </c>
      <c r="AE58" s="259">
        <v>9278349.8814432994</v>
      </c>
      <c r="AF58" s="386">
        <v>-2702270.8026432991</v>
      </c>
      <c r="AH58" s="183" t="str" cm="1">
        <f t="array" ref="AH58:AI67">_xlfn.TAKE(_xlfn._xlws.SORT($X$91:$Y$204,2,-1),10)</f>
        <v>SXM-10</v>
      </c>
      <c r="AI58" s="262">
        <v>39999960</v>
      </c>
    </row>
    <row r="59" spans="1:37" x14ac:dyDescent="0.35">
      <c r="A59">
        <f t="shared" si="0"/>
        <v>1</v>
      </c>
      <c r="B59" s="315">
        <v>342462</v>
      </c>
      <c r="C59" s="282">
        <v>460214</v>
      </c>
      <c r="D59" s="282" t="str">
        <v>PLEIADES NEO 3</v>
      </c>
      <c r="E59" s="282" t="str">
        <v>FIID</v>
      </c>
      <c r="F59" s="282" t="str">
        <v>LEO</v>
      </c>
      <c r="G59" s="283" cm="1">
        <f t="array" ref="G59">_xlfn.IFNA(INDEX('Input Data'!$M$20:$M$963,MATCH(Changes!B59&amp;"_"&amp;Changes!C59,'Input Data'!$B$20:$B$963&amp;"_"&amp;'Input Data'!$C$20:$C$963,0)),INDEX('[2]Input Data'!$L$20:$L$158,MATCH(B59&amp;"_"&amp;C59,'[2]Input Data'!$B$20:$B$158&amp;"_"&amp;'[2]Input Data'!$C$20:$C$158,0)))</f>
        <v>46140</v>
      </c>
      <c r="H59" s="313" cm="1">
        <f t="array" ref="H59">_xlfn._xlws.FILTER('Input Data'!$AA$20:$AA$963,('Input Data'!$B$20:$B$963=Changes!B59)*('Input Data'!$C$20:$C$963=Changes!C59),0)</f>
        <v>10003270.3710598</v>
      </c>
      <c r="I59" s="313" cm="1">
        <f t="array" ref="I59">_xlfn._xlws.FILTER('[2]Input Data'!$AA$20:$AA$173,('[2]Input Data'!$B$20:$B$173=Changes!B59)*('[2]Input Data'!$C$20:$C$173=Changes!C59),0)</f>
        <v>10003270.3710598</v>
      </c>
      <c r="J59" s="346" t="str" cm="1">
        <f t="array" ref="J59">_xlfn._xlws.FILTER('Input Data'!$E$20:$E$963,('Input Data'!$B$20:$B$963=Changes!B59)*('Input Data'!$C$20:$C$963=Changes!C59),0)</f>
        <v>In-Orbit</v>
      </c>
      <c r="K59" s="347" cm="1">
        <f t="array" ref="K59">_xlfn._xlws.FILTER('Input Data'!$L$20:$L$963,('Input Data'!$B$20:$B$963=Changes!B59)*('Input Data'!$C$20:$C$963=Changes!C59),0)</f>
        <v>45776</v>
      </c>
      <c r="L59" s="356" t="str" cm="1">
        <f t="array" ref="L59">_xlfn._xlws.FILTER('[2]Input Data'!$D$20:$D$173,('[2]Input Data'!$B$20:$B$173=Changes!B59)*('[2]Input Data'!$C$20:$C$173=Changes!C59),0)</f>
        <v>In-Orbit</v>
      </c>
      <c r="M59" s="314">
        <f>IFERROR(INDEX('Input Data'!$P$10:$P$14,MATCH(DATEDIF($M$4,G59,"M"),'Input Data'!$O$10:$O$14,1)),0)</f>
        <v>0.2</v>
      </c>
      <c r="N59" s="227"/>
      <c r="O59" s="227">
        <f>INDEX('Input Data'!$P$10:$P$14,MATCH(DATEDIF($O$4,G59,"M"),'Input Data'!$O$10:$O$14,1))</f>
        <v>0.2</v>
      </c>
      <c r="P59" s="204">
        <f t="shared" si="1"/>
        <v>0</v>
      </c>
      <c r="R59" cm="1">
        <f t="array" ref="R59">_xlfn.LET(_xlpm.current,INDEX('Input Data'!$M$20:$M$963,MATCH(Changes!B59&amp;"_"&amp;Changes!C59,'Input Data'!$B$20:$B$963&amp;"_"&amp;'Input Data'!$C$20:$C$963,0)),_xlpm.prev,INDEX('[2]Input Data'!$L$20:$L$173,MATCH(B59&amp;"_"&amp;C59,'[2]Input Data'!$B$20:$B$173&amp;"_"&amp;'[2]Input Data'!$C$20:$C$173,0)),
IF(OR(ISNA(_xlpm.current),ISNA(_xlpm.prev)),0,_xlpm.current-_xlpm.prev))</f>
        <v>0</v>
      </c>
      <c r="S59" s="186" t="b">
        <f t="shared" si="2"/>
        <v>0</v>
      </c>
      <c r="T59" t="str" cm="1">
        <f t="array" ref="T59">IFERROR(_xlfn._xlws.FILTER('Input Data'!$N$20:$N$963,('Input Data'!$B$20:$B$963=Changes!B59)*('Input Data'!$C$20:$C$963=Changes!C59)),_xlfn._xlws.FILTER('[2]Input Data'!$M$20:$M$173,('[2]Input Data'!$B$20:$B$173=Changes!B59)*('[2]Input Data'!$C$20:$C$173=Changes!C59)))</f>
        <v>Airbus Defence and Space (Toulouse)</v>
      </c>
      <c r="V59" s="348"/>
      <c r="W59" s="227"/>
      <c r="X59" t="str">
        <v>JCSAT-2B (JCSAT-14)</v>
      </c>
      <c r="Y59" s="33">
        <v>627113.02780526399</v>
      </c>
      <c r="Z59" s="33">
        <v>2101916.98230711</v>
      </c>
      <c r="AA59" s="33">
        <f t="shared" si="12"/>
        <v>-1474803.9545018459</v>
      </c>
      <c r="AC59" s="185" t="s">
        <v>308</v>
      </c>
      <c r="AD59" s="33">
        <v>627113.02780526399</v>
      </c>
      <c r="AE59" s="33">
        <v>2101916.98230711</v>
      </c>
      <c r="AF59" s="387">
        <v>-1474803.9545018459</v>
      </c>
      <c r="AH59" s="185" t="str">
        <v>NUSANTARA LIMA</v>
      </c>
      <c r="AI59" s="263">
        <v>35000001</v>
      </c>
    </row>
    <row r="60" spans="1:37" x14ac:dyDescent="0.35">
      <c r="A60">
        <f t="shared" si="0"/>
        <v>1</v>
      </c>
      <c r="B60" s="315">
        <v>342462</v>
      </c>
      <c r="C60" s="282">
        <v>460219</v>
      </c>
      <c r="D60" s="282" t="str">
        <v>PLEIADES NEO 4</v>
      </c>
      <c r="E60" s="282" t="str">
        <v>FIID</v>
      </c>
      <c r="F60" s="282" t="str">
        <v>LEO</v>
      </c>
      <c r="G60" s="283" cm="1">
        <f t="array" ref="G60">_xlfn.IFNA(INDEX('Input Data'!$M$20:$M$963,MATCH(Changes!B60&amp;"_"&amp;Changes!C60,'Input Data'!$B$20:$B$963&amp;"_"&amp;'Input Data'!$C$20:$C$963,0)),INDEX('[2]Input Data'!$L$20:$L$158,MATCH(B60&amp;"_"&amp;C60,'[2]Input Data'!$B$20:$B$158&amp;"_"&amp;'[2]Input Data'!$C$20:$C$158,0)))</f>
        <v>46140</v>
      </c>
      <c r="H60" s="313" cm="1">
        <f t="array" ref="H60">_xlfn._xlws.FILTER('Input Data'!$AA$20:$AA$963,('Input Data'!$B$20:$B$963=Changes!B60)*('Input Data'!$C$20:$C$963=Changes!C60),0)</f>
        <v>10003270.3710598</v>
      </c>
      <c r="I60" s="313" cm="1">
        <f t="array" ref="I60">_xlfn._xlws.FILTER('[2]Input Data'!$AA$20:$AA$173,('[2]Input Data'!$B$20:$B$173=Changes!B60)*('[2]Input Data'!$C$20:$C$173=Changes!C60),0)</f>
        <v>10003270.3710598</v>
      </c>
      <c r="J60" s="346" t="str" cm="1">
        <f t="array" ref="J60">_xlfn._xlws.FILTER('Input Data'!$E$20:$E$963,('Input Data'!$B$20:$B$963=Changes!B60)*('Input Data'!$C$20:$C$963=Changes!C60),0)</f>
        <v>In-Orbit</v>
      </c>
      <c r="K60" s="347" cm="1">
        <f t="array" ref="K60">_xlfn._xlws.FILTER('Input Data'!$L$20:$L$963,('Input Data'!$B$20:$B$963=Changes!B60)*('Input Data'!$C$20:$C$963=Changes!C60),0)</f>
        <v>45776</v>
      </c>
      <c r="L60" s="356" t="str" cm="1">
        <f t="array" ref="L60">_xlfn._xlws.FILTER('[2]Input Data'!$D$20:$D$173,('[2]Input Data'!$B$20:$B$173=Changes!B60)*('[2]Input Data'!$C$20:$C$173=Changes!C60),0)</f>
        <v>In-Orbit</v>
      </c>
      <c r="M60" s="314">
        <f>IFERROR(INDEX('Input Data'!$P$10:$P$14,MATCH(DATEDIF($M$4,G60,"M"),'Input Data'!$O$10:$O$14,1)),0)</f>
        <v>0.2</v>
      </c>
      <c r="N60" s="227"/>
      <c r="O60" s="227">
        <f>INDEX('Input Data'!$P$10:$P$14,MATCH(DATEDIF($O$4,G60,"M"),'Input Data'!$O$10:$O$14,1))</f>
        <v>0.2</v>
      </c>
      <c r="P60" s="204">
        <f t="shared" si="1"/>
        <v>0</v>
      </c>
      <c r="R60" cm="1">
        <f t="array" ref="R60">_xlfn.LET(_xlpm.current,INDEX('Input Data'!$M$20:$M$963,MATCH(Changes!B60&amp;"_"&amp;Changes!C60,'Input Data'!$B$20:$B$963&amp;"_"&amp;'Input Data'!$C$20:$C$963,0)),_xlpm.prev,INDEX('[2]Input Data'!$L$20:$L$173,MATCH(B60&amp;"_"&amp;C60,'[2]Input Data'!$B$20:$B$173&amp;"_"&amp;'[2]Input Data'!$C$20:$C$173,0)),
IF(OR(ISNA(_xlpm.current),ISNA(_xlpm.prev)),0,_xlpm.current-_xlpm.prev))</f>
        <v>0</v>
      </c>
      <c r="S60" s="186" t="b">
        <f t="shared" si="2"/>
        <v>0</v>
      </c>
      <c r="T60" t="str" cm="1">
        <f t="array" ref="T60">IFERROR(_xlfn._xlws.FILTER('Input Data'!$N$20:$N$963,('Input Data'!$B$20:$B$963=Changes!B60)*('Input Data'!$C$20:$C$963=Changes!C60)),_xlfn._xlws.FILTER('[2]Input Data'!$M$20:$M$173,('[2]Input Data'!$B$20:$B$173=Changes!B60)*('[2]Input Data'!$C$20:$C$173=Changes!C60)))</f>
        <v>Airbus Defence and Space (Stevenage)</v>
      </c>
      <c r="V60" s="348"/>
      <c r="W60" s="227"/>
      <c r="X60" t="str">
        <v>JCSAT-18/KACIFIC-1</v>
      </c>
      <c r="Y60" s="33">
        <v>1316631.07608199</v>
      </c>
      <c r="Z60" s="33">
        <v>2990981.6104335799</v>
      </c>
      <c r="AA60" s="33">
        <f t="shared" si="12"/>
        <v>-1674350.5343515899</v>
      </c>
      <c r="AC60" s="185" t="s">
        <v>311</v>
      </c>
      <c r="AD60" s="33">
        <v>1316631.07608199</v>
      </c>
      <c r="AE60" s="33">
        <v>2990981.6104335799</v>
      </c>
      <c r="AF60" s="387">
        <v>-1674350.5343515899</v>
      </c>
      <c r="AH60" s="185" t="str">
        <v>INMARSAT 6-F1</v>
      </c>
      <c r="AI60" s="263">
        <v>30041791.496321999</v>
      </c>
    </row>
    <row r="61" spans="1:37" x14ac:dyDescent="0.35">
      <c r="A61">
        <f t="shared" si="0"/>
        <v>1</v>
      </c>
      <c r="B61" s="315">
        <v>343722</v>
      </c>
      <c r="C61" s="282">
        <v>463279</v>
      </c>
      <c r="D61" s="282" t="str">
        <v>AMAZONAS NEXUS</v>
      </c>
      <c r="E61" s="282" t="str">
        <v>FIID</v>
      </c>
      <c r="F61" s="282" t="str">
        <v>GEO-GSO</v>
      </c>
      <c r="G61" s="283" cm="1">
        <f t="array" ref="G61">_xlfn.IFNA(INDEX('Input Data'!$M$20:$M$963,MATCH(Changes!B61&amp;"_"&amp;Changes!C61,'Input Data'!$B$20:$B$963&amp;"_"&amp;'Input Data'!$C$20:$C$963,0)),INDEX('[2]Input Data'!$L$20:$L$158,MATCH(B61&amp;"_"&amp;C61,'[2]Input Data'!$B$20:$B$158&amp;"_"&amp;'[2]Input Data'!$C$20:$C$158,0)))</f>
        <v>46179</v>
      </c>
      <c r="H61" s="313" cm="1">
        <f t="array" ref="H61">_xlfn._xlws.FILTER('Input Data'!$AA$20:$AA$963,('Input Data'!$B$20:$B$963=Changes!B61)*('Input Data'!$C$20:$C$963=Changes!C61),0)</f>
        <v>28126299.2221421</v>
      </c>
      <c r="I61" s="313" cm="1">
        <f t="array" ref="I61">_xlfn._xlws.FILTER('[2]Input Data'!$AA$20:$AA$173,('[2]Input Data'!$B$20:$B$173=Changes!B61)*('[2]Input Data'!$C$20:$C$173=Changes!C61),0)</f>
        <v>28126299.2221421</v>
      </c>
      <c r="J61" s="346" t="str" cm="1">
        <f t="array" ref="J61">_xlfn._xlws.FILTER('Input Data'!$E$20:$E$963,('Input Data'!$B$20:$B$963=Changes!B61)*('Input Data'!$C$20:$C$963=Changes!C61),0)</f>
        <v>In-Orbit</v>
      </c>
      <c r="K61" s="347" cm="1">
        <f t="array" ref="K61">_xlfn._xlws.FILTER('Input Data'!$L$20:$L$963,('Input Data'!$B$20:$B$963=Changes!B61)*('Input Data'!$C$20:$C$963=Changes!C61),0)</f>
        <v>45815</v>
      </c>
      <c r="L61" s="356" t="str" cm="1">
        <f t="array" ref="L61">_xlfn._xlws.FILTER('[2]Input Data'!$D$20:$D$173,('[2]Input Data'!$B$20:$B$173=Changes!B61)*('[2]Input Data'!$C$20:$C$173=Changes!C61),0)</f>
        <v>In-Orbit</v>
      </c>
      <c r="M61" s="314">
        <f>IFERROR(INDEX('Input Data'!$P$10:$P$14,MATCH(DATEDIF($M$4,G61,"M"),'Input Data'!$O$10:$O$14,1)),0)</f>
        <v>0.2</v>
      </c>
      <c r="N61" s="227"/>
      <c r="O61" s="227">
        <f>INDEX('Input Data'!$P$10:$P$14,MATCH(DATEDIF($O$4,G61,"M"),'Input Data'!$O$10:$O$14,1))</f>
        <v>0.2</v>
      </c>
      <c r="P61" s="204">
        <f t="shared" si="1"/>
        <v>0</v>
      </c>
      <c r="R61" cm="1">
        <f t="array" ref="R61">_xlfn.LET(_xlpm.current,INDEX('Input Data'!$M$20:$M$963,MATCH(Changes!B61&amp;"_"&amp;Changes!C61,'Input Data'!$B$20:$B$963&amp;"_"&amp;'Input Data'!$C$20:$C$963,0)),_xlpm.prev,INDEX('[2]Input Data'!$L$20:$L$173,MATCH(B61&amp;"_"&amp;C61,'[2]Input Data'!$B$20:$B$173&amp;"_"&amp;'[2]Input Data'!$C$20:$C$173,0)),
IF(OR(ISNA(_xlpm.current),ISNA(_xlpm.prev)),0,_xlpm.current-_xlpm.prev))</f>
        <v>0</v>
      </c>
      <c r="S61" s="186" t="b">
        <f t="shared" si="2"/>
        <v>0</v>
      </c>
      <c r="T61" t="str" cm="1">
        <f t="array" ref="T61">IFERROR(_xlfn._xlws.FILTER('Input Data'!$N$20:$N$963,('Input Data'!$B$20:$B$963=Changes!B61)*('Input Data'!$C$20:$C$963=Changes!C61)),_xlfn._xlws.FILTER('[2]Input Data'!$M$20:$M$173,('[2]Input Data'!$B$20:$B$173=Changes!B61)*('[2]Input Data'!$C$20:$C$173=Changes!C61)))</f>
        <v>Thales Alenia Space France (Cannes)</v>
      </c>
      <c r="V61" s="348"/>
      <c r="W61" s="227"/>
      <c r="X61" t="str">
        <v>JCSAT-16</v>
      </c>
      <c r="Y61" s="33">
        <v>413863.97012056701</v>
      </c>
      <c r="Z61" s="33">
        <v>1671201.2131404299</v>
      </c>
      <c r="AA61" s="33">
        <f t="shared" si="12"/>
        <v>-1257337.243019863</v>
      </c>
      <c r="AC61" s="185" t="s">
        <v>310</v>
      </c>
      <c r="AD61" s="33">
        <v>413863.97012056701</v>
      </c>
      <c r="AE61" s="33">
        <v>1671201.2131404299</v>
      </c>
      <c r="AF61" s="387">
        <v>-1257337.243019863</v>
      </c>
      <c r="AH61" s="185" t="str">
        <v>SPAINSAT NG-1</v>
      </c>
      <c r="AI61" s="263">
        <v>28857627.37544075</v>
      </c>
    </row>
    <row r="62" spans="1:37" x14ac:dyDescent="0.35">
      <c r="A62">
        <f t="shared" si="0"/>
        <v>1</v>
      </c>
      <c r="B62" s="315">
        <v>343724</v>
      </c>
      <c r="C62" s="282">
        <v>463281</v>
      </c>
      <c r="D62" s="282" t="str">
        <v>INMARSAT 5-F5 (INMARSAT GX-5)</v>
      </c>
      <c r="E62" s="282" t="str">
        <v>FUL</v>
      </c>
      <c r="F62" s="282" t="str">
        <v>GEO-GSO</v>
      </c>
      <c r="G62" s="283" cm="1">
        <f t="array" ref="G62">_xlfn.IFNA(INDEX('Input Data'!$M$20:$M$963,MATCH(Changes!B62&amp;"_"&amp;Changes!C62,'Input Data'!$B$20:$B$963&amp;"_"&amp;'Input Data'!$C$20:$C$963,0)),INDEX('[2]Input Data'!$L$20:$L$158,MATCH(B62&amp;"_"&amp;C62,'[2]Input Data'!$B$20:$B$158&amp;"_"&amp;'[2]Input Data'!$C$20:$C$158,0)))</f>
        <v>46169</v>
      </c>
      <c r="H62" s="313" cm="1">
        <f t="array" ref="H62">_xlfn._xlws.FILTER('Input Data'!$AA$20:$AA$963,('Input Data'!$B$20:$B$963=Changes!B62)*('Input Data'!$C$20:$C$963=Changes!C62),0)</f>
        <v>10816672.5592917</v>
      </c>
      <c r="I62" s="313" cm="1">
        <f t="array" ref="I62">_xlfn._xlws.FILTER('[2]Input Data'!$AA$20:$AA$173,('[2]Input Data'!$B$20:$B$173=Changes!B62)*('[2]Input Data'!$C$20:$C$173=Changes!C62),0)</f>
        <v>10816672.5592917</v>
      </c>
      <c r="J62" s="346" t="str" cm="1">
        <f t="array" ref="J62">_xlfn._xlws.FILTER('Input Data'!$E$20:$E$963,('Input Data'!$B$20:$B$963=Changes!B62)*('Input Data'!$C$20:$C$963=Changes!C62),0)</f>
        <v>In-Orbit</v>
      </c>
      <c r="K62" s="347" cm="1">
        <f t="array" ref="K62">_xlfn._xlws.FILTER('Input Data'!$L$20:$L$963,('Input Data'!$B$20:$B$963=Changes!B62)*('Input Data'!$C$20:$C$963=Changes!C62),0)</f>
        <v>45839</v>
      </c>
      <c r="L62" s="356" t="str" cm="1">
        <f t="array" ref="L62">_xlfn._xlws.FILTER('[2]Input Data'!$D$20:$D$173,('[2]Input Data'!$B$20:$B$173=Changes!B62)*('[2]Input Data'!$C$20:$C$173=Changes!C62),0)</f>
        <v>In-Orbit</v>
      </c>
      <c r="M62" s="314">
        <f>IFERROR(INDEX('Input Data'!$P$10:$P$14,MATCH(DATEDIF($M$4,G62,"M"),'Input Data'!$O$10:$O$14,1)),0)</f>
        <v>0.2</v>
      </c>
      <c r="N62" s="227"/>
      <c r="O62" s="227">
        <f>INDEX('Input Data'!$P$10:$P$14,MATCH(DATEDIF($O$4,G62,"M"),'Input Data'!$O$10:$O$14,1))</f>
        <v>0.2</v>
      </c>
      <c r="P62" s="204">
        <f t="shared" si="1"/>
        <v>0</v>
      </c>
      <c r="R62" cm="1">
        <f t="array" ref="R62">_xlfn.LET(_xlpm.current,INDEX('Input Data'!$M$20:$M$963,MATCH(Changes!B62&amp;"_"&amp;Changes!C62,'Input Data'!$B$20:$B$963&amp;"_"&amp;'Input Data'!$C$20:$C$963,0)),_xlpm.prev,INDEX('[2]Input Data'!$L$20:$L$173,MATCH(B62&amp;"_"&amp;C62,'[2]Input Data'!$B$20:$B$173&amp;"_"&amp;'[2]Input Data'!$C$20:$C$173,0)),
IF(OR(ISNA(_xlpm.current),ISNA(_xlpm.prev)),0,_xlpm.current-_xlpm.prev))</f>
        <v>0</v>
      </c>
      <c r="S62" s="186" t="b">
        <f t="shared" si="2"/>
        <v>0</v>
      </c>
      <c r="T62" t="str" cm="1">
        <f t="array" ref="T62">IFERROR(_xlfn._xlws.FILTER('Input Data'!$N$20:$N$963,('Input Data'!$B$20:$B$963=Changes!B62)*('Input Data'!$C$20:$C$963=Changes!C62)),_xlfn._xlws.FILTER('[2]Input Data'!$M$20:$M$173,('[2]Input Data'!$B$20:$B$173=Changes!B62)*('[2]Input Data'!$C$20:$C$173=Changes!C62)))</f>
        <v>Thales Alenia Space France (Cannes)</v>
      </c>
      <c r="V62" s="348"/>
      <c r="W62" s="227"/>
      <c r="X62" t="str">
        <v>JCSAT-110A (JCSAT-15)</v>
      </c>
      <c r="Y62" s="33">
        <v>680712.43189118395</v>
      </c>
      <c r="Z62" s="33">
        <v>2108524.8950837199</v>
      </c>
      <c r="AA62" s="33">
        <f t="shared" si="12"/>
        <v>-1427812.463192536</v>
      </c>
      <c r="AC62" s="185" t="s">
        <v>309</v>
      </c>
      <c r="AD62" s="33">
        <v>680712.43189118395</v>
      </c>
      <c r="AE62" s="33">
        <v>2108524.8950837199</v>
      </c>
      <c r="AF62" s="387">
        <v>-1427812.463192536</v>
      </c>
      <c r="AH62" s="185" t="str">
        <v>AMAZONAS NEXUS</v>
      </c>
      <c r="AI62" s="263">
        <v>28126299.2221421</v>
      </c>
    </row>
    <row r="63" spans="1:37" x14ac:dyDescent="0.35">
      <c r="A63">
        <f t="shared" si="0"/>
        <v>1</v>
      </c>
      <c r="B63" s="315">
        <v>343724</v>
      </c>
      <c r="C63" s="282">
        <v>463282</v>
      </c>
      <c r="D63" s="282" t="str">
        <v>HELLAS-SAT 3/INMARSAT-S-EAN</v>
      </c>
      <c r="E63" s="282" t="str">
        <v>FUL</v>
      </c>
      <c r="F63" s="282" t="str">
        <v>GEO-GSO</v>
      </c>
      <c r="G63" s="283" cm="1">
        <f t="array" ref="G63">_xlfn.IFNA(INDEX('Input Data'!$M$20:$M$963,MATCH(Changes!B63&amp;"_"&amp;Changes!C63,'Input Data'!$B$20:$B$963&amp;"_"&amp;'Input Data'!$C$20:$C$963,0)),INDEX('[2]Input Data'!$L$20:$L$158,MATCH(B63&amp;"_"&amp;C63,'[2]Input Data'!$B$20:$B$158&amp;"_"&amp;'[2]Input Data'!$C$20:$C$158,0)))</f>
        <v>46203</v>
      </c>
      <c r="H63" s="313" cm="1">
        <f t="array" ref="H63">_xlfn._xlws.FILTER('Input Data'!$AA$20:$AA$963,('Input Data'!$B$20:$B$963=Changes!B63)*('Input Data'!$C$20:$C$963=Changes!C63),0)</f>
        <v>7621566.7914210996</v>
      </c>
      <c r="I63" s="313" cm="1">
        <f t="array" ref="I63">_xlfn._xlws.FILTER('[2]Input Data'!$AA$20:$AA$173,('[2]Input Data'!$B$20:$B$173=Changes!B63)*('[2]Input Data'!$C$20:$C$173=Changes!C63),0)</f>
        <v>7621566.7914210996</v>
      </c>
      <c r="J63" s="346" t="str" cm="1">
        <f t="array" ref="J63">_xlfn._xlws.FILTER('Input Data'!$E$20:$E$963,('Input Data'!$B$20:$B$963=Changes!B63)*('Input Data'!$C$20:$C$963=Changes!C63),0)</f>
        <v>In-Orbit</v>
      </c>
      <c r="K63" s="347" cm="1">
        <f t="array" ref="K63">_xlfn._xlws.FILTER('Input Data'!$L$20:$L$963,('Input Data'!$B$20:$B$963=Changes!B63)*('Input Data'!$C$20:$C$963=Changes!C63),0)</f>
        <v>45839</v>
      </c>
      <c r="L63" s="356" t="str" cm="1">
        <f t="array" ref="L63">_xlfn._xlws.FILTER('[2]Input Data'!$D$20:$D$173,('[2]Input Data'!$B$20:$B$173=Changes!B63)*('[2]Input Data'!$C$20:$C$173=Changes!C63),0)</f>
        <v>In-Orbit</v>
      </c>
      <c r="M63" s="314">
        <f>IFERROR(INDEX('Input Data'!$P$10:$P$14,MATCH(DATEDIF($M$4,G63,"M"),'Input Data'!$O$10:$O$14,1)),0)</f>
        <v>0.2</v>
      </c>
      <c r="N63" s="227"/>
      <c r="O63" s="227">
        <f>INDEX('Input Data'!$P$10:$P$14,MATCH(DATEDIF($O$4,G63,"M"),'Input Data'!$O$10:$O$14,1))</f>
        <v>0.2</v>
      </c>
      <c r="P63" s="204">
        <f t="shared" si="1"/>
        <v>0</v>
      </c>
      <c r="R63" cm="1">
        <f t="array" ref="R63">_xlfn.LET(_xlpm.current,INDEX('Input Data'!$M$20:$M$963,MATCH(Changes!B63&amp;"_"&amp;Changes!C63,'Input Data'!$B$20:$B$963&amp;"_"&amp;'Input Data'!$C$20:$C$963,0)),_xlpm.prev,INDEX('[2]Input Data'!$L$20:$L$173,MATCH(B63&amp;"_"&amp;C63,'[2]Input Data'!$B$20:$B$173&amp;"_"&amp;'[2]Input Data'!$C$20:$C$173,0)),
IF(OR(ISNA(_xlpm.current),ISNA(_xlpm.prev)),0,_xlpm.current-_xlpm.prev))</f>
        <v>0</v>
      </c>
      <c r="S63" s="186" t="b">
        <f t="shared" si="2"/>
        <v>0</v>
      </c>
      <c r="T63" t="str" cm="1">
        <f t="array" ref="T63">IFERROR(_xlfn._xlws.FILTER('Input Data'!$N$20:$N$963,('Input Data'!$B$20:$B$963=Changes!B63)*('Input Data'!$C$20:$C$963=Changes!C63)),_xlfn._xlws.FILTER('[2]Input Data'!$M$20:$M$173,('[2]Input Data'!$B$20:$B$173=Changes!B63)*('[2]Input Data'!$C$20:$C$173=Changes!C63)))</f>
        <v>Thales Alenia Space France (Cannes)</v>
      </c>
      <c r="V63" s="348"/>
      <c r="W63" s="227"/>
      <c r="X63" t="str">
        <v>TELKOMSAT 113BT</v>
      </c>
      <c r="Y63" s="33">
        <v>12850477.512143709</v>
      </c>
      <c r="Z63" s="33">
        <v>21822092.255038898</v>
      </c>
      <c r="AA63" s="33">
        <f t="shared" si="12"/>
        <v>-8971614.7428951897</v>
      </c>
      <c r="AC63" s="185" t="s">
        <v>312</v>
      </c>
      <c r="AD63" s="33">
        <v>22258617.31119312</v>
      </c>
      <c r="AE63" s="33">
        <v>25158124.5046972</v>
      </c>
      <c r="AF63" s="387">
        <v>-2899507.1935040802</v>
      </c>
      <c r="AH63" s="185" t="str">
        <v>SPAINSAT NG-2</v>
      </c>
      <c r="AI63" s="263">
        <v>26601157.9806302</v>
      </c>
    </row>
    <row r="64" spans="1:37" x14ac:dyDescent="0.35">
      <c r="A64">
        <f t="shared" si="0"/>
        <v>1</v>
      </c>
      <c r="B64" s="315">
        <v>343724</v>
      </c>
      <c r="C64" s="282">
        <v>463283</v>
      </c>
      <c r="D64" s="282" t="str">
        <v>ALPHASAT I-XL</v>
      </c>
      <c r="E64" s="282" t="str">
        <v>FUL</v>
      </c>
      <c r="F64" s="282" t="str">
        <v>GEO-GSO</v>
      </c>
      <c r="G64" s="283" cm="1">
        <f t="array" ref="G64">_xlfn.IFNA(INDEX('Input Data'!$M$20:$M$963,MATCH(Changes!B64&amp;"_"&amp;Changes!C64,'Input Data'!$B$20:$B$963&amp;"_"&amp;'Input Data'!$C$20:$C$963,0)),INDEX('[2]Input Data'!$L$20:$L$158,MATCH(B64&amp;"_"&amp;C64,'[2]Input Data'!$B$20:$B$158&amp;"_"&amp;'[2]Input Data'!$C$20:$C$158,0)))</f>
        <v>46203</v>
      </c>
      <c r="H64" s="313" cm="1">
        <f t="array" ref="H64">_xlfn._xlws.FILTER('Input Data'!$AA$20:$AA$963,('Input Data'!$B$20:$B$963=Changes!B64)*('Input Data'!$C$20:$C$963=Changes!C64),0)</f>
        <v>6529238.3396333996</v>
      </c>
      <c r="I64" s="313" cm="1">
        <f t="array" ref="I64">_xlfn._xlws.FILTER('[2]Input Data'!$AA$20:$AA$173,('[2]Input Data'!$B$20:$B$173=Changes!B64)*('[2]Input Data'!$C$20:$C$173=Changes!C64),0)</f>
        <v>6529238.3396333996</v>
      </c>
      <c r="J64" s="346" t="str" cm="1">
        <f t="array" ref="J64">_xlfn._xlws.FILTER('Input Data'!$E$20:$E$963,('Input Data'!$B$20:$B$963=Changes!B64)*('Input Data'!$C$20:$C$963=Changes!C64),0)</f>
        <v>In-Orbit</v>
      </c>
      <c r="K64" s="347" cm="1">
        <f t="array" ref="K64">_xlfn._xlws.FILTER('Input Data'!$L$20:$L$963,('Input Data'!$B$20:$B$963=Changes!B64)*('Input Data'!$C$20:$C$963=Changes!C64),0)</f>
        <v>45839</v>
      </c>
      <c r="L64" s="356" t="str" cm="1">
        <f t="array" ref="L64">_xlfn._xlws.FILTER('[2]Input Data'!$D$20:$D$173,('[2]Input Data'!$B$20:$B$173=Changes!B64)*('[2]Input Data'!$C$20:$C$173=Changes!C64),0)</f>
        <v>In-Orbit</v>
      </c>
      <c r="M64" s="314">
        <f>IFERROR(INDEX('Input Data'!$P$10:$P$14,MATCH(DATEDIF($M$4,G64,"M"),'Input Data'!$O$10:$O$14,1)),0)</f>
        <v>0.2</v>
      </c>
      <c r="N64" s="227"/>
      <c r="O64" s="227">
        <f>INDEX('Input Data'!$P$10:$P$14,MATCH(DATEDIF($O$4,G64,"M"),'Input Data'!$O$10:$O$14,1))</f>
        <v>0.2</v>
      </c>
      <c r="P64" s="204">
        <f t="shared" si="1"/>
        <v>0</v>
      </c>
      <c r="R64" cm="1">
        <f t="array" ref="R64">_xlfn.LET(_xlpm.current,INDEX('Input Data'!$M$20:$M$963,MATCH(Changes!B64&amp;"_"&amp;Changes!C64,'Input Data'!$B$20:$B$963&amp;"_"&amp;'Input Data'!$C$20:$C$963,0)),_xlpm.prev,INDEX('[2]Input Data'!$L$20:$L$173,MATCH(B64&amp;"_"&amp;C64,'[2]Input Data'!$B$20:$B$173&amp;"_"&amp;'[2]Input Data'!$C$20:$C$173,0)),
IF(OR(ISNA(_xlpm.current),ISNA(_xlpm.prev)),0,_xlpm.current-_xlpm.prev))</f>
        <v>0</v>
      </c>
      <c r="S64" s="186" t="b">
        <f t="shared" si="2"/>
        <v>0</v>
      </c>
      <c r="T64" t="str" cm="1">
        <f t="array" ref="T64">IFERROR(_xlfn._xlws.FILTER('Input Data'!$N$20:$N$963,('Input Data'!$B$20:$B$963=Changes!B64)*('Input Data'!$C$20:$C$963=Changes!C64)),_xlfn._xlws.FILTER('[2]Input Data'!$M$20:$M$173,('[2]Input Data'!$B$20:$B$173=Changes!B64)*('[2]Input Data'!$C$20:$C$173=Changes!C64)))</f>
        <v>Thales Alenia Space France (Toulouse)</v>
      </c>
      <c r="V64" s="348"/>
      <c r="W64" s="227"/>
      <c r="X64" t="str">
        <v>JCSAT-17</v>
      </c>
      <c r="Y64" s="33">
        <v>22258617.31119312</v>
      </c>
      <c r="Z64" s="33">
        <v>25158124.5046972</v>
      </c>
      <c r="AA64" s="33">
        <f t="shared" si="12"/>
        <v>-2899507.1935040802</v>
      </c>
      <c r="AC64" s="185" t="s">
        <v>306</v>
      </c>
      <c r="AD64" s="33">
        <v>6425262.08096305</v>
      </c>
      <c r="AE64" s="33">
        <v>21822092.255038898</v>
      </c>
      <c r="AF64" s="387">
        <v>-15396830.174075849</v>
      </c>
      <c r="AH64" s="185" t="str">
        <v>Arabsat BADR 8</v>
      </c>
      <c r="AI64" s="263">
        <v>25242749.444031801</v>
      </c>
    </row>
    <row r="65" spans="1:35" x14ac:dyDescent="0.35">
      <c r="A65">
        <f t="shared" si="0"/>
        <v>1</v>
      </c>
      <c r="B65" s="315">
        <v>343724</v>
      </c>
      <c r="C65" s="282">
        <v>463284</v>
      </c>
      <c r="D65" s="282" t="str">
        <v>INMARSAT 5-F4 (INMARSAT GX-4)</v>
      </c>
      <c r="E65" s="282" t="str">
        <v>FUL</v>
      </c>
      <c r="F65" s="282" t="str">
        <v>GEO-GSO</v>
      </c>
      <c r="G65" s="283" cm="1">
        <f t="array" ref="G65">_xlfn.IFNA(INDEX('Input Data'!$M$20:$M$963,MATCH(Changes!B65&amp;"_"&amp;Changes!C65,'Input Data'!$B$20:$B$963&amp;"_"&amp;'Input Data'!$C$20:$C$963,0)),INDEX('[2]Input Data'!$L$20:$L$158,MATCH(B65&amp;"_"&amp;C65,'[2]Input Data'!$B$20:$B$158&amp;"_"&amp;'[2]Input Data'!$C$20:$C$158,0)))</f>
        <v>46203</v>
      </c>
      <c r="H65" s="313" cm="1">
        <f t="array" ref="H65">_xlfn._xlws.FILTER('Input Data'!$AA$20:$AA$963,('Input Data'!$B$20:$B$963=Changes!B65)*('Input Data'!$C$20:$C$963=Changes!C65),0)</f>
        <v>13126283.4832775</v>
      </c>
      <c r="I65" s="313" cm="1">
        <f t="array" ref="I65">_xlfn._xlws.FILTER('[2]Input Data'!$AA$20:$AA$173,('[2]Input Data'!$B$20:$B$173=Changes!B65)*('[2]Input Data'!$C$20:$C$173=Changes!C65),0)</f>
        <v>13126283.4832775</v>
      </c>
      <c r="J65" s="346" t="str" cm="1">
        <f t="array" ref="J65">_xlfn._xlws.FILTER('Input Data'!$E$20:$E$963,('Input Data'!$B$20:$B$963=Changes!B65)*('Input Data'!$C$20:$C$963=Changes!C65),0)</f>
        <v>In-Orbit</v>
      </c>
      <c r="K65" s="347" cm="1">
        <f t="array" ref="K65">_xlfn._xlws.FILTER('Input Data'!$L$20:$L$963,('Input Data'!$B$20:$B$963=Changes!B65)*('Input Data'!$C$20:$C$963=Changes!C65),0)</f>
        <v>45839</v>
      </c>
      <c r="L65" s="356" t="str" cm="1">
        <f t="array" ref="L65">_xlfn._xlws.FILTER('[2]Input Data'!$D$20:$D$173,('[2]Input Data'!$B$20:$B$173=Changes!B65)*('[2]Input Data'!$C$20:$C$173=Changes!C65),0)</f>
        <v>In-Orbit</v>
      </c>
      <c r="M65" s="314">
        <f>IFERROR(INDEX('Input Data'!$P$10:$P$14,MATCH(DATEDIF($M$4,G65,"M"),'Input Data'!$O$10:$O$14,1)),0)</f>
        <v>0.2</v>
      </c>
      <c r="N65" s="227"/>
      <c r="O65" s="227">
        <f>INDEX('Input Data'!$P$10:$P$14,MATCH(DATEDIF($O$4,G65,"M"),'Input Data'!$O$10:$O$14,1))</f>
        <v>0.2</v>
      </c>
      <c r="P65" s="204">
        <f t="shared" si="1"/>
        <v>0</v>
      </c>
      <c r="R65" cm="1">
        <f t="array" ref="R65">_xlfn.LET(_xlpm.current,INDEX('Input Data'!$M$20:$M$963,MATCH(Changes!B65&amp;"_"&amp;Changes!C65,'Input Data'!$B$20:$B$963&amp;"_"&amp;'Input Data'!$C$20:$C$963,0)),_xlpm.prev,INDEX('[2]Input Data'!$L$20:$L$173,MATCH(B65&amp;"_"&amp;C65,'[2]Input Data'!$B$20:$B$173&amp;"_"&amp;'[2]Input Data'!$C$20:$C$173,0)),
IF(OR(ISNA(_xlpm.current),ISNA(_xlpm.prev)),0,_xlpm.current-_xlpm.prev))</f>
        <v>0</v>
      </c>
      <c r="S65" s="186" t="b">
        <f t="shared" si="2"/>
        <v>0</v>
      </c>
      <c r="T65" t="str" cm="1">
        <f t="array" ref="T65">IFERROR(_xlfn._xlws.FILTER('Input Data'!$N$20:$N$963,('Input Data'!$B$20:$B$963=Changes!B65)*('Input Data'!$C$20:$C$963=Changes!C65)),_xlfn._xlws.FILTER('[2]Input Data'!$M$20:$M$173,('[2]Input Data'!$B$20:$B$173=Changes!B65)*('[2]Input Data'!$C$20:$C$173=Changes!C65)))</f>
        <v>Boeing Satellite Systems Inc.</v>
      </c>
      <c r="V65" s="348"/>
      <c r="W65" s="227"/>
      <c r="X65" t="str">
        <v>HYLAS 2</v>
      </c>
      <c r="Y65" s="33">
        <v>2352960</v>
      </c>
      <c r="Z65" s="33">
        <v>4639175.8685566997</v>
      </c>
      <c r="AA65" s="33">
        <f t="shared" si="12"/>
        <v>-2286215.8685566997</v>
      </c>
      <c r="AC65" s="185"/>
      <c r="AD65" s="33"/>
      <c r="AE65" s="33"/>
      <c r="AF65" s="387"/>
      <c r="AH65" s="185" t="str">
        <v>JCSAT-17</v>
      </c>
      <c r="AI65" s="263">
        <v>22258617.31119312</v>
      </c>
    </row>
    <row r="66" spans="1:35" x14ac:dyDescent="0.35">
      <c r="A66">
        <f t="shared" si="0"/>
        <v>1</v>
      </c>
      <c r="B66" s="315">
        <v>343724</v>
      </c>
      <c r="C66" s="282">
        <v>463285</v>
      </c>
      <c r="D66" s="282" t="str">
        <v>INMARSAT 5-F3 (INMARSAT GX-3)</v>
      </c>
      <c r="E66" s="282" t="str">
        <v>FUL</v>
      </c>
      <c r="F66" s="282" t="str">
        <v>GEO-GSO</v>
      </c>
      <c r="G66" s="283" cm="1">
        <f t="array" ref="G66">_xlfn.IFNA(INDEX('Input Data'!$M$20:$M$963,MATCH(Changes!B66&amp;"_"&amp;Changes!C66,'Input Data'!$B$20:$B$963&amp;"_"&amp;'Input Data'!$C$20:$C$963,0)),INDEX('[2]Input Data'!$L$20:$L$158,MATCH(B66&amp;"_"&amp;C66,'[2]Input Data'!$B$20:$B$158&amp;"_"&amp;'[2]Input Data'!$C$20:$C$158,0)))</f>
        <v>46203</v>
      </c>
      <c r="H66" s="313" cm="1">
        <f t="array" ref="H66">_xlfn._xlws.FILTER('Input Data'!$AA$20:$AA$963,('Input Data'!$B$20:$B$963=Changes!B66)*('Input Data'!$C$20:$C$963=Changes!C66),0)</f>
        <v>9550287.2005776893</v>
      </c>
      <c r="I66" s="313" cm="1">
        <f t="array" ref="I66">_xlfn._xlws.FILTER('[2]Input Data'!$AA$20:$AA$173,('[2]Input Data'!$B$20:$B$173=Changes!B66)*('[2]Input Data'!$C$20:$C$173=Changes!C66),0)</f>
        <v>9550287.2005776893</v>
      </c>
      <c r="J66" s="346" t="str" cm="1">
        <f t="array" ref="J66">_xlfn._xlws.FILTER('Input Data'!$E$20:$E$963,('Input Data'!$B$20:$B$963=Changes!B66)*('Input Data'!$C$20:$C$963=Changes!C66),0)</f>
        <v>In-Orbit</v>
      </c>
      <c r="K66" s="347" cm="1">
        <f t="array" ref="K66">_xlfn._xlws.FILTER('Input Data'!$L$20:$L$963,('Input Data'!$B$20:$B$963=Changes!B66)*('Input Data'!$C$20:$C$963=Changes!C66),0)</f>
        <v>45839</v>
      </c>
      <c r="L66" s="356" t="str" cm="1">
        <f t="array" ref="L66">_xlfn._xlws.FILTER('[2]Input Data'!$D$20:$D$173,('[2]Input Data'!$B$20:$B$173=Changes!B66)*('[2]Input Data'!$C$20:$C$173=Changes!C66),0)</f>
        <v>In-Orbit</v>
      </c>
      <c r="M66" s="314">
        <f>IFERROR(INDEX('Input Data'!$P$10:$P$14,MATCH(DATEDIF($M$4,G66,"M"),'Input Data'!$O$10:$O$14,1)),0)</f>
        <v>0.2</v>
      </c>
      <c r="N66" s="227"/>
      <c r="O66" s="227">
        <f>INDEX('Input Data'!$P$10:$P$14,MATCH(DATEDIF($O$4,G66,"M"),'Input Data'!$O$10:$O$14,1))</f>
        <v>0.2</v>
      </c>
      <c r="P66" s="204">
        <f t="shared" si="1"/>
        <v>0</v>
      </c>
      <c r="R66" cm="1">
        <f t="array" ref="R66">_xlfn.LET(_xlpm.current,INDEX('Input Data'!$M$20:$M$963,MATCH(Changes!B66&amp;"_"&amp;Changes!C66,'Input Data'!$B$20:$B$963&amp;"_"&amp;'Input Data'!$C$20:$C$963,0)),_xlpm.prev,INDEX('[2]Input Data'!$L$20:$L$173,MATCH(B66&amp;"_"&amp;C66,'[2]Input Data'!$B$20:$B$173&amp;"_"&amp;'[2]Input Data'!$C$20:$C$173,0)),
IF(OR(ISNA(_xlpm.current),ISNA(_xlpm.prev)),0,_xlpm.current-_xlpm.prev))</f>
        <v>0</v>
      </c>
      <c r="S66" s="186" t="b">
        <f t="shared" si="2"/>
        <v>0</v>
      </c>
      <c r="T66" t="str" cm="1">
        <f t="array" ref="T66">IFERROR(_xlfn._xlws.FILTER('Input Data'!$N$20:$N$963,('Input Data'!$B$20:$B$963=Changes!B66)*('Input Data'!$C$20:$C$963=Changes!C66)),_xlfn._xlws.FILTER('[2]Input Data'!$M$20:$M$173,('[2]Input Data'!$B$20:$B$173=Changes!B66)*('[2]Input Data'!$C$20:$C$173=Changes!C66)))</f>
        <v>Boeing Satellite Systems Inc.</v>
      </c>
      <c r="V66" s="348"/>
      <c r="W66" s="227"/>
      <c r="X66" t="str">
        <v>HYLAS 1</v>
      </c>
      <c r="Y66" s="33">
        <v>1352952</v>
      </c>
      <c r="Z66" s="33">
        <v>2474226.7999999998</v>
      </c>
      <c r="AA66" s="33">
        <f t="shared" si="12"/>
        <v>-1121274.7999999998</v>
      </c>
      <c r="AC66" s="185"/>
      <c r="AD66" s="33"/>
      <c r="AE66" s="33"/>
      <c r="AF66" s="387"/>
      <c r="AH66" s="185" t="str">
        <v>PAKSAT-MULTI MISSION 1 (PAKSAT-MM1)</v>
      </c>
      <c r="AI66" s="263">
        <v>21649484.5</v>
      </c>
    </row>
    <row r="67" spans="1:35" x14ac:dyDescent="0.35">
      <c r="A67">
        <f t="shared" si="0"/>
        <v>1</v>
      </c>
      <c r="B67" s="315">
        <v>343724</v>
      </c>
      <c r="C67" s="282">
        <v>463286</v>
      </c>
      <c r="D67" s="282" t="str">
        <v>INMARSAT 5-F2 (INMARSAT GX-2)</v>
      </c>
      <c r="E67" s="282" t="str">
        <v>FUL</v>
      </c>
      <c r="F67" s="282" t="str">
        <v>GEO-GSO</v>
      </c>
      <c r="G67" s="283" cm="1">
        <f t="array" ref="G67">_xlfn.IFNA(INDEX('Input Data'!$M$20:$M$963,MATCH(Changes!B67&amp;"_"&amp;Changes!C67,'Input Data'!$B$20:$B$963&amp;"_"&amp;'Input Data'!$C$20:$C$963,0)),INDEX('[2]Input Data'!$L$20:$L$158,MATCH(B67&amp;"_"&amp;C67,'[2]Input Data'!$B$20:$B$158&amp;"_"&amp;'[2]Input Data'!$C$20:$C$158,0)))</f>
        <v>46203</v>
      </c>
      <c r="H67" s="313" cm="1">
        <f t="array" ref="H67">_xlfn._xlws.FILTER('Input Data'!$AA$20:$AA$963,('Input Data'!$B$20:$B$963=Changes!B67)*('Input Data'!$C$20:$C$963=Changes!C67),0)</f>
        <v>9334080.6029998995</v>
      </c>
      <c r="I67" s="313" cm="1">
        <f t="array" ref="I67">_xlfn._xlws.FILTER('[2]Input Data'!$AA$20:$AA$173,('[2]Input Data'!$B$20:$B$173=Changes!B67)*('[2]Input Data'!$C$20:$C$173=Changes!C67),0)</f>
        <v>9334080.6029998995</v>
      </c>
      <c r="J67" s="346" t="str" cm="1">
        <f t="array" ref="J67">_xlfn._xlws.FILTER('Input Data'!$E$20:$E$963,('Input Data'!$B$20:$B$963=Changes!B67)*('Input Data'!$C$20:$C$963=Changes!C67),0)</f>
        <v>In-Orbit</v>
      </c>
      <c r="K67" s="347" cm="1">
        <f t="array" ref="K67">_xlfn._xlws.FILTER('Input Data'!$L$20:$L$963,('Input Data'!$B$20:$B$963=Changes!B67)*('Input Data'!$C$20:$C$963=Changes!C67),0)</f>
        <v>45839</v>
      </c>
      <c r="L67" s="356" t="str" cm="1">
        <f t="array" ref="L67">_xlfn._xlws.FILTER('[2]Input Data'!$D$20:$D$173,('[2]Input Data'!$B$20:$B$173=Changes!B67)*('[2]Input Data'!$C$20:$C$173=Changes!C67),0)</f>
        <v>In-Orbit</v>
      </c>
      <c r="M67" s="314">
        <f>IFERROR(INDEX('Input Data'!$P$10:$P$14,MATCH(DATEDIF($M$4,G67,"M"),'Input Data'!$O$10:$O$14,1)),0)</f>
        <v>0.2</v>
      </c>
      <c r="N67" s="227"/>
      <c r="O67" s="227">
        <f>INDEX('Input Data'!$P$10:$P$14,MATCH(DATEDIF($O$4,G67,"M"),'Input Data'!$O$10:$O$14,1))</f>
        <v>0.2</v>
      </c>
      <c r="P67" s="204">
        <f t="shared" si="1"/>
        <v>0</v>
      </c>
      <c r="R67" cm="1">
        <f t="array" ref="R67">_xlfn.LET(_xlpm.current,INDEX('Input Data'!$M$20:$M$963,MATCH(Changes!B67&amp;"_"&amp;Changes!C67,'Input Data'!$B$20:$B$963&amp;"_"&amp;'Input Data'!$C$20:$C$963,0)),_xlpm.prev,INDEX('[2]Input Data'!$L$20:$L$173,MATCH(B67&amp;"_"&amp;C67,'[2]Input Data'!$B$20:$B$173&amp;"_"&amp;'[2]Input Data'!$C$20:$C$173,0)),
IF(OR(ISNA(_xlpm.current),ISNA(_xlpm.prev)),0,_xlpm.current-_xlpm.prev))</f>
        <v>0</v>
      </c>
      <c r="S67" s="186" t="b">
        <f t="shared" si="2"/>
        <v>0</v>
      </c>
      <c r="T67" t="str" cm="1">
        <f t="array" ref="T67">IFERROR(_xlfn._xlws.FILTER('Input Data'!$N$20:$N$963,('Input Data'!$B$20:$B$963=Changes!B67)*('Input Data'!$C$20:$C$963=Changes!C67)),_xlfn._xlws.FILTER('[2]Input Data'!$M$20:$M$173,('[2]Input Data'!$B$20:$B$173=Changes!B67)*('[2]Input Data'!$C$20:$C$173=Changes!C67)))</f>
        <v>Boeing Satellite Systems Inc.</v>
      </c>
      <c r="V67" s="348"/>
      <c r="W67" s="227"/>
      <c r="Y67" s="33"/>
      <c r="Z67" s="33"/>
      <c r="AA67" s="33">
        <f t="shared" si="12"/>
        <v>0</v>
      </c>
      <c r="AC67" s="185"/>
      <c r="AD67" s="33"/>
      <c r="AE67" s="33"/>
      <c r="AF67" s="387"/>
      <c r="AH67" s="187" t="str">
        <v>TIBA 1 (NAVISAT 12A)</v>
      </c>
      <c r="AI67" s="264">
        <v>21459222.698865999</v>
      </c>
    </row>
    <row r="68" spans="1:35" x14ac:dyDescent="0.35">
      <c r="A68">
        <f t="shared" si="0"/>
        <v>1</v>
      </c>
      <c r="B68" s="315">
        <v>343724</v>
      </c>
      <c r="C68" s="282">
        <v>463287</v>
      </c>
      <c r="D68" s="282" t="str">
        <v>INMARSAT 5-F1 (INMARSAT GX-1)</v>
      </c>
      <c r="E68" s="282" t="str">
        <v>FUL</v>
      </c>
      <c r="F68" s="282" t="str">
        <v>GEO-GSO</v>
      </c>
      <c r="G68" s="283" cm="1">
        <f t="array" ref="G68">_xlfn.IFNA(INDEX('Input Data'!$M$20:$M$963,MATCH(Changes!B68&amp;"_"&amp;Changes!C68,'Input Data'!$B$20:$B$963&amp;"_"&amp;'Input Data'!$C$20:$C$963,0)),INDEX('[2]Input Data'!$L$20:$L$158,MATCH(B68&amp;"_"&amp;C68,'[2]Input Data'!$B$20:$B$158&amp;"_"&amp;'[2]Input Data'!$C$20:$C$158,0)))</f>
        <v>46203</v>
      </c>
      <c r="H68" s="313" cm="1">
        <f t="array" ref="H68">_xlfn._xlws.FILTER('Input Data'!$AA$20:$AA$963,('Input Data'!$B$20:$B$963=Changes!B68)*('Input Data'!$C$20:$C$963=Changes!C68),0)</f>
        <v>8205132.9760154998</v>
      </c>
      <c r="I68" s="313" cm="1">
        <f t="array" ref="I68">_xlfn._xlws.FILTER('[2]Input Data'!$AA$20:$AA$173,('[2]Input Data'!$B$20:$B$173=Changes!B68)*('[2]Input Data'!$C$20:$C$173=Changes!C68),0)</f>
        <v>8205132.9760154998</v>
      </c>
      <c r="J68" s="346" t="str" cm="1">
        <f t="array" ref="J68">_xlfn._xlws.FILTER('Input Data'!$E$20:$E$963,('Input Data'!$B$20:$B$963=Changes!B68)*('Input Data'!$C$20:$C$963=Changes!C68),0)</f>
        <v>In-Orbit</v>
      </c>
      <c r="K68" s="347" cm="1">
        <f t="array" ref="K68">_xlfn._xlws.FILTER('Input Data'!$L$20:$L$963,('Input Data'!$B$20:$B$963=Changes!B68)*('Input Data'!$C$20:$C$963=Changes!C68),0)</f>
        <v>45839</v>
      </c>
      <c r="L68" s="356" t="str" cm="1">
        <f t="array" ref="L68">_xlfn._xlws.FILTER('[2]Input Data'!$D$20:$D$173,('[2]Input Data'!$B$20:$B$173=Changes!B68)*('[2]Input Data'!$C$20:$C$173=Changes!C68),0)</f>
        <v>In-Orbit</v>
      </c>
      <c r="M68" s="314">
        <f>IFERROR(INDEX('Input Data'!$P$10:$P$14,MATCH(DATEDIF($M$4,G68,"M"),'Input Data'!$O$10:$O$14,1)),0)</f>
        <v>0.2</v>
      </c>
      <c r="N68" s="227"/>
      <c r="O68" s="227">
        <f>INDEX('Input Data'!$P$10:$P$14,MATCH(DATEDIF($O$4,G68,"M"),'Input Data'!$O$10:$O$14,1))</f>
        <v>0.2</v>
      </c>
      <c r="P68" s="204">
        <f t="shared" si="1"/>
        <v>0</v>
      </c>
      <c r="R68" cm="1">
        <f t="array" ref="R68">_xlfn.LET(_xlpm.current,INDEX('Input Data'!$M$20:$M$963,MATCH(Changes!B68&amp;"_"&amp;Changes!C68,'Input Data'!$B$20:$B$963&amp;"_"&amp;'Input Data'!$C$20:$C$963,0)),_xlpm.prev,INDEX('[2]Input Data'!$L$20:$L$173,MATCH(B68&amp;"_"&amp;C68,'[2]Input Data'!$B$20:$B$173&amp;"_"&amp;'[2]Input Data'!$C$20:$C$173,0)),
IF(OR(ISNA(_xlpm.current),ISNA(_xlpm.prev)),0,_xlpm.current-_xlpm.prev))</f>
        <v>0</v>
      </c>
      <c r="S68" s="186" t="b">
        <f t="shared" si="2"/>
        <v>0</v>
      </c>
      <c r="T68" t="str" cm="1">
        <f t="array" ref="T68">IFERROR(_xlfn._xlws.FILTER('Input Data'!$N$20:$N$963,('Input Data'!$B$20:$B$963=Changes!B68)*('Input Data'!$C$20:$C$963=Changes!C68)),_xlfn._xlws.FILTER('[2]Input Data'!$M$20:$M$173,('[2]Input Data'!$B$20:$B$173=Changes!B68)*('[2]Input Data'!$C$20:$C$173=Changes!C68)))</f>
        <v>Boeing Satellite Systems Inc.</v>
      </c>
      <c r="V68" s="348"/>
      <c r="W68" s="227"/>
      <c r="Y68" s="33"/>
      <c r="Z68" s="33"/>
      <c r="AA68" s="33">
        <f t="shared" si="12"/>
        <v>0</v>
      </c>
      <c r="AC68" s="185"/>
      <c r="AD68" s="33"/>
      <c r="AE68" s="33"/>
      <c r="AF68" s="387"/>
    </row>
    <row r="69" spans="1:35" x14ac:dyDescent="0.35">
      <c r="A69">
        <f t="shared" si="0"/>
        <v>1</v>
      </c>
      <c r="B69" s="315">
        <v>343724</v>
      </c>
      <c r="C69" s="282">
        <v>463288</v>
      </c>
      <c r="D69" s="282" t="str">
        <v>INMARSAT 6-F1</v>
      </c>
      <c r="E69" s="282" t="str">
        <v>FUL</v>
      </c>
      <c r="F69" s="282" t="str">
        <v>GEO-GSO</v>
      </c>
      <c r="G69" s="283" cm="1">
        <f t="array" ref="G69">_xlfn.IFNA(INDEX('Input Data'!$M$20:$M$963,MATCH(Changes!B69&amp;"_"&amp;Changes!C69,'Input Data'!$B$20:$B$963&amp;"_"&amp;'Input Data'!$C$20:$C$963,0)),INDEX('[2]Input Data'!$L$20:$L$158,MATCH(B69&amp;"_"&amp;C69,'[2]Input Data'!$B$20:$B$158&amp;"_"&amp;'[2]Input Data'!$C$20:$C$158,0)))</f>
        <v>46203</v>
      </c>
      <c r="H69" s="313" cm="1">
        <f t="array" ref="H69">_xlfn._xlws.FILTER('Input Data'!$AA$20:$AA$963,('Input Data'!$B$20:$B$963=Changes!B69)*('Input Data'!$C$20:$C$963=Changes!C69),0)</f>
        <v>19617551.7198814</v>
      </c>
      <c r="I69" s="313" cm="1">
        <f t="array" ref="I69">_xlfn._xlws.FILTER('[2]Input Data'!$AA$20:$AA$173,('[2]Input Data'!$B$20:$B$173=Changes!B69)*('[2]Input Data'!$C$20:$C$173=Changes!C69),0)</f>
        <v>19617551.7198814</v>
      </c>
      <c r="J69" s="346" t="str" cm="1">
        <f t="array" ref="J69">_xlfn._xlws.FILTER('Input Data'!$E$20:$E$963,('Input Data'!$B$20:$B$963=Changes!B69)*('Input Data'!$C$20:$C$963=Changes!C69),0)</f>
        <v>In-Orbit</v>
      </c>
      <c r="K69" s="347" cm="1">
        <f t="array" ref="K69">_xlfn._xlws.FILTER('Input Data'!$L$20:$L$963,('Input Data'!$B$20:$B$963=Changes!B69)*('Input Data'!$C$20:$C$963=Changes!C69),0)</f>
        <v>45839</v>
      </c>
      <c r="L69" s="356" t="str" cm="1">
        <f t="array" ref="L69">_xlfn._xlws.FILTER('[2]Input Data'!$D$20:$D$173,('[2]Input Data'!$B$20:$B$173=Changes!B69)*('[2]Input Data'!$C$20:$C$173=Changes!C69),0)</f>
        <v>In-Orbit</v>
      </c>
      <c r="M69" s="314">
        <f>IFERROR(INDEX('Input Data'!$P$10:$P$14,MATCH(DATEDIF($M$4,G69,"M"),'Input Data'!$O$10:$O$14,1)),0)</f>
        <v>0.2</v>
      </c>
      <c r="N69" s="227"/>
      <c r="O69" s="227">
        <f>INDEX('Input Data'!$P$10:$P$14,MATCH(DATEDIF($O$4,G69,"M"),'Input Data'!$O$10:$O$14,1))</f>
        <v>0.2</v>
      </c>
      <c r="P69" s="204">
        <f t="shared" si="1"/>
        <v>0</v>
      </c>
      <c r="R69" cm="1">
        <f t="array" ref="R69">_xlfn.LET(_xlpm.current,INDEX('Input Data'!$M$20:$M$963,MATCH(Changes!B69&amp;"_"&amp;Changes!C69,'Input Data'!$B$20:$B$963&amp;"_"&amp;'Input Data'!$C$20:$C$963,0)),_xlpm.prev,INDEX('[2]Input Data'!$L$20:$L$173,MATCH(B69&amp;"_"&amp;C69,'[2]Input Data'!$B$20:$B$173&amp;"_"&amp;'[2]Input Data'!$C$20:$C$173,0)),
IF(OR(ISNA(_xlpm.current),ISNA(_xlpm.prev)),0,_xlpm.current-_xlpm.prev))</f>
        <v>0</v>
      </c>
      <c r="S69" s="186" t="b">
        <f t="shared" si="2"/>
        <v>0</v>
      </c>
      <c r="T69" t="str" cm="1">
        <f t="array" ref="T69">IFERROR(_xlfn._xlws.FILTER('Input Data'!$N$20:$N$963,('Input Data'!$B$20:$B$963=Changes!B69)*('Input Data'!$C$20:$C$963=Changes!C69)),_xlfn._xlws.FILTER('[2]Input Data'!$M$20:$M$173,('[2]Input Data'!$B$20:$B$173=Changes!B69)*('[2]Input Data'!$C$20:$C$173=Changes!C69)))</f>
        <v>Airbus Defence and Space (Toulouse)</v>
      </c>
      <c r="V69" s="348"/>
      <c r="W69" s="227"/>
      <c r="Y69" s="33"/>
      <c r="Z69" s="33"/>
      <c r="AA69" s="33">
        <f t="shared" si="12"/>
        <v>0</v>
      </c>
      <c r="AC69" s="185"/>
      <c r="AD69" s="33"/>
      <c r="AE69" s="33"/>
      <c r="AF69" s="387"/>
    </row>
    <row r="70" spans="1:35" x14ac:dyDescent="0.35">
      <c r="A70">
        <f t="shared" si="0"/>
        <v>1</v>
      </c>
      <c r="B70" s="315">
        <v>341568</v>
      </c>
      <c r="C70" s="282">
        <v>473581</v>
      </c>
      <c r="D70" s="282" t="str">
        <v>WORLDVIEW LEGION-2</v>
      </c>
      <c r="E70" s="282" t="str">
        <v>FUL</v>
      </c>
      <c r="F70" s="282" t="str">
        <v>LEO</v>
      </c>
      <c r="G70" s="283" cm="1">
        <f t="array" ref="G70">_xlfn.IFNA(INDEX('Input Data'!$M$20:$M$963,MATCH(Changes!B70&amp;"_"&amp;Changes!C70,'Input Data'!$B$20:$B$963&amp;"_"&amp;'Input Data'!$C$20:$C$963,0)),INDEX('[2]Input Data'!$L$20:$L$158,MATCH(B70&amp;"_"&amp;C70,'[2]Input Data'!$B$20:$B$158&amp;"_"&amp;'[2]Input Data'!$C$20:$C$158,0)))</f>
        <v>46144</v>
      </c>
      <c r="H70" s="313" cm="1">
        <f t="array" ref="H70">_xlfn._xlws.FILTER('Input Data'!$AA$20:$AA$963,('Input Data'!$B$20:$B$963=Changes!B70)*('Input Data'!$C$20:$C$963=Changes!C70),0)</f>
        <v>4020619.7871133899</v>
      </c>
      <c r="I70" s="313" cm="1">
        <f t="array" ref="I70">_xlfn._xlws.FILTER('[2]Input Data'!$AA$20:$AA$173,('[2]Input Data'!$B$20:$B$173=Changes!B70)*('[2]Input Data'!$C$20:$C$173=Changes!C70),0)</f>
        <v>4020619.7871133899</v>
      </c>
      <c r="J70" s="346" t="str" cm="1">
        <f t="array" ref="J70">_xlfn._xlws.FILTER('Input Data'!$E$20:$E$963,('Input Data'!$B$20:$B$963=Changes!B70)*('Input Data'!$C$20:$C$963=Changes!C70),0)</f>
        <v>In-Orbit</v>
      </c>
      <c r="K70" s="347" cm="1">
        <f t="array" ref="K70">_xlfn._xlws.FILTER('Input Data'!$L$20:$L$963,('Input Data'!$B$20:$B$963=Changes!B70)*('Input Data'!$C$20:$C$963=Changes!C70),0)</f>
        <v>45885</v>
      </c>
      <c r="L70" s="356" t="str" cm="1">
        <f t="array" ref="L70">_xlfn._xlws.FILTER('[2]Input Data'!$D$20:$D$173,('[2]Input Data'!$B$20:$B$173=Changes!B70)*('[2]Input Data'!$C$20:$C$173=Changes!C70),0)</f>
        <v>In-Orbit</v>
      </c>
      <c r="M70" s="314">
        <f>IFERROR(INDEX('Input Data'!$P$10:$P$14,MATCH(DATEDIF($M$4,G70,"M"),'Input Data'!$O$10:$O$14,1)),0)</f>
        <v>0.2</v>
      </c>
      <c r="N70" s="227"/>
      <c r="O70" s="227">
        <f>INDEX('Input Data'!$P$10:$P$14,MATCH(DATEDIF($O$4,G70,"M"),'Input Data'!$O$10:$O$14,1))</f>
        <v>0.2</v>
      </c>
      <c r="P70" s="204">
        <f t="shared" si="1"/>
        <v>0</v>
      </c>
      <c r="R70" cm="1">
        <f t="array" ref="R70">_xlfn.LET(_xlpm.current,INDEX('Input Data'!$M$20:$M$963,MATCH(Changes!B70&amp;"_"&amp;Changes!C70,'Input Data'!$B$20:$B$963&amp;"_"&amp;'Input Data'!$C$20:$C$963,0)),_xlpm.prev,INDEX('[2]Input Data'!$L$20:$L$173,MATCH(B70&amp;"_"&amp;C70,'[2]Input Data'!$B$20:$B$173&amp;"_"&amp;'[2]Input Data'!$C$20:$C$173,0)),
IF(OR(ISNA(_xlpm.current),ISNA(_xlpm.prev)),0,_xlpm.current-_xlpm.prev))</f>
        <v>0</v>
      </c>
      <c r="S70" s="186" t="b">
        <f t="shared" si="2"/>
        <v>0</v>
      </c>
      <c r="T70" t="str" cm="1">
        <f t="array" ref="T70">IFERROR(_xlfn._xlws.FILTER('Input Data'!$N$20:$N$963,('Input Data'!$B$20:$B$963=Changes!B70)*('Input Data'!$C$20:$C$963=Changes!C70)),_xlfn._xlws.FILTER('[2]Input Data'!$M$20:$M$173,('[2]Input Data'!$B$20:$B$173=Changes!B70)*('[2]Input Data'!$C$20:$C$173=Changes!C70)))</f>
        <v>Maxar Space Systems</v>
      </c>
      <c r="V70" s="348"/>
      <c r="W70" s="227"/>
      <c r="Y70" s="33"/>
      <c r="Z70" s="33"/>
      <c r="AA70" s="33">
        <f t="shared" si="12"/>
        <v>0</v>
      </c>
      <c r="AC70" s="185"/>
      <c r="AD70" s="33"/>
      <c r="AE70" s="33"/>
      <c r="AF70" s="387"/>
    </row>
    <row r="71" spans="1:35" x14ac:dyDescent="0.35">
      <c r="A71">
        <f t="shared" si="0"/>
        <v>1</v>
      </c>
      <c r="B71" s="315">
        <v>341568</v>
      </c>
      <c r="C71" s="282">
        <v>473582</v>
      </c>
      <c r="D71" s="282" t="str">
        <v>WORLDVIEW LEGION-3</v>
      </c>
      <c r="E71" s="282" t="str">
        <v>FUL</v>
      </c>
      <c r="F71" s="282" t="str">
        <v>LEO</v>
      </c>
      <c r="G71" s="283" cm="1">
        <f t="array" ref="G71">_xlfn.IFNA(INDEX('Input Data'!$M$20:$M$963,MATCH(Changes!B71&amp;"_"&amp;Changes!C71,'Input Data'!$B$20:$B$963&amp;"_"&amp;'Input Data'!$C$20:$C$963,0)),INDEX('[2]Input Data'!$L$20:$L$158,MATCH(B71&amp;"_"&amp;C71,'[2]Input Data'!$B$20:$B$158&amp;"_"&amp;'[2]Input Data'!$C$20:$C$158,0)))</f>
        <v>46144</v>
      </c>
      <c r="H71" s="313" cm="1">
        <f t="array" ref="H71">_xlfn._xlws.FILTER('Input Data'!$AA$20:$AA$963,('Input Data'!$B$20:$B$963=Changes!B71)*('Input Data'!$C$20:$C$963=Changes!C71),0)</f>
        <v>4020619.7871133899</v>
      </c>
      <c r="I71" s="313" cm="1">
        <f t="array" ref="I71">_xlfn._xlws.FILTER('[2]Input Data'!$AA$20:$AA$173,('[2]Input Data'!$B$20:$B$173=Changes!B71)*('[2]Input Data'!$C$20:$C$173=Changes!C71),0)</f>
        <v>4020619.7871133899</v>
      </c>
      <c r="J71" s="346" t="str" cm="1">
        <f t="array" ref="J71">_xlfn._xlws.FILTER('Input Data'!$E$20:$E$963,('Input Data'!$B$20:$B$963=Changes!B71)*('Input Data'!$C$20:$C$963=Changes!C71),0)</f>
        <v>In-Orbit</v>
      </c>
      <c r="K71" s="347" cm="1">
        <f t="array" ref="K71">_xlfn._xlws.FILTER('Input Data'!$L$20:$L$963,('Input Data'!$B$20:$B$963=Changes!B71)*('Input Data'!$C$20:$C$963=Changes!C71),0)</f>
        <v>45780</v>
      </c>
      <c r="L71" s="356" t="str" cm="1">
        <f t="array" ref="L71">_xlfn._xlws.FILTER('[2]Input Data'!$D$20:$D$173,('[2]Input Data'!$B$20:$B$173=Changes!B71)*('[2]Input Data'!$C$20:$C$173=Changes!C71),0)</f>
        <v>In-Orbit</v>
      </c>
      <c r="M71" s="314">
        <f>IFERROR(INDEX('Input Data'!$P$10:$P$14,MATCH(DATEDIF($M$4,G71,"M"),'Input Data'!$O$10:$O$14,1)),0)</f>
        <v>0.2</v>
      </c>
      <c r="N71" s="227"/>
      <c r="O71" s="227">
        <f>INDEX('Input Data'!$P$10:$P$14,MATCH(DATEDIF($O$4,G71,"M"),'Input Data'!$O$10:$O$14,1))</f>
        <v>0.2</v>
      </c>
      <c r="P71" s="204">
        <f t="shared" ref="P71:P134" si="13">H71-I71</f>
        <v>0</v>
      </c>
      <c r="R71" cm="1">
        <f t="array" ref="R71">_xlfn.LET(_xlpm.current,INDEX('Input Data'!$M$20:$M$963,MATCH(Changes!B71&amp;"_"&amp;Changes!C71,'Input Data'!$B$20:$B$963&amp;"_"&amp;'Input Data'!$C$20:$C$963,0)),_xlpm.prev,INDEX('[2]Input Data'!$L$20:$L$173,MATCH(B71&amp;"_"&amp;C71,'[2]Input Data'!$B$20:$B$173&amp;"_"&amp;'[2]Input Data'!$C$20:$C$173,0)),
IF(OR(ISNA(_xlpm.current),ISNA(_xlpm.prev)),0,_xlpm.current-_xlpm.prev))</f>
        <v>0</v>
      </c>
      <c r="S71" s="186" t="b">
        <f t="shared" si="2"/>
        <v>0</v>
      </c>
      <c r="T71" t="str" cm="1">
        <f t="array" ref="T71">IFERROR(_xlfn._xlws.FILTER('Input Data'!$N$20:$N$963,('Input Data'!$B$20:$B$963=Changes!B71)*('Input Data'!$C$20:$C$963=Changes!C71)),_xlfn._xlws.FILTER('[2]Input Data'!$M$20:$M$173,('[2]Input Data'!$B$20:$B$173=Changes!B71)*('[2]Input Data'!$C$20:$C$173=Changes!C71)))</f>
        <v>Maxar Space Systems</v>
      </c>
      <c r="V71" s="348"/>
      <c r="W71" s="227"/>
      <c r="Y71" s="33"/>
      <c r="Z71" s="33"/>
      <c r="AA71" s="33">
        <f t="shared" si="12"/>
        <v>0</v>
      </c>
      <c r="AC71" s="185"/>
      <c r="AD71" s="33"/>
      <c r="AE71" s="33"/>
      <c r="AF71" s="387"/>
    </row>
    <row r="72" spans="1:35" x14ac:dyDescent="0.35">
      <c r="A72">
        <f t="shared" ref="A72:A135" si="14">IF(B72="",0,COUNTIFS($B$7:$B$999,B72,$C$7:$C$999,C72))</f>
        <v>1</v>
      </c>
      <c r="B72" s="315">
        <v>341568</v>
      </c>
      <c r="C72" s="282">
        <v>473583</v>
      </c>
      <c r="D72" s="282" t="str">
        <v>WORLDVIEW LEGION-4</v>
      </c>
      <c r="E72" s="282" t="str">
        <v>FUL</v>
      </c>
      <c r="F72" s="282" t="str">
        <v>LEO</v>
      </c>
      <c r="G72" s="283" cm="1">
        <f t="array" ref="G72">_xlfn.IFNA(INDEX('Input Data'!$M$20:$M$963,MATCH(Changes!B72&amp;"_"&amp;Changes!C72,'Input Data'!$B$20:$B$963&amp;"_"&amp;'Input Data'!$C$20:$C$963,0)),INDEX('[2]Input Data'!$L$20:$L$158,MATCH(B72&amp;"_"&amp;C72,'[2]Input Data'!$B$20:$B$158&amp;"_"&amp;'[2]Input Data'!$C$20:$C$158,0)))</f>
        <v>46144</v>
      </c>
      <c r="H72" s="313" cm="1">
        <f t="array" ref="H72">_xlfn._xlws.FILTER('Input Data'!$AA$20:$AA$963,('Input Data'!$B$20:$B$963=Changes!B72)*('Input Data'!$C$20:$C$963=Changes!C72),0)</f>
        <v>4020619.7871133899</v>
      </c>
      <c r="I72" s="313" cm="1">
        <f t="array" ref="I72">_xlfn._xlws.FILTER('[2]Input Data'!$AA$20:$AA$173,('[2]Input Data'!$B$20:$B$173=Changes!B72)*('[2]Input Data'!$C$20:$C$173=Changes!C72),0)</f>
        <v>4020619.7871133899</v>
      </c>
      <c r="J72" s="346" t="str" cm="1">
        <f t="array" ref="J72">_xlfn._xlws.FILTER('Input Data'!$E$20:$E$963,('Input Data'!$B$20:$B$963=Changes!B72)*('Input Data'!$C$20:$C$963=Changes!C72),0)</f>
        <v>In-Orbit</v>
      </c>
      <c r="K72" s="347" cm="1">
        <f t="array" ref="K72">_xlfn._xlws.FILTER('Input Data'!$L$20:$L$963,('Input Data'!$B$20:$B$963=Changes!B72)*('Input Data'!$C$20:$C$963=Changes!C72),0)</f>
        <v>45885</v>
      </c>
      <c r="L72" s="356" t="str" cm="1">
        <f t="array" ref="L72">_xlfn._xlws.FILTER('[2]Input Data'!$D$20:$D$173,('[2]Input Data'!$B$20:$B$173=Changes!B72)*('[2]Input Data'!$C$20:$C$173=Changes!C72),0)</f>
        <v>In-Orbit</v>
      </c>
      <c r="M72" s="314">
        <f>IFERROR(INDEX('Input Data'!$P$10:$P$14,MATCH(DATEDIF($M$4,G72,"M"),'Input Data'!$O$10:$O$14,1)),0)</f>
        <v>0.2</v>
      </c>
      <c r="N72" s="227"/>
      <c r="O72" s="227">
        <f>INDEX('Input Data'!$P$10:$P$14,MATCH(DATEDIF($O$4,G72,"M"),'Input Data'!$O$10:$O$14,1))</f>
        <v>0.2</v>
      </c>
      <c r="P72" s="204">
        <f t="shared" si="13"/>
        <v>0</v>
      </c>
      <c r="R72" cm="1">
        <f t="array" ref="R72">_xlfn.LET(_xlpm.current,INDEX('Input Data'!$M$20:$M$963,MATCH(Changes!B72&amp;"_"&amp;Changes!C72,'Input Data'!$B$20:$B$963&amp;"_"&amp;'Input Data'!$C$20:$C$963,0)),_xlpm.prev,INDEX('[2]Input Data'!$L$20:$L$173,MATCH(B72&amp;"_"&amp;C72,'[2]Input Data'!$B$20:$B$173&amp;"_"&amp;'[2]Input Data'!$C$20:$C$173,0)),
IF(OR(ISNA(_xlpm.current),ISNA(_xlpm.prev)),0,_xlpm.current-_xlpm.prev))</f>
        <v>0</v>
      </c>
      <c r="S72" s="186" t="b">
        <f t="shared" ref="S72:S135" si="15">O72&gt;M72</f>
        <v>0</v>
      </c>
      <c r="T72" t="str" cm="1">
        <f t="array" ref="T72">IFERROR(_xlfn._xlws.FILTER('Input Data'!$N$20:$N$963,('Input Data'!$B$20:$B$963=Changes!B72)*('Input Data'!$C$20:$C$963=Changes!C72)),_xlfn._xlws.FILTER('[2]Input Data'!$M$20:$M$173,('[2]Input Data'!$B$20:$B$173=Changes!B72)*('[2]Input Data'!$C$20:$C$173=Changes!C72)))</f>
        <v>Maxar Space Systems</v>
      </c>
      <c r="V72" s="348"/>
      <c r="W72" s="227"/>
      <c r="Y72" s="33"/>
      <c r="Z72" s="33"/>
      <c r="AA72" s="33">
        <f t="shared" si="12"/>
        <v>0</v>
      </c>
      <c r="AC72" s="185"/>
      <c r="AD72" s="33"/>
      <c r="AE72" s="33"/>
      <c r="AF72" s="387"/>
    </row>
    <row r="73" spans="1:35" x14ac:dyDescent="0.35">
      <c r="A73">
        <f t="shared" si="14"/>
        <v>1</v>
      </c>
      <c r="B73" s="315">
        <v>341568</v>
      </c>
      <c r="C73" s="282">
        <v>473584</v>
      </c>
      <c r="D73" s="282" t="str">
        <v>WORLDVIEW LEGION-1</v>
      </c>
      <c r="E73" s="282" t="str">
        <v>FUL</v>
      </c>
      <c r="F73" s="282" t="str">
        <v>LEO</v>
      </c>
      <c r="G73" s="283" cm="1">
        <f t="array" ref="G73">_xlfn.IFNA(INDEX('Input Data'!$M$20:$M$963,MATCH(Changes!B73&amp;"_"&amp;Changes!C73,'Input Data'!$B$20:$B$963&amp;"_"&amp;'Input Data'!$C$20:$C$963,0)),INDEX('[2]Input Data'!$L$20:$L$158,MATCH(B73&amp;"_"&amp;C73,'[2]Input Data'!$B$20:$B$158&amp;"_"&amp;'[2]Input Data'!$C$20:$C$158,0)))</f>
        <v>46144</v>
      </c>
      <c r="H73" s="313" cm="1">
        <f t="array" ref="H73">_xlfn._xlws.FILTER('Input Data'!$AA$20:$AA$963,('Input Data'!$B$20:$B$963=Changes!B73)*('Input Data'!$C$20:$C$963=Changes!C73),0)</f>
        <v>4020619.7871133899</v>
      </c>
      <c r="I73" s="313" cm="1">
        <f t="array" ref="I73">_xlfn._xlws.FILTER('[2]Input Data'!$AA$20:$AA$173,('[2]Input Data'!$B$20:$B$173=Changes!B73)*('[2]Input Data'!$C$20:$C$173=Changes!C73),0)</f>
        <v>4020619.7871133899</v>
      </c>
      <c r="J73" s="346" t="str" cm="1">
        <f t="array" ref="J73">_xlfn._xlws.FILTER('Input Data'!$E$20:$E$963,('Input Data'!$B$20:$B$963=Changes!B73)*('Input Data'!$C$20:$C$963=Changes!C73),0)</f>
        <v>In-Orbit</v>
      </c>
      <c r="K73" s="347" cm="1">
        <f t="array" ref="K73">_xlfn._xlws.FILTER('Input Data'!$L$20:$L$963,('Input Data'!$B$20:$B$963=Changes!B73)*('Input Data'!$C$20:$C$963=Changes!C73),0)</f>
        <v>45780</v>
      </c>
      <c r="L73" s="356" t="str" cm="1">
        <f t="array" ref="L73">_xlfn._xlws.FILTER('[2]Input Data'!$D$20:$D$173,('[2]Input Data'!$B$20:$B$173=Changes!B73)*('[2]Input Data'!$C$20:$C$173=Changes!C73),0)</f>
        <v>In-Orbit</v>
      </c>
      <c r="M73" s="314">
        <f>IFERROR(INDEX('Input Data'!$P$10:$P$14,MATCH(DATEDIF($M$4,G73,"M"),'Input Data'!$O$10:$O$14,1)),0)</f>
        <v>0.2</v>
      </c>
      <c r="N73" s="227"/>
      <c r="O73" s="227">
        <f>INDEX('Input Data'!$P$10:$P$14,MATCH(DATEDIF($O$4,G73,"M"),'Input Data'!$O$10:$O$14,1))</f>
        <v>0.2</v>
      </c>
      <c r="P73" s="204">
        <f t="shared" si="13"/>
        <v>0</v>
      </c>
      <c r="R73" cm="1">
        <f t="array" ref="R73">_xlfn.LET(_xlpm.current,INDEX('Input Data'!$M$20:$M$963,MATCH(Changes!B73&amp;"_"&amp;Changes!C73,'Input Data'!$B$20:$B$963&amp;"_"&amp;'Input Data'!$C$20:$C$963,0)),_xlpm.prev,INDEX('[2]Input Data'!$L$20:$L$173,MATCH(B73&amp;"_"&amp;C73,'[2]Input Data'!$B$20:$B$173&amp;"_"&amp;'[2]Input Data'!$C$20:$C$173,0)),
IF(OR(ISNA(_xlpm.current),ISNA(_xlpm.prev)),0,_xlpm.current-_xlpm.prev))</f>
        <v>0</v>
      </c>
      <c r="S73" s="186" t="b">
        <f t="shared" si="15"/>
        <v>0</v>
      </c>
      <c r="T73" t="str" cm="1">
        <f t="array" ref="T73">IFERROR(_xlfn._xlws.FILTER('Input Data'!$N$20:$N$963,('Input Data'!$B$20:$B$963=Changes!B73)*('Input Data'!$C$20:$C$963=Changes!C73)),_xlfn._xlws.FILTER('[2]Input Data'!$M$20:$M$173,('[2]Input Data'!$B$20:$B$173=Changes!B73)*('[2]Input Data'!$C$20:$C$173=Changes!C73)))</f>
        <v>Maxar Space Systems</v>
      </c>
      <c r="V73" s="348"/>
      <c r="W73" s="227"/>
      <c r="Y73" s="33"/>
      <c r="Z73" s="33"/>
      <c r="AA73" s="33">
        <f t="shared" si="12"/>
        <v>0</v>
      </c>
      <c r="AC73" s="185"/>
      <c r="AD73" s="33"/>
      <c r="AE73" s="33"/>
      <c r="AF73" s="387"/>
    </row>
    <row r="74" spans="1:35" x14ac:dyDescent="0.35">
      <c r="A74">
        <f t="shared" si="14"/>
        <v>1</v>
      </c>
      <c r="B74" s="315">
        <v>350998</v>
      </c>
      <c r="C74" s="282">
        <v>477970</v>
      </c>
      <c r="D74" s="282" t="str">
        <v>ASBM 1 (NORWAY)</v>
      </c>
      <c r="E74" s="282" t="str">
        <v>FIID</v>
      </c>
      <c r="F74" s="282" t="str">
        <v>GEO-GSO</v>
      </c>
      <c r="G74" s="283" cm="1">
        <f t="array" ref="G74">_xlfn.IFNA(INDEX('Input Data'!$M$20:$M$963,MATCH(Changes!B74&amp;"_"&amp;Changes!C74,'Input Data'!$B$20:$B$963&amp;"_"&amp;'Input Data'!$C$20:$C$963,0)),INDEX('[2]Input Data'!$L$20:$L$158,MATCH(B74&amp;"_"&amp;C74,'[2]Input Data'!$B$20:$B$158&amp;"_"&amp;'[2]Input Data'!$C$20:$C$158,0)))</f>
        <v>46245</v>
      </c>
      <c r="H74" s="313" cm="1">
        <f t="array" ref="H74">_xlfn._xlws.FILTER('Input Data'!$AA$20:$AA$963,('Input Data'!$B$20:$B$963=Changes!B74)*('Input Data'!$C$20:$C$963=Changes!C74),0)</f>
        <v>3092820.6134019899</v>
      </c>
      <c r="I74" s="313" cm="1">
        <f t="array" ref="I74">_xlfn._xlws.FILTER('[2]Input Data'!$AA$20:$AA$173,('[2]Input Data'!$B$20:$B$173=Changes!B74)*('[2]Input Data'!$C$20:$C$173=Changes!C74),0)</f>
        <v>3092820.6134019899</v>
      </c>
      <c r="J74" s="346" t="str" cm="1">
        <f t="array" ref="J74">_xlfn._xlws.FILTER('Input Data'!$E$20:$E$963,('Input Data'!$B$20:$B$963=Changes!B74)*('Input Data'!$C$20:$C$963=Changes!C74),0)</f>
        <v>In-Orbit</v>
      </c>
      <c r="K74" s="347" cm="1">
        <f t="array" ref="K74">_xlfn._xlws.FILTER('Input Data'!$L$20:$L$963,('Input Data'!$B$20:$B$963=Changes!B74)*('Input Data'!$C$20:$C$963=Changes!C74),0)</f>
        <v>45881</v>
      </c>
      <c r="L74" s="356" t="str" cm="1">
        <f t="array" ref="L74">_xlfn._xlws.FILTER('[2]Input Data'!$D$20:$D$173,('[2]Input Data'!$B$20:$B$173=Changes!B74)*('[2]Input Data'!$C$20:$C$173=Changes!C74),0)</f>
        <v>In-Orbit</v>
      </c>
      <c r="M74" s="314">
        <f>IFERROR(INDEX('Input Data'!$P$10:$P$14,MATCH(DATEDIF($M$4,G74,"M"),'Input Data'!$O$10:$O$14,1)),0)</f>
        <v>0.2</v>
      </c>
      <c r="N74" s="227"/>
      <c r="O74" s="227">
        <f>INDEX('Input Data'!$P$10:$P$14,MATCH(DATEDIF($O$4,G74,"M"),'Input Data'!$O$10:$O$14,1))</f>
        <v>0.4</v>
      </c>
      <c r="P74" s="204">
        <f t="shared" si="13"/>
        <v>0</v>
      </c>
      <c r="R74" cm="1">
        <f t="array" ref="R74">_xlfn.LET(_xlpm.current,INDEX('Input Data'!$M$20:$M$963,MATCH(Changes!B74&amp;"_"&amp;Changes!C74,'Input Data'!$B$20:$B$963&amp;"_"&amp;'Input Data'!$C$20:$C$963,0)),_xlpm.prev,INDEX('[2]Input Data'!$L$20:$L$173,MATCH(B74&amp;"_"&amp;C74,'[2]Input Data'!$B$20:$B$173&amp;"_"&amp;'[2]Input Data'!$C$20:$C$173,0)),
IF(OR(ISNA(_xlpm.current),ISNA(_xlpm.prev)),0,_xlpm.current-_xlpm.prev))</f>
        <v>0</v>
      </c>
      <c r="S74" s="186" t="b">
        <f t="shared" si="15"/>
        <v>1</v>
      </c>
      <c r="T74" t="str" cm="1">
        <f t="array" ref="T74">IFERROR(_xlfn._xlws.FILTER('Input Data'!$N$20:$N$963,('Input Data'!$B$20:$B$963=Changes!B74)*('Input Data'!$C$20:$C$963=Changes!C74)),_xlfn._xlws.FILTER('[2]Input Data'!$M$20:$M$173,('[2]Input Data'!$B$20:$B$173=Changes!B74)*('[2]Input Data'!$C$20:$C$173=Changes!C74)))</f>
        <v>NGIS (Northrop Grumman Innovation Systems)</v>
      </c>
      <c r="V74" s="348"/>
      <c r="W74" s="227"/>
      <c r="Y74" s="33"/>
      <c r="Z74" s="33"/>
      <c r="AA74" s="33">
        <f t="shared" si="12"/>
        <v>0</v>
      </c>
      <c r="AC74" s="185"/>
      <c r="AD74" s="33"/>
      <c r="AE74" s="33"/>
      <c r="AF74" s="387"/>
    </row>
    <row r="75" spans="1:35" x14ac:dyDescent="0.35">
      <c r="A75">
        <f t="shared" si="14"/>
        <v>1</v>
      </c>
      <c r="B75" s="315">
        <v>351333</v>
      </c>
      <c r="C75" s="282">
        <v>478633</v>
      </c>
      <c r="D75" s="282" t="str">
        <v>NULL</v>
      </c>
      <c r="E75" s="282" t="str">
        <v>FUL</v>
      </c>
      <c r="F75" s="282" t="str">
        <v>NULL</v>
      </c>
      <c r="G75" s="283" cm="1">
        <f t="array" ref="G75">_xlfn.IFNA(INDEX('Input Data'!$M$20:$M$963,MATCH(Changes!B75&amp;"_"&amp;Changes!C75,'Input Data'!$B$20:$B$963&amp;"_"&amp;'Input Data'!$C$20:$C$963,0)),INDEX('[2]Input Data'!$L$20:$L$158,MATCH(B75&amp;"_"&amp;C75,'[2]Input Data'!$B$20:$B$158&amp;"_"&amp;'[2]Input Data'!$C$20:$C$158,0)))</f>
        <v>47118</v>
      </c>
      <c r="H75" s="313" cm="1">
        <f t="array" ref="H75">_xlfn._xlws.FILTER('Input Data'!$AA$20:$AA$963,('Input Data'!$B$20:$B$963=Changes!B75)*('Input Data'!$C$20:$C$963=Changes!C75),0)</f>
        <v>0</v>
      </c>
      <c r="I75" s="313" cm="1">
        <f t="array" ref="I75">_xlfn._xlws.FILTER('[2]Input Data'!$AA$20:$AA$173,('[2]Input Data'!$B$20:$B$173=Changes!B75)*('[2]Input Data'!$C$20:$C$173=Changes!C75),0)</f>
        <v>0</v>
      </c>
      <c r="J75" s="346" t="str" cm="1">
        <f t="array" ref="J75">_xlfn._xlws.FILTER('Input Data'!$E$20:$E$963,('Input Data'!$B$20:$B$963=Changes!B75)*('Input Data'!$C$20:$C$963=Changes!C75),0)</f>
        <v>NULL</v>
      </c>
      <c r="K75" s="347" cm="1">
        <f t="array" ref="K75">_xlfn._xlws.FILTER('Input Data'!$L$20:$L$963,('Input Data'!$B$20:$B$963=Changes!B75)*('Input Data'!$C$20:$C$963=Changes!C75),0)</f>
        <v>46023</v>
      </c>
      <c r="L75" s="356" cm="1">
        <f t="array" ref="L75">_xlfn._xlws.FILTER('[2]Input Data'!$D$20:$D$173,('[2]Input Data'!$B$20:$B$173=Changes!B75)*('[2]Input Data'!$C$20:$C$173=Changes!C75),0)</f>
        <v>0</v>
      </c>
      <c r="M75" s="314">
        <f>IFERROR(INDEX('Input Data'!$P$10:$P$14,MATCH(DATEDIF($M$4,G75,"M"),'Input Data'!$O$10:$O$14,1)),0)</f>
        <v>0.8</v>
      </c>
      <c r="N75" s="227"/>
      <c r="O75" s="227">
        <f>INDEX('Input Data'!$P$10:$P$14,MATCH(DATEDIF($O$4,G75,"M"),'Input Data'!$O$10:$O$14,1))</f>
        <v>0.8</v>
      </c>
      <c r="P75" s="204">
        <f t="shared" si="13"/>
        <v>0</v>
      </c>
      <c r="R75" cm="1">
        <f t="array" ref="R75">_xlfn.LET(_xlpm.current,INDEX('Input Data'!$M$20:$M$963,MATCH(Changes!B75&amp;"_"&amp;Changes!C75,'Input Data'!$B$20:$B$963&amp;"_"&amp;'Input Data'!$C$20:$C$963,0)),_xlpm.prev,INDEX('[2]Input Data'!$L$20:$L$173,MATCH(B75&amp;"_"&amp;C75,'[2]Input Data'!$B$20:$B$173&amp;"_"&amp;'[2]Input Data'!$C$20:$C$173,0)),
IF(OR(ISNA(_xlpm.current),ISNA(_xlpm.prev)),0,_xlpm.current-_xlpm.prev))</f>
        <v>0</v>
      </c>
      <c r="S75" s="186" t="b">
        <f t="shared" si="15"/>
        <v>0</v>
      </c>
      <c r="T75" t="str" cm="1">
        <f t="array" ref="T75">IFERROR(_xlfn._xlws.FILTER('Input Data'!$N$20:$N$963,('Input Data'!$B$20:$B$963=Changes!B75)*('Input Data'!$C$20:$C$963=Changes!C75)),_xlfn._xlws.FILTER('[2]Input Data'!$M$20:$M$173,('[2]Input Data'!$B$20:$B$173=Changes!B75)*('[2]Input Data'!$C$20:$C$173=Changes!C75)))</f>
        <v>NULL</v>
      </c>
      <c r="V75" s="348"/>
      <c r="W75" s="227"/>
      <c r="Y75" s="33"/>
      <c r="Z75" s="33"/>
      <c r="AA75" s="33">
        <f t="shared" si="12"/>
        <v>0</v>
      </c>
      <c r="AC75" s="185"/>
      <c r="AD75" s="33"/>
      <c r="AE75" s="33"/>
      <c r="AF75" s="387"/>
    </row>
    <row r="76" spans="1:35" x14ac:dyDescent="0.35">
      <c r="A76">
        <f t="shared" si="14"/>
        <v>1</v>
      </c>
      <c r="B76" s="315">
        <v>351875</v>
      </c>
      <c r="C76" s="282">
        <v>479568</v>
      </c>
      <c r="D76" s="282" t="str">
        <v>EDRS C (HYLAS 3)</v>
      </c>
      <c r="E76" s="282" t="str">
        <v>FUL</v>
      </c>
      <c r="F76" s="282" t="str">
        <v>GEO-GSO</v>
      </c>
      <c r="G76" s="283" cm="1">
        <f t="array" ref="G76">_xlfn.IFNA(INDEX('Input Data'!$M$20:$M$963,MATCH(Changes!B76&amp;"_"&amp;Changes!C76,'Input Data'!$B$20:$B$963&amp;"_"&amp;'Input Data'!$C$20:$C$963,0)),INDEX('[2]Input Data'!$L$20:$L$152,MATCH(B76&amp;"_"&amp;C76,'[2]Input Data'!$B$20:$B$152&amp;"_"&amp;'[2]Input Data'!$C$20:$C$152,0)))</f>
        <v>46239</v>
      </c>
      <c r="H76" s="313" cm="1">
        <f t="array" ref="H76">_xlfn._xlws.FILTER('Input Data'!$AA$20:$AA$963,('Input Data'!$B$20:$B$963=Changes!B76)*('Input Data'!$C$20:$C$963=Changes!C76),0)</f>
        <v>5257732.5685566999</v>
      </c>
      <c r="I76" s="313" cm="1">
        <f t="array" ref="I76">_xlfn._xlws.FILTER('[2]Input Data'!$AA$20:$AA$173,('[2]Input Data'!$B$20:$B$173=Changes!B76)*('[2]Input Data'!$C$20:$C$173=Changes!C76),0)</f>
        <v>5257732.5685566999</v>
      </c>
      <c r="J76" s="346" t="str" cm="1">
        <f t="array" ref="J76">_xlfn._xlws.FILTER('Input Data'!$E$20:$E$963,('Input Data'!$B$20:$B$963=Changes!B76)*('Input Data'!$C$20:$C$963=Changes!C76),0)</f>
        <v>In-Orbit</v>
      </c>
      <c r="K76" s="347" cm="1">
        <f t="array" ref="K76">_xlfn._xlws.FILTER('Input Data'!$L$20:$L$963,('Input Data'!$B$20:$B$963=Changes!B76)*('Input Data'!$C$20:$C$963=Changes!C76),0)</f>
        <v>45875</v>
      </c>
      <c r="L76" s="356" t="str" cm="1">
        <f t="array" ref="L76">_xlfn._xlws.FILTER('[2]Input Data'!$D$20:$D$173,('[2]Input Data'!$B$20:$B$173=Changes!B76)*('[2]Input Data'!$C$20:$C$173=Changes!C76),0)</f>
        <v>In-Orbit</v>
      </c>
      <c r="M76" s="314">
        <f>IFERROR(INDEX('Input Data'!$P$10:$P$14,MATCH(DATEDIF($M$4,G76,"M"),'Input Data'!$O$10:$O$14,1)),0)</f>
        <v>0.2</v>
      </c>
      <c r="N76" s="227"/>
      <c r="O76" s="227">
        <f>INDEX('Input Data'!$P$10:$P$14,MATCH(DATEDIF($O$4,G76,"M"),'Input Data'!$O$10:$O$14,1))</f>
        <v>0.4</v>
      </c>
      <c r="P76" s="204">
        <f t="shared" si="13"/>
        <v>0</v>
      </c>
      <c r="R76" cm="1">
        <f t="array" ref="R76">_xlfn.LET(_xlpm.current,INDEX('Input Data'!$M$20:$M$963,MATCH(Changes!B76&amp;"_"&amp;Changes!C76,'Input Data'!$B$20:$B$963&amp;"_"&amp;'Input Data'!$C$20:$C$963,0)),_xlpm.prev,INDEX('[2]Input Data'!$L$20:$L$173,MATCH(B76&amp;"_"&amp;C76,'[2]Input Data'!$B$20:$B$173&amp;"_"&amp;'[2]Input Data'!$C$20:$C$173,0)),
IF(OR(ISNA(_xlpm.current),ISNA(_xlpm.prev)),0,_xlpm.current-_xlpm.prev))</f>
        <v>0</v>
      </c>
      <c r="S76" s="186" t="b">
        <f t="shared" si="15"/>
        <v>1</v>
      </c>
      <c r="T76" t="str" cm="1">
        <f t="array" ref="T76">IFERROR(_xlfn._xlws.FILTER('Input Data'!$N$20:$N$963,('Input Data'!$B$20:$B$963=Changes!B76)*('Input Data'!$C$20:$C$963=Changes!C76)),_xlfn._xlws.FILTER('[2]Input Data'!$M$20:$M$173,('[2]Input Data'!$B$20:$B$173=Changes!B76)*('[2]Input Data'!$C$20:$C$173=Changes!C76)))</f>
        <v>OHB-SYSTEM AG (HQ)</v>
      </c>
      <c r="V76" s="348"/>
      <c r="W76" s="227"/>
      <c r="Y76" s="33"/>
      <c r="Z76" s="33"/>
      <c r="AA76" s="33">
        <f t="shared" si="12"/>
        <v>0</v>
      </c>
      <c r="AC76" s="185"/>
      <c r="AD76" s="33"/>
      <c r="AE76" s="33"/>
      <c r="AF76" s="387"/>
    </row>
    <row r="77" spans="1:35" x14ac:dyDescent="0.35">
      <c r="A77">
        <f t="shared" si="14"/>
        <v>1</v>
      </c>
      <c r="B77" s="315">
        <v>356083</v>
      </c>
      <c r="C77" s="282">
        <v>484966</v>
      </c>
      <c r="D77" s="282" t="str">
        <v>VIASAT-1</v>
      </c>
      <c r="E77" s="282" t="str">
        <v>FUL</v>
      </c>
      <c r="F77" s="282" t="str">
        <v>GEO-GSO</v>
      </c>
      <c r="G77" s="283" cm="1">
        <f t="array" ref="G77">_xlfn.IFNA(INDEX('Input Data'!$M$20:$M$963,MATCH(Changes!B77&amp;"_"&amp;Changes!C77,'Input Data'!$B$20:$B$963&amp;"_"&amp;'Input Data'!$C$20:$C$963,0)),INDEX('[2]Input Data'!$L$20:$L$158,MATCH(B77&amp;"_"&amp;C77,'[2]Input Data'!$B$20:$B$158&amp;"_"&amp;'[2]Input Data'!$C$20:$C$158,0)))</f>
        <v>46313</v>
      </c>
      <c r="H77" s="313" cm="1">
        <f t="array" ref="H77">_xlfn._xlws.FILTER('Input Data'!$AA$20:$AA$963,('Input Data'!$B$20:$B$963=Changes!B77)*('Input Data'!$C$20:$C$963=Changes!C77),0)</f>
        <v>5608052.1556016998</v>
      </c>
      <c r="I77" s="313" cm="1">
        <f t="array" ref="I77">_xlfn._xlws.FILTER('[2]Input Data'!$AA$20:$AA$173,('[2]Input Data'!$B$20:$B$173=Changes!B77)*('[2]Input Data'!$C$20:$C$173=Changes!C77),0)</f>
        <v>5608052.1556016998</v>
      </c>
      <c r="J77" s="346" t="str" cm="1">
        <f t="array" ref="J77">_xlfn._xlws.FILTER('Input Data'!$E$20:$E$963,('Input Data'!$B$20:$B$963=Changes!B77)*('Input Data'!$C$20:$C$963=Changes!C77),0)</f>
        <v>In-Orbit</v>
      </c>
      <c r="K77" s="347" cm="1">
        <f t="array" ref="K77">_xlfn._xlws.FILTER('Input Data'!$L$20:$L$963,('Input Data'!$B$20:$B$963=Changes!B77)*('Input Data'!$C$20:$C$963=Changes!C77),0)</f>
        <v>45949</v>
      </c>
      <c r="L77" s="356" t="str" cm="1">
        <f t="array" ref="L77">_xlfn._xlws.FILTER('[2]Input Data'!$D$20:$D$173,('[2]Input Data'!$B$20:$B$173=Changes!B77)*('[2]Input Data'!$C$20:$C$173=Changes!C77),0)</f>
        <v>In-Orbit</v>
      </c>
      <c r="M77" s="314">
        <f>IFERROR(INDEX('Input Data'!$P$10:$P$14,MATCH(DATEDIF($M$4,G77,"M"),'Input Data'!$O$10:$O$14,1)),0)</f>
        <v>0.4</v>
      </c>
      <c r="N77" s="227"/>
      <c r="O77" s="227">
        <f>INDEX('Input Data'!$P$10:$P$14,MATCH(DATEDIF($O$4,G77,"M"),'Input Data'!$O$10:$O$14,1))</f>
        <v>0.4</v>
      </c>
      <c r="P77" s="204">
        <f t="shared" si="13"/>
        <v>0</v>
      </c>
      <c r="R77" cm="1">
        <f t="array" ref="R77">_xlfn.LET(_xlpm.current,INDEX('Input Data'!$M$20:$M$963,MATCH(Changes!B77&amp;"_"&amp;Changes!C77,'Input Data'!$B$20:$B$963&amp;"_"&amp;'Input Data'!$C$20:$C$963,0)),_xlpm.prev,INDEX('[2]Input Data'!$L$20:$L$173,MATCH(B77&amp;"_"&amp;C77,'[2]Input Data'!$B$20:$B$173&amp;"_"&amp;'[2]Input Data'!$C$20:$C$173,0)),
IF(OR(ISNA(_xlpm.current),ISNA(_xlpm.prev)),0,_xlpm.current-_xlpm.prev))</f>
        <v>0</v>
      </c>
      <c r="S77" s="186" t="b">
        <f t="shared" si="15"/>
        <v>0</v>
      </c>
      <c r="T77" t="str" cm="1">
        <f t="array" ref="T77">IFERROR(_xlfn._xlws.FILTER('Input Data'!$N$20:$N$963,('Input Data'!$B$20:$B$963=Changes!B77)*('Input Data'!$C$20:$C$963=Changes!C77)),_xlfn._xlws.FILTER('[2]Input Data'!$M$20:$M$173,('[2]Input Data'!$B$20:$B$173=Changes!B77)*('[2]Input Data'!$C$20:$C$173=Changes!C77)))</f>
        <v>SSL (Space Systems/Loral)</v>
      </c>
      <c r="V77" s="348"/>
      <c r="W77" s="227"/>
      <c r="Y77" s="33"/>
      <c r="Z77" s="33"/>
      <c r="AA77" s="33">
        <f t="shared" si="12"/>
        <v>0</v>
      </c>
      <c r="AC77" s="185"/>
      <c r="AD77" s="33"/>
      <c r="AE77" s="33"/>
      <c r="AF77" s="387"/>
    </row>
    <row r="78" spans="1:35" x14ac:dyDescent="0.35">
      <c r="A78">
        <f t="shared" si="14"/>
        <v>1</v>
      </c>
      <c r="B78" s="315">
        <v>356083</v>
      </c>
      <c r="C78" s="282">
        <v>484967</v>
      </c>
      <c r="D78" s="282" t="str">
        <v>KA-SAT</v>
      </c>
      <c r="E78" s="282" t="str">
        <v>FUL</v>
      </c>
      <c r="F78" s="282" t="str">
        <v>GEO-GSO</v>
      </c>
      <c r="G78" s="283" cm="1">
        <f t="array" ref="G78">_xlfn.IFNA(INDEX('Input Data'!$M$20:$M$963,MATCH(Changes!B78&amp;"_"&amp;Changes!C78,'Input Data'!$B$20:$B$963&amp;"_"&amp;'Input Data'!$C$20:$C$963,0)),INDEX('[2]Input Data'!$L$20:$L$158,MATCH(B78&amp;"_"&amp;C78,'[2]Input Data'!$B$20:$B$158&amp;"_"&amp;'[2]Input Data'!$C$20:$C$158,0)))</f>
        <v>46313</v>
      </c>
      <c r="H78" s="313" cm="1">
        <f t="array" ref="H78">_xlfn._xlws.FILTER('Input Data'!$AA$20:$AA$963,('Input Data'!$B$20:$B$963=Changes!B78)*('Input Data'!$C$20:$C$963=Changes!C78),0)</f>
        <v>4521747.2089585997</v>
      </c>
      <c r="I78" s="313" cm="1">
        <f t="array" ref="I78">_xlfn._xlws.FILTER('[2]Input Data'!$AA$20:$AA$173,('[2]Input Data'!$B$20:$B$173=Changes!B78)*('[2]Input Data'!$C$20:$C$173=Changes!C78),0)</f>
        <v>4521747.2089585997</v>
      </c>
      <c r="J78" s="346" t="str" cm="1">
        <f t="array" ref="J78">_xlfn._xlws.FILTER('Input Data'!$E$20:$E$963,('Input Data'!$B$20:$B$963=Changes!B78)*('Input Data'!$C$20:$C$963=Changes!C78),0)</f>
        <v>In-Orbit</v>
      </c>
      <c r="K78" s="347" cm="1">
        <f t="array" ref="K78">_xlfn._xlws.FILTER('Input Data'!$L$20:$L$963,('Input Data'!$B$20:$B$963=Changes!B78)*('Input Data'!$C$20:$C$963=Changes!C78),0)</f>
        <v>45949</v>
      </c>
      <c r="L78" s="356" t="str" cm="1">
        <f t="array" ref="L78">_xlfn._xlws.FILTER('[2]Input Data'!$D$20:$D$173,('[2]Input Data'!$B$20:$B$173=Changes!B78)*('[2]Input Data'!$C$20:$C$173=Changes!C78),0)</f>
        <v>In-Orbit</v>
      </c>
      <c r="M78" s="314">
        <f>IFERROR(INDEX('Input Data'!$P$10:$P$14,MATCH(DATEDIF($M$4,G78,"M"),'Input Data'!$O$10:$O$14,1)),0)</f>
        <v>0.4</v>
      </c>
      <c r="N78" s="227"/>
      <c r="O78" s="227">
        <f>INDEX('Input Data'!$P$10:$P$14,MATCH(DATEDIF($O$4,G78,"M"),'Input Data'!$O$10:$O$14,1))</f>
        <v>0.4</v>
      </c>
      <c r="P78" s="204">
        <f t="shared" si="13"/>
        <v>0</v>
      </c>
      <c r="R78" cm="1">
        <f t="array" ref="R78">_xlfn.LET(_xlpm.current,INDEX('Input Data'!$M$20:$M$963,MATCH(Changes!B78&amp;"_"&amp;Changes!C78,'Input Data'!$B$20:$B$963&amp;"_"&amp;'Input Data'!$C$20:$C$963,0)),_xlpm.prev,INDEX('[2]Input Data'!$L$20:$L$173,MATCH(B78&amp;"_"&amp;C78,'[2]Input Data'!$B$20:$B$173&amp;"_"&amp;'[2]Input Data'!$C$20:$C$173,0)),
IF(OR(ISNA(_xlpm.current),ISNA(_xlpm.prev)),0,_xlpm.current-_xlpm.prev))</f>
        <v>0</v>
      </c>
      <c r="S78" s="186" t="b">
        <f t="shared" si="15"/>
        <v>0</v>
      </c>
      <c r="T78" t="str" cm="1">
        <f t="array" ref="T78">IFERROR(_xlfn._xlws.FILTER('Input Data'!$N$20:$N$963,('Input Data'!$B$20:$B$963=Changes!B78)*('Input Data'!$C$20:$C$963=Changes!C78)),_xlfn._xlws.FILTER('[2]Input Data'!$M$20:$M$173,('[2]Input Data'!$B$20:$B$173=Changes!B78)*('[2]Input Data'!$C$20:$C$173=Changes!C78)))</f>
        <v>Astrium Satellites SAS (Toulouse) (Part of EADS)</v>
      </c>
      <c r="V78" s="348"/>
      <c r="W78" s="227"/>
      <c r="Y78" s="33"/>
      <c r="Z78" s="33"/>
      <c r="AA78" s="33">
        <f t="shared" si="12"/>
        <v>0</v>
      </c>
      <c r="AC78" s="185"/>
      <c r="AD78" s="33"/>
      <c r="AE78" s="33"/>
      <c r="AF78" s="387"/>
    </row>
    <row r="79" spans="1:35" x14ac:dyDescent="0.35">
      <c r="A79">
        <f t="shared" si="14"/>
        <v>1</v>
      </c>
      <c r="B79" s="315">
        <v>356083</v>
      </c>
      <c r="C79" s="282">
        <v>484968</v>
      </c>
      <c r="D79" s="282" t="str">
        <v>VIASAT-2</v>
      </c>
      <c r="E79" s="282" t="str">
        <v>FUL</v>
      </c>
      <c r="F79" s="282" t="str">
        <v>GEO-GSO</v>
      </c>
      <c r="G79" s="283" cm="1">
        <f t="array" ref="G79">_xlfn.IFNA(INDEX('Input Data'!$M$20:$M$963,MATCH(Changes!B79&amp;"_"&amp;Changes!C79,'Input Data'!$B$20:$B$963&amp;"_"&amp;'Input Data'!$C$20:$C$963,0)),INDEX('[2]Input Data'!$L$20:$L$158,MATCH(B79&amp;"_"&amp;C79,'[2]Input Data'!$B$20:$B$158&amp;"_"&amp;'[2]Input Data'!$C$20:$C$158,0)))</f>
        <v>46313</v>
      </c>
      <c r="H79" s="313" cm="1">
        <f t="array" ref="H79">_xlfn._xlws.FILTER('Input Data'!$AA$20:$AA$963,('Input Data'!$B$20:$B$963=Changes!B79)*('Input Data'!$C$20:$C$963=Changes!C79),0)</f>
        <v>9278349.8814432994</v>
      </c>
      <c r="I79" s="313" cm="1">
        <f t="array" ref="I79">_xlfn._xlws.FILTER('[2]Input Data'!$AA$20:$AA$173,('[2]Input Data'!$B$20:$B$173=Changes!B79)*('[2]Input Data'!$C$20:$C$173=Changes!C79),0)</f>
        <v>9278349.8814432994</v>
      </c>
      <c r="J79" s="346" t="str" cm="1">
        <f t="array" ref="J79">_xlfn._xlws.FILTER('Input Data'!$E$20:$E$963,('Input Data'!$B$20:$B$963=Changes!B79)*('Input Data'!$C$20:$C$963=Changes!C79),0)</f>
        <v>In-Orbit</v>
      </c>
      <c r="K79" s="347" cm="1">
        <f t="array" ref="K79">_xlfn._xlws.FILTER('Input Data'!$L$20:$L$963,('Input Data'!$B$20:$B$963=Changes!B79)*('Input Data'!$C$20:$C$963=Changes!C79),0)</f>
        <v>45949</v>
      </c>
      <c r="L79" s="356" t="str" cm="1">
        <f t="array" ref="L79">_xlfn._xlws.FILTER('[2]Input Data'!$D$20:$D$173,('[2]Input Data'!$B$20:$B$173=Changes!B79)*('[2]Input Data'!$C$20:$C$173=Changes!C79),0)</f>
        <v>In-Orbit</v>
      </c>
      <c r="M79" s="314">
        <f>IFERROR(INDEX('Input Data'!$P$10:$P$14,MATCH(DATEDIF($M$4,G79,"M"),'Input Data'!$O$10:$O$14,1)),0)</f>
        <v>0.4</v>
      </c>
      <c r="N79" s="227"/>
      <c r="O79" s="227">
        <f>INDEX('Input Data'!$P$10:$P$14,MATCH(DATEDIF($O$4,G79,"M"),'Input Data'!$O$10:$O$14,1))</f>
        <v>0.4</v>
      </c>
      <c r="P79" s="204">
        <f t="shared" si="13"/>
        <v>0</v>
      </c>
      <c r="R79" cm="1">
        <f t="array" ref="R79">_xlfn.LET(_xlpm.current,INDEX('Input Data'!$M$20:$M$963,MATCH(Changes!B79&amp;"_"&amp;Changes!C79,'Input Data'!$B$20:$B$963&amp;"_"&amp;'Input Data'!$C$20:$C$963,0)),_xlpm.prev,INDEX('[2]Input Data'!$L$20:$L$173,MATCH(B79&amp;"_"&amp;C79,'[2]Input Data'!$B$20:$B$173&amp;"_"&amp;'[2]Input Data'!$C$20:$C$173,0)),
IF(OR(ISNA(_xlpm.current),ISNA(_xlpm.prev)),0,_xlpm.current-_xlpm.prev))</f>
        <v>0</v>
      </c>
      <c r="S79" s="186" t="b">
        <f t="shared" si="15"/>
        <v>0</v>
      </c>
      <c r="T79" t="str" cm="1">
        <f t="array" ref="T79">IFERROR(_xlfn._xlws.FILTER('Input Data'!$N$20:$N$963,('Input Data'!$B$20:$B$963=Changes!B79)*('Input Data'!$C$20:$C$963=Changes!C79)),_xlfn._xlws.FILTER('[2]Input Data'!$M$20:$M$173,('[2]Input Data'!$B$20:$B$173=Changes!B79)*('[2]Input Data'!$C$20:$C$173=Changes!C79)))</f>
        <v>Boeing Satellite Systems Inc.</v>
      </c>
      <c r="V79" s="348"/>
      <c r="W79" s="227"/>
      <c r="Y79" s="33"/>
      <c r="Z79" s="33"/>
      <c r="AA79" s="33">
        <f t="shared" si="12"/>
        <v>0</v>
      </c>
      <c r="AC79" s="185"/>
      <c r="AD79" s="33"/>
      <c r="AE79" s="33"/>
      <c r="AF79" s="387"/>
    </row>
    <row r="80" spans="1:35" x14ac:dyDescent="0.35">
      <c r="A80">
        <f t="shared" si="14"/>
        <v>1</v>
      </c>
      <c r="B80" s="315">
        <v>356130</v>
      </c>
      <c r="C80" s="282">
        <v>485048</v>
      </c>
      <c r="D80" s="282" t="str">
        <v>BSAT 4A</v>
      </c>
      <c r="E80" s="282" t="str">
        <v>FUL</v>
      </c>
      <c r="F80" s="282" t="str">
        <v>GEO-GSO</v>
      </c>
      <c r="G80" s="283" cm="1">
        <f t="array" ref="G80">_xlfn.IFNA(INDEX('Input Data'!$M$20:$M$963,MATCH(Changes!B80&amp;"_"&amp;Changes!C80,'Input Data'!$B$20:$B$963&amp;"_"&amp;'Input Data'!$C$20:$C$963,0)),INDEX('[2]Input Data'!$L$20:$L$158,MATCH(B80&amp;"_"&amp;C80,'[2]Input Data'!$B$20:$B$158&amp;"_"&amp;'[2]Input Data'!$C$20:$C$158,0)))</f>
        <v>46326</v>
      </c>
      <c r="H80" s="313" cm="1">
        <f t="array" ref="H80">_xlfn._xlws.FILTER('Input Data'!$AA$20:$AA$963,('Input Data'!$B$20:$B$963=Changes!B80)*('Input Data'!$C$20:$C$963=Changes!C80),0)</f>
        <v>2544859.32882442</v>
      </c>
      <c r="I80" s="313" cm="1">
        <f t="array" ref="I80">_xlfn._xlws.FILTER('[2]Input Data'!$AA$20:$AA$173,('[2]Input Data'!$B$20:$B$173=Changes!B80)*('[2]Input Data'!$C$20:$C$173=Changes!C80),0)</f>
        <v>2544859.32882442</v>
      </c>
      <c r="J80" s="346" t="str" cm="1">
        <f t="array" ref="J80">_xlfn._xlws.FILTER('Input Data'!$E$20:$E$963,('Input Data'!$B$20:$B$963=Changes!B80)*('Input Data'!$C$20:$C$963=Changes!C80),0)</f>
        <v>In-Orbit</v>
      </c>
      <c r="K80" s="347" cm="1">
        <f t="array" ref="K80">_xlfn._xlws.FILTER('Input Data'!$L$20:$L$963,('Input Data'!$B$20:$B$963=Changes!B80)*('Input Data'!$C$20:$C$963=Changes!C80),0)</f>
        <v>45962</v>
      </c>
      <c r="L80" s="356" t="str" cm="1">
        <f t="array" ref="L80">_xlfn._xlws.FILTER('[2]Input Data'!$D$20:$D$173,('[2]Input Data'!$B$20:$B$173=Changes!B80)*('[2]Input Data'!$C$20:$C$173=Changes!C80),0)</f>
        <v>In-Orbit</v>
      </c>
      <c r="M80" s="314">
        <f>IFERROR(INDEX('Input Data'!$P$10:$P$14,MATCH(DATEDIF($M$4,G80,"M"),'Input Data'!$O$10:$O$14,1)),0)</f>
        <v>0.4</v>
      </c>
      <c r="N80" s="227"/>
      <c r="O80" s="227">
        <f>INDEX('Input Data'!$P$10:$P$14,MATCH(DATEDIF($O$4,G80,"M"),'Input Data'!$O$10:$O$14,1))</f>
        <v>0.4</v>
      </c>
      <c r="P80" s="204">
        <f t="shared" si="13"/>
        <v>0</v>
      </c>
      <c r="R80" cm="1">
        <f t="array" ref="R80">_xlfn.LET(_xlpm.current,INDEX('Input Data'!$M$20:$M$963,MATCH(Changes!B80&amp;"_"&amp;Changes!C80,'Input Data'!$B$20:$B$963&amp;"_"&amp;'Input Data'!$C$20:$C$963,0)),_xlpm.prev,INDEX('[2]Input Data'!$L$20:$L$173,MATCH(B80&amp;"_"&amp;C80,'[2]Input Data'!$B$20:$B$173&amp;"_"&amp;'[2]Input Data'!$C$20:$C$173,0)),
IF(OR(ISNA(_xlpm.current),ISNA(_xlpm.prev)),0,_xlpm.current-_xlpm.prev))</f>
        <v>0</v>
      </c>
      <c r="S80" s="186" t="b">
        <f t="shared" si="15"/>
        <v>0</v>
      </c>
      <c r="T80" t="str" cm="1">
        <f t="array" ref="T80">IFERROR(_xlfn._xlws.FILTER('Input Data'!$N$20:$N$963,('Input Data'!$B$20:$B$963=Changes!B80)*('Input Data'!$C$20:$C$963=Changes!C80)),_xlfn._xlws.FILTER('[2]Input Data'!$M$20:$M$173,('[2]Input Data'!$B$20:$B$173=Changes!B80)*('[2]Input Data'!$C$20:$C$173=Changes!C80)))</f>
        <v>SSL (Space Systems/Loral)</v>
      </c>
      <c r="V80" s="348"/>
      <c r="W80" s="227"/>
      <c r="Y80" s="33"/>
      <c r="Z80" s="33"/>
      <c r="AA80" s="33">
        <f t="shared" si="12"/>
        <v>0</v>
      </c>
      <c r="AC80" s="185"/>
      <c r="AD80" s="33"/>
      <c r="AE80" s="33"/>
      <c r="AF80" s="387"/>
    </row>
    <row r="81" spans="1:32" x14ac:dyDescent="0.35">
      <c r="A81">
        <f t="shared" si="14"/>
        <v>1</v>
      </c>
      <c r="B81" s="315">
        <v>356130</v>
      </c>
      <c r="C81" s="282">
        <v>485050</v>
      </c>
      <c r="D81" s="282" t="str">
        <v>BSAT 4B</v>
      </c>
      <c r="E81" s="282" t="str">
        <v>FUL</v>
      </c>
      <c r="F81" s="282" t="str">
        <v>GEO-GSO</v>
      </c>
      <c r="G81" s="283" cm="1">
        <f t="array" ref="G81">_xlfn.IFNA(INDEX('Input Data'!$M$20:$M$963,MATCH(Changes!B81&amp;"_"&amp;Changes!C81,'Input Data'!$B$20:$B$963&amp;"_"&amp;'Input Data'!$C$20:$C$963,0)),INDEX('[2]Input Data'!$L$20:$L$158,MATCH(B81&amp;"_"&amp;C81,'[2]Input Data'!$B$20:$B$158&amp;"_"&amp;'[2]Input Data'!$C$20:$C$158,0)))</f>
        <v>46326</v>
      </c>
      <c r="H81" s="313" cm="1">
        <f t="array" ref="H81">_xlfn._xlws.FILTER('Input Data'!$AA$20:$AA$963,('Input Data'!$B$20:$B$963=Changes!B81)*('Input Data'!$C$20:$C$963=Changes!C81),0)</f>
        <v>2939010.0213085599</v>
      </c>
      <c r="I81" s="313" cm="1">
        <f t="array" ref="I81">_xlfn._xlws.FILTER('[2]Input Data'!$AA$20:$AA$173,('[2]Input Data'!$B$20:$B$173=Changes!B81)*('[2]Input Data'!$C$20:$C$173=Changes!C81),0)</f>
        <v>2939010.0213085599</v>
      </c>
      <c r="J81" s="346" t="str" cm="1">
        <f t="array" ref="J81">_xlfn._xlws.FILTER('Input Data'!$E$20:$E$963,('Input Data'!$B$20:$B$963=Changes!B81)*('Input Data'!$C$20:$C$963=Changes!C81),0)</f>
        <v>In-Orbit</v>
      </c>
      <c r="K81" s="347" cm="1">
        <f t="array" ref="K81">_xlfn._xlws.FILTER('Input Data'!$L$20:$L$963,('Input Data'!$B$20:$B$963=Changes!B81)*('Input Data'!$C$20:$C$963=Changes!C81),0)</f>
        <v>45962</v>
      </c>
      <c r="L81" s="356" t="str" cm="1">
        <f t="array" ref="L81">_xlfn._xlws.FILTER('[2]Input Data'!$D$20:$D$173,('[2]Input Data'!$B$20:$B$173=Changes!B81)*('[2]Input Data'!$C$20:$C$173=Changes!C81),0)</f>
        <v>In-Orbit</v>
      </c>
      <c r="M81" s="314">
        <f>IFERROR(INDEX('Input Data'!$P$10:$P$14,MATCH(DATEDIF($M$4,G81,"M"),'Input Data'!$O$10:$O$14,1)),0)</f>
        <v>0.4</v>
      </c>
      <c r="N81" s="227"/>
      <c r="O81" s="227">
        <f>INDEX('Input Data'!$P$10:$P$14,MATCH(DATEDIF($O$4,G81,"M"),'Input Data'!$O$10:$O$14,1))</f>
        <v>0.4</v>
      </c>
      <c r="P81" s="204">
        <f t="shared" si="13"/>
        <v>0</v>
      </c>
      <c r="R81" cm="1">
        <f t="array" ref="R81">_xlfn.LET(_xlpm.current,INDEX('Input Data'!$M$20:$M$963,MATCH(Changes!B81&amp;"_"&amp;Changes!C81,'Input Data'!$B$20:$B$963&amp;"_"&amp;'Input Data'!$C$20:$C$963,0)),_xlpm.prev,INDEX('[2]Input Data'!$L$20:$L$173,MATCH(B81&amp;"_"&amp;C81,'[2]Input Data'!$B$20:$B$173&amp;"_"&amp;'[2]Input Data'!$C$20:$C$173,0)),
IF(OR(ISNA(_xlpm.current),ISNA(_xlpm.prev)),0,_xlpm.current-_xlpm.prev))</f>
        <v>0</v>
      </c>
      <c r="S81" s="186" t="b">
        <f t="shared" si="15"/>
        <v>0</v>
      </c>
      <c r="T81" t="str" cm="1">
        <f t="array" ref="T81">IFERROR(_xlfn._xlws.FILTER('Input Data'!$N$20:$N$963,('Input Data'!$B$20:$B$963=Changes!B81)*('Input Data'!$C$20:$C$963=Changes!C81)),_xlfn._xlws.FILTER('[2]Input Data'!$M$20:$M$173,('[2]Input Data'!$B$20:$B$173=Changes!B81)*('[2]Input Data'!$C$20:$C$173=Changes!C81)))</f>
        <v>SSL (Space Systems/Loral)</v>
      </c>
      <c r="V81" s="348"/>
      <c r="W81" s="227"/>
      <c r="Y81" s="33"/>
      <c r="Z81" s="33"/>
      <c r="AA81" s="33">
        <f t="shared" si="12"/>
        <v>0</v>
      </c>
      <c r="AC81" s="185"/>
      <c r="AD81" s="33"/>
      <c r="AE81" s="33"/>
      <c r="AF81" s="387"/>
    </row>
    <row r="82" spans="1:32" x14ac:dyDescent="0.35">
      <c r="A82">
        <f t="shared" si="14"/>
        <v>1</v>
      </c>
      <c r="B82" s="315">
        <v>356133</v>
      </c>
      <c r="C82" s="282">
        <v>485057</v>
      </c>
      <c r="D82" s="282" t="str">
        <v>WORLDVIEW 1</v>
      </c>
      <c r="E82" s="282" t="str">
        <v>FUL</v>
      </c>
      <c r="F82" s="282" t="str">
        <v>LEO</v>
      </c>
      <c r="G82" s="283" cm="1">
        <f t="array" ref="G82">_xlfn.IFNA(INDEX('Input Data'!$M$20:$M$963,MATCH(Changes!B82&amp;"_"&amp;Changes!C82,'Input Data'!$B$20:$B$963&amp;"_"&amp;'Input Data'!$C$20:$C$963,0)),INDEX('[2]Input Data'!$L$20:$L$158,MATCH(B82&amp;"_"&amp;C82,'[2]Input Data'!$B$20:$B$158&amp;"_"&amp;'[2]Input Data'!$C$20:$C$158,0)))</f>
        <v>46303</v>
      </c>
      <c r="H82" s="313" cm="1">
        <f t="array" ref="H82">_xlfn._xlws.FILTER('Input Data'!$AA$20:$AA$963,('Input Data'!$B$20:$B$963=Changes!B82)*('Input Data'!$C$20:$C$963=Changes!C82),0)</f>
        <v>2164947.8314433</v>
      </c>
      <c r="I82" s="313" cm="1">
        <f t="array" ref="I82">_xlfn._xlws.FILTER('[2]Input Data'!$AA$20:$AA$173,('[2]Input Data'!$B$20:$B$173=Changes!B82)*('[2]Input Data'!$C$20:$C$173=Changes!C82),0)</f>
        <v>2164947.8314433</v>
      </c>
      <c r="J82" s="346" t="str" cm="1">
        <f t="array" ref="J82">_xlfn._xlws.FILTER('Input Data'!$E$20:$E$963,('Input Data'!$B$20:$B$963=Changes!B82)*('Input Data'!$C$20:$C$963=Changes!C82),0)</f>
        <v>In-Orbit</v>
      </c>
      <c r="K82" s="347" cm="1">
        <f t="array" ref="K82">_xlfn._xlws.FILTER('Input Data'!$L$20:$L$963,('Input Data'!$B$20:$B$963=Changes!B82)*('Input Data'!$C$20:$C$963=Changes!C82),0)</f>
        <v>45939</v>
      </c>
      <c r="L82" s="356" t="str" cm="1">
        <f t="array" ref="L82">_xlfn._xlws.FILTER('[2]Input Data'!$D$20:$D$173,('[2]Input Data'!$B$20:$B$173=Changes!B82)*('[2]Input Data'!$C$20:$C$173=Changes!C82),0)</f>
        <v>In-Orbit</v>
      </c>
      <c r="M82" s="314">
        <f>IFERROR(INDEX('Input Data'!$P$10:$P$14,MATCH(DATEDIF($M$4,G82,"M"),'Input Data'!$O$10:$O$14,1)),0)</f>
        <v>0.4</v>
      </c>
      <c r="N82" s="227"/>
      <c r="O82" s="227">
        <f>INDEX('Input Data'!$P$10:$P$14,MATCH(DATEDIF($O$4,G82,"M"),'Input Data'!$O$10:$O$14,1))</f>
        <v>0.4</v>
      </c>
      <c r="P82" s="204">
        <f t="shared" si="13"/>
        <v>0</v>
      </c>
      <c r="R82" cm="1">
        <f t="array" ref="R82">_xlfn.LET(_xlpm.current,INDEX('Input Data'!$M$20:$M$963,MATCH(Changes!B82&amp;"_"&amp;Changes!C82,'Input Data'!$B$20:$B$963&amp;"_"&amp;'Input Data'!$C$20:$C$963,0)),_xlpm.prev,INDEX('[2]Input Data'!$L$20:$L$173,MATCH(B82&amp;"_"&amp;C82,'[2]Input Data'!$B$20:$B$173&amp;"_"&amp;'[2]Input Data'!$C$20:$C$173,0)),
IF(OR(ISNA(_xlpm.current),ISNA(_xlpm.prev)),0,_xlpm.current-_xlpm.prev))</f>
        <v>0</v>
      </c>
      <c r="S82" s="186" t="b">
        <f t="shared" si="15"/>
        <v>0</v>
      </c>
      <c r="T82" t="str" cm="1">
        <f t="array" ref="T82">IFERROR(_xlfn._xlws.FILTER('Input Data'!$N$20:$N$963,('Input Data'!$B$20:$B$963=Changes!B82)*('Input Data'!$C$20:$C$963=Changes!C82)),_xlfn._xlws.FILTER('[2]Input Data'!$M$20:$M$173,('[2]Input Data'!$B$20:$B$173=Changes!B82)*('[2]Input Data'!$C$20:$C$173=Changes!C82)))</f>
        <v>BALL AEROSPACE AND TECHNOLOGIES CORP (HQ)</v>
      </c>
      <c r="V82" s="348"/>
      <c r="W82" s="227"/>
      <c r="Y82" s="33"/>
      <c r="Z82" s="33"/>
      <c r="AA82" s="33">
        <f t="shared" si="12"/>
        <v>0</v>
      </c>
      <c r="AC82" s="185"/>
      <c r="AD82" s="33"/>
      <c r="AE82" s="33"/>
      <c r="AF82" s="387"/>
    </row>
    <row r="83" spans="1:32" x14ac:dyDescent="0.35">
      <c r="A83">
        <f t="shared" si="14"/>
        <v>1</v>
      </c>
      <c r="B83" s="315">
        <v>356133</v>
      </c>
      <c r="C83" s="282">
        <v>485059</v>
      </c>
      <c r="D83" s="282" t="str">
        <v>WORLDVIEW 3</v>
      </c>
      <c r="E83" s="282" t="str">
        <v>FUL</v>
      </c>
      <c r="F83" s="282" t="str">
        <v>LEO</v>
      </c>
      <c r="G83" s="283" cm="1">
        <f t="array" ref="G83">_xlfn.IFNA(INDEX('Input Data'!$M$20:$M$963,MATCH(Changes!B83&amp;"_"&amp;Changes!C83,'Input Data'!$B$20:$B$963&amp;"_"&amp;'Input Data'!$C$20:$C$963,0)),INDEX('[2]Input Data'!$L$20:$L$158,MATCH(B83&amp;"_"&amp;C83,'[2]Input Data'!$B$20:$B$158&amp;"_"&amp;'[2]Input Data'!$C$20:$C$158,0)))</f>
        <v>46303</v>
      </c>
      <c r="H83" s="313" cm="1">
        <f t="array" ref="H83">_xlfn._xlws.FILTER('Input Data'!$AA$20:$AA$963,('Input Data'!$B$20:$B$963=Changes!B83)*('Input Data'!$C$20:$C$963=Changes!C83),0)</f>
        <v>3865978.7564432998</v>
      </c>
      <c r="I83" s="313" cm="1">
        <f t="array" ref="I83">_xlfn._xlws.FILTER('[2]Input Data'!$AA$20:$AA$173,('[2]Input Data'!$B$20:$B$173=Changes!B83)*('[2]Input Data'!$C$20:$C$173=Changes!C83),0)</f>
        <v>3865978.7564432998</v>
      </c>
      <c r="J83" s="346" t="str" cm="1">
        <f t="array" ref="J83">_xlfn._xlws.FILTER('Input Data'!$E$20:$E$963,('Input Data'!$B$20:$B$963=Changes!B83)*('Input Data'!$C$20:$C$963=Changes!C83),0)</f>
        <v>In-Orbit</v>
      </c>
      <c r="K83" s="347" cm="1">
        <f t="array" ref="K83">_xlfn._xlws.FILTER('Input Data'!$L$20:$L$963,('Input Data'!$B$20:$B$963=Changes!B83)*('Input Data'!$C$20:$C$963=Changes!C83),0)</f>
        <v>45939</v>
      </c>
      <c r="L83" s="356" t="str" cm="1">
        <f t="array" ref="L83">_xlfn._xlws.FILTER('[2]Input Data'!$D$20:$D$173,('[2]Input Data'!$B$20:$B$173=Changes!B83)*('[2]Input Data'!$C$20:$C$173=Changes!C83),0)</f>
        <v>In-Orbit</v>
      </c>
      <c r="M83" s="314">
        <f>IFERROR(INDEX('Input Data'!$P$10:$P$14,MATCH(DATEDIF($M$4,G83,"M"),'Input Data'!$O$10:$O$14,1)),0)</f>
        <v>0.4</v>
      </c>
      <c r="N83" s="227"/>
      <c r="O83" s="227">
        <f>INDEX('Input Data'!$P$10:$P$14,MATCH(DATEDIF($O$4,G83,"M"),'Input Data'!$O$10:$O$14,1))</f>
        <v>0.4</v>
      </c>
      <c r="P83" s="204">
        <f t="shared" si="13"/>
        <v>0</v>
      </c>
      <c r="R83" cm="1">
        <f t="array" ref="R83">_xlfn.LET(_xlpm.current,INDEX('Input Data'!$M$20:$M$963,MATCH(Changes!B83&amp;"_"&amp;Changes!C83,'Input Data'!$B$20:$B$963&amp;"_"&amp;'Input Data'!$C$20:$C$963,0)),_xlpm.prev,INDEX('[2]Input Data'!$L$20:$L$173,MATCH(B83&amp;"_"&amp;C83,'[2]Input Data'!$B$20:$B$173&amp;"_"&amp;'[2]Input Data'!$C$20:$C$173,0)),
IF(OR(ISNA(_xlpm.current),ISNA(_xlpm.prev)),0,_xlpm.current-_xlpm.prev))</f>
        <v>0</v>
      </c>
      <c r="S83" s="186" t="b">
        <f t="shared" si="15"/>
        <v>0</v>
      </c>
      <c r="T83" t="str" cm="1">
        <f t="array" ref="T83">IFERROR(_xlfn._xlws.FILTER('Input Data'!$N$20:$N$963,('Input Data'!$B$20:$B$963=Changes!B83)*('Input Data'!$C$20:$C$963=Changes!C83)),_xlfn._xlws.FILTER('[2]Input Data'!$M$20:$M$173,('[2]Input Data'!$B$20:$B$173=Changes!B83)*('[2]Input Data'!$C$20:$C$173=Changes!C83)))</f>
        <v>BALL AEROSPACE AND TECHNOLOGIES CORP (HQ)</v>
      </c>
      <c r="V83" s="348"/>
      <c r="W83" s="227"/>
      <c r="Y83" s="33"/>
      <c r="Z83" s="33"/>
      <c r="AA83" s="33">
        <f t="shared" si="12"/>
        <v>0</v>
      </c>
      <c r="AC83" s="185"/>
      <c r="AD83" s="33"/>
      <c r="AE83" s="33"/>
      <c r="AF83" s="387"/>
    </row>
    <row r="84" spans="1:32" x14ac:dyDescent="0.35">
      <c r="A84">
        <f t="shared" si="14"/>
        <v>1</v>
      </c>
      <c r="B84" s="315">
        <v>356133</v>
      </c>
      <c r="C84" s="282">
        <v>485060</v>
      </c>
      <c r="D84" s="282" t="str">
        <v>WORLDVIEW 2</v>
      </c>
      <c r="E84" s="282" t="str">
        <v>FUL</v>
      </c>
      <c r="F84" s="282" t="str">
        <v>LEO</v>
      </c>
      <c r="G84" s="283" cm="1">
        <f t="array" ref="G84">_xlfn.IFNA(INDEX('Input Data'!$M$20:$M$963,MATCH(Changes!B84&amp;"_"&amp;Changes!C84,'Input Data'!$B$20:$B$963&amp;"_"&amp;'Input Data'!$C$20:$C$963,0)),INDEX('[2]Input Data'!$L$20:$L$158,MATCH(B84&amp;"_"&amp;C84,'[2]Input Data'!$B$20:$B$158&amp;"_"&amp;'[2]Input Data'!$C$20:$C$158,0)))</f>
        <v>46303</v>
      </c>
      <c r="H84" s="313" cm="1">
        <f t="array" ref="H84">_xlfn._xlws.FILTER('Input Data'!$AA$20:$AA$963,('Input Data'!$B$20:$B$963=Changes!B84)*('Input Data'!$C$20:$C$963=Changes!C84),0)</f>
        <v>2164947.8314433</v>
      </c>
      <c r="I84" s="313" cm="1">
        <f t="array" ref="I84">_xlfn._xlws.FILTER('[2]Input Data'!$AA$20:$AA$173,('[2]Input Data'!$B$20:$B$173=Changes!B84)*('[2]Input Data'!$C$20:$C$173=Changes!C84),0)</f>
        <v>2164947.8314433</v>
      </c>
      <c r="J84" s="346" t="str" cm="1">
        <f t="array" ref="J84">_xlfn._xlws.FILTER('Input Data'!$E$20:$E$963,('Input Data'!$B$20:$B$963=Changes!B84)*('Input Data'!$C$20:$C$963=Changes!C84),0)</f>
        <v>In-Orbit</v>
      </c>
      <c r="K84" s="347" cm="1">
        <f t="array" ref="K84">_xlfn._xlws.FILTER('Input Data'!$L$20:$L$963,('Input Data'!$B$20:$B$963=Changes!B84)*('Input Data'!$C$20:$C$963=Changes!C84),0)</f>
        <v>45939</v>
      </c>
      <c r="L84" s="356" t="str" cm="1">
        <f t="array" ref="L84">_xlfn._xlws.FILTER('[2]Input Data'!$D$20:$D$173,('[2]Input Data'!$B$20:$B$173=Changes!B84)*('[2]Input Data'!$C$20:$C$173=Changes!C84),0)</f>
        <v>In-Orbit</v>
      </c>
      <c r="M84" s="314">
        <f>IFERROR(INDEX('Input Data'!$P$10:$P$14,MATCH(DATEDIF($M$4,G84,"M"),'Input Data'!$O$10:$O$14,1)),0)</f>
        <v>0.4</v>
      </c>
      <c r="N84" s="227"/>
      <c r="O84" s="227">
        <f>INDEX('Input Data'!$P$10:$P$14,MATCH(DATEDIF($O$4,G84,"M"),'Input Data'!$O$10:$O$14,1))</f>
        <v>0.4</v>
      </c>
      <c r="P84" s="204">
        <f t="shared" si="13"/>
        <v>0</v>
      </c>
      <c r="R84" cm="1">
        <f t="array" ref="R84">_xlfn.LET(_xlpm.current,INDEX('Input Data'!$M$20:$M$963,MATCH(Changes!B84&amp;"_"&amp;Changes!C84,'Input Data'!$B$20:$B$963&amp;"_"&amp;'Input Data'!$C$20:$C$963,0)),_xlpm.prev,INDEX('[2]Input Data'!$L$20:$L$173,MATCH(B84&amp;"_"&amp;C84,'[2]Input Data'!$B$20:$B$173&amp;"_"&amp;'[2]Input Data'!$C$20:$C$173,0)),
IF(OR(ISNA(_xlpm.current),ISNA(_xlpm.prev)),0,_xlpm.current-_xlpm.prev))</f>
        <v>0</v>
      </c>
      <c r="S84" s="186" t="b">
        <f t="shared" si="15"/>
        <v>0</v>
      </c>
      <c r="T84" t="str" cm="1">
        <f t="array" ref="T84">IFERROR(_xlfn._xlws.FILTER('Input Data'!$N$20:$N$963,('Input Data'!$B$20:$B$963=Changes!B84)*('Input Data'!$C$20:$C$963=Changes!C84)),_xlfn._xlws.FILTER('[2]Input Data'!$M$20:$M$173,('[2]Input Data'!$B$20:$B$173=Changes!B84)*('[2]Input Data'!$C$20:$C$173=Changes!C84)))</f>
        <v>BALL AEROSPACE AND TECHNOLOGIES CORP (HQ)</v>
      </c>
      <c r="V84" s="348"/>
      <c r="W84" s="227"/>
      <c r="Y84" s="33"/>
      <c r="Z84" s="33"/>
      <c r="AA84" s="33">
        <f t="shared" si="12"/>
        <v>0</v>
      </c>
      <c r="AC84" s="187"/>
      <c r="AD84" s="260"/>
      <c r="AE84" s="260"/>
      <c r="AF84" s="388"/>
    </row>
    <row r="85" spans="1:32" x14ac:dyDescent="0.35">
      <c r="A85">
        <f t="shared" si="14"/>
        <v>1</v>
      </c>
      <c r="B85" s="373">
        <v>357074</v>
      </c>
      <c r="C85" s="374">
        <v>486815</v>
      </c>
      <c r="D85" s="374" t="str">
        <v>VIASAT-3 F2</v>
      </c>
      <c r="E85" s="374" t="str">
        <v>FUL</v>
      </c>
      <c r="F85" s="374" t="str">
        <v>GEO-GSO</v>
      </c>
      <c r="G85" s="375" cm="1">
        <f t="array" ref="G85">_xlfn.IFNA(INDEX('Input Data'!$M$20:$M$963,MATCH(Changes!B85&amp;"_"&amp;Changes!C85,'Input Data'!$B$20:$B$963&amp;"_"&amp;'Input Data'!$C$20:$C$963,0)),INDEX('[2]Input Data'!$L$20:$L$158,MATCH(B85&amp;"_"&amp;C85,'[2]Input Data'!$B$20:$B$158&amp;"_"&amp;'[2]Input Data'!$C$20:$C$158,0)))</f>
        <v>46521</v>
      </c>
      <c r="H85" s="376" cm="1">
        <f t="array" ref="H85">_xlfn._xlws.FILTER('Input Data'!$AA$20:$AA$963,('Input Data'!$B$20:$B$963=Changes!B85)*('Input Data'!$C$20:$C$963=Changes!C85),0)</f>
        <v>18556701</v>
      </c>
      <c r="I85" s="376" cm="1">
        <f t="array" ref="I85">_xlfn._xlws.FILTER('[2]Input Data'!$AA$20:$AA$173,('[2]Input Data'!$B$20:$B$173=Changes!B85)*('[2]Input Data'!$C$20:$C$173=Changes!C85),0)</f>
        <v>18556701</v>
      </c>
      <c r="J85" s="377" t="str" cm="1">
        <f t="array" ref="J85">_xlfn._xlws.FILTER('Input Data'!$E$20:$E$963,('Input Data'!$B$20:$B$963=Changes!B85)*('Input Data'!$C$20:$C$963=Changes!C85),0)</f>
        <v>L + 12 Months</v>
      </c>
      <c r="K85" s="378" cm="1">
        <f t="array" ref="K85">_xlfn._xlws.FILTER('Input Data'!$L$20:$L$963,('Input Data'!$B$20:$B$963=Changes!B85)*('Input Data'!$C$20:$C$963=Changes!C85),0)</f>
        <v>45975</v>
      </c>
      <c r="L85" s="379" t="str" cm="1">
        <f t="array" ref="L85">_xlfn._xlws.FILTER('[2]Input Data'!$D$20:$D$173,('[2]Input Data'!$B$20:$B$173=Changes!B85)*('[2]Input Data'!$C$20:$C$173=Changes!C85),0)</f>
        <v>L + 12 Months</v>
      </c>
      <c r="M85" s="380">
        <f>IFERROR(INDEX('Input Data'!$P$10:$P$14,MATCH(DATEDIF($M$4,G85,"M"),'Input Data'!$O$10:$O$14,1)),0)</f>
        <v>0.6</v>
      </c>
      <c r="N85" s="381"/>
      <c r="O85" s="381">
        <f>INDEX('Input Data'!$P$10:$P$14,MATCH(DATEDIF($O$4,G85,"M"),'Input Data'!$O$10:$O$14,1))</f>
        <v>0.6</v>
      </c>
      <c r="P85" s="382">
        <f t="shared" si="13"/>
        <v>0</v>
      </c>
      <c r="Q85" s="5"/>
      <c r="R85" s="5" cm="1">
        <f t="array" ref="R85">_xlfn.LET(_xlpm.current,INDEX('Input Data'!$M$20:$M$963,MATCH(Changes!B85&amp;"_"&amp;Changes!C85,'Input Data'!$B$20:$B$963&amp;"_"&amp;'Input Data'!$C$20:$C$963,0)),_xlpm.prev,INDEX('[2]Input Data'!$L$20:$L$173,MATCH(B85&amp;"_"&amp;C85,'[2]Input Data'!$B$20:$B$173&amp;"_"&amp;'[2]Input Data'!$C$20:$C$173,0)),
IF(OR(ISNA(_xlpm.current),ISNA(_xlpm.prev)),0,_xlpm.current-_xlpm.prev))</f>
        <v>181</v>
      </c>
      <c r="S85" s="186" t="b">
        <f t="shared" si="15"/>
        <v>0</v>
      </c>
      <c r="T85" t="str" cm="1">
        <f t="array" ref="T85">IFERROR(_xlfn._xlws.FILTER('Input Data'!$N$20:$N$963,('Input Data'!$B$20:$B$963=Changes!B85)*('Input Data'!$C$20:$C$963=Changes!C85)),_xlfn._xlws.FILTER('[2]Input Data'!$M$20:$M$173,('[2]Input Data'!$B$20:$B$173=Changes!B85)*('[2]Input Data'!$C$20:$C$173=Changes!C85)))</f>
        <v>Boeing Satellite Systems Inc.</v>
      </c>
      <c r="V85" s="348"/>
      <c r="W85" s="227"/>
      <c r="Y85" s="33"/>
      <c r="Z85" s="33"/>
      <c r="AA85" s="33">
        <f t="shared" si="12"/>
        <v>0</v>
      </c>
      <c r="AD85" s="33"/>
      <c r="AE85" s="33"/>
      <c r="AF85" s="389">
        <f>SUM(AF58:AF84)</f>
        <v>-26832912.365289062</v>
      </c>
    </row>
    <row r="86" spans="1:32" x14ac:dyDescent="0.35">
      <c r="A86">
        <f t="shared" si="14"/>
        <v>1</v>
      </c>
      <c r="B86" s="315">
        <v>349114</v>
      </c>
      <c r="C86" s="282">
        <v>488489</v>
      </c>
      <c r="D86" s="282" t="str">
        <v>ES'HAIL 2</v>
      </c>
      <c r="E86" s="282" t="str">
        <v>FUL</v>
      </c>
      <c r="F86" s="282" t="str">
        <v>GEO-GSO</v>
      </c>
      <c r="G86" s="283" cm="1">
        <f t="array" ref="G86">_xlfn.IFNA(INDEX('Input Data'!$M$20:$M$963,MATCH(Changes!B86&amp;"_"&amp;Changes!C86,'Input Data'!$B$20:$B$963&amp;"_"&amp;'Input Data'!$C$20:$C$963,0)),INDEX('[2]Input Data'!$L$20:$L$158,MATCH(B86&amp;"_"&amp;C86,'[2]Input Data'!$B$20:$B$158&amp;"_"&amp;'[2]Input Data'!$C$20:$C$158,0)))</f>
        <v>46326</v>
      </c>
      <c r="H86" s="313" cm="1">
        <f t="array" ref="H86">_xlfn._xlws.FILTER('Input Data'!$AA$20:$AA$963,('Input Data'!$B$20:$B$963=Changes!B86)*('Input Data'!$C$20:$C$963=Changes!C86),0)</f>
        <v>4948456.0742267901</v>
      </c>
      <c r="I86" s="313" cm="1">
        <f t="array" ref="I86">_xlfn._xlws.FILTER('[2]Input Data'!$AA$20:$AA$173,('[2]Input Data'!$B$20:$B$173=Changes!B86)*('[2]Input Data'!$C$20:$C$173=Changes!C86),0)</f>
        <v>4948456.0742267901</v>
      </c>
      <c r="J86" s="346" t="str" cm="1">
        <f t="array" ref="J86">_xlfn._xlws.FILTER('Input Data'!$E$20:$E$963,('Input Data'!$B$20:$B$963=Changes!B86)*('Input Data'!$C$20:$C$963=Changes!C86),0)</f>
        <v>In-Orbit</v>
      </c>
      <c r="K86" s="347" cm="1">
        <f t="array" ref="K86">_xlfn._xlws.FILTER('Input Data'!$L$20:$L$963,('Input Data'!$B$20:$B$963=Changes!B86)*('Input Data'!$C$20:$C$963=Changes!C86),0)</f>
        <v>45877</v>
      </c>
      <c r="L86" s="356" t="str" cm="1">
        <f t="array" ref="L86">_xlfn._xlws.FILTER('[2]Input Data'!$D$20:$D$173,('[2]Input Data'!$B$20:$B$173=Changes!B86)*('[2]Input Data'!$C$20:$C$173=Changes!C86),0)</f>
        <v>In-Orbit</v>
      </c>
      <c r="M86" s="314">
        <f>IFERROR(INDEX('Input Data'!$P$10:$P$14,MATCH(DATEDIF($M$4,G86,"M"),'Input Data'!$O$10:$O$14,1)),0)</f>
        <v>0.4</v>
      </c>
      <c r="N86" s="227"/>
      <c r="O86" s="227">
        <f>INDEX('Input Data'!$P$10:$P$14,MATCH(DATEDIF($O$4,G86,"M"),'Input Data'!$O$10:$O$14,1))</f>
        <v>0.4</v>
      </c>
      <c r="P86" s="204">
        <f t="shared" si="13"/>
        <v>0</v>
      </c>
      <c r="R86" cm="1">
        <f t="array" ref="R86">_xlfn.LET(_xlpm.current,INDEX('Input Data'!$M$20:$M$963,MATCH(Changes!B86&amp;"_"&amp;Changes!C86,'Input Data'!$B$20:$B$963&amp;"_"&amp;'Input Data'!$C$20:$C$963,0)),_xlpm.prev,INDEX('[2]Input Data'!$L$20:$L$173,MATCH(B86&amp;"_"&amp;C86,'[2]Input Data'!$B$20:$B$173&amp;"_"&amp;'[2]Input Data'!$C$20:$C$173,0)),
IF(OR(ISNA(_xlpm.current),ISNA(_xlpm.prev)),0,_xlpm.current-_xlpm.prev))</f>
        <v>0</v>
      </c>
      <c r="S86" s="186" t="b">
        <f t="shared" si="15"/>
        <v>0</v>
      </c>
      <c r="T86" t="str" cm="1">
        <f t="array" ref="T86">IFERROR(_xlfn._xlws.FILTER('Input Data'!$N$20:$N$963,('Input Data'!$B$20:$B$963=Changes!B86)*('Input Data'!$C$20:$C$963=Changes!C86)),_xlfn._xlws.FILTER('[2]Input Data'!$M$20:$M$173,('[2]Input Data'!$B$20:$B$173=Changes!B86)*('[2]Input Data'!$C$20:$C$173=Changes!C86)))</f>
        <v>Mitsubishi Electric Corp (MELCO)</v>
      </c>
      <c r="V86" s="348"/>
      <c r="W86" s="227"/>
      <c r="Y86" s="33"/>
      <c r="Z86" s="33"/>
      <c r="AA86" s="33">
        <f t="shared" si="12"/>
        <v>0</v>
      </c>
      <c r="AD86" s="33"/>
      <c r="AE86" s="33"/>
      <c r="AF86" s="390"/>
    </row>
    <row r="87" spans="1:32" x14ac:dyDescent="0.35">
      <c r="A87">
        <f t="shared" si="14"/>
        <v>1</v>
      </c>
      <c r="B87" s="315">
        <v>349114</v>
      </c>
      <c r="C87" s="282">
        <v>488490</v>
      </c>
      <c r="D87" s="282" t="str">
        <v>ES'HAIL 1</v>
      </c>
      <c r="E87" s="282" t="str">
        <v>FUL</v>
      </c>
      <c r="F87" s="282" t="str">
        <v>GEO-GSO</v>
      </c>
      <c r="G87" s="283" cm="1">
        <f t="array" ref="G87">_xlfn.IFNA(INDEX('Input Data'!$M$20:$M$963,MATCH(Changes!B87&amp;"_"&amp;Changes!C87,'Input Data'!$B$20:$B$963&amp;"_"&amp;'Input Data'!$C$20:$C$963,0)),INDEX('[2]Input Data'!$L$20:$L$158,MATCH(B87&amp;"_"&amp;C87,'[2]Input Data'!$B$20:$B$158&amp;"_"&amp;'[2]Input Data'!$C$20:$C$158,0)))</f>
        <v>46326</v>
      </c>
      <c r="H87" s="313" cm="1">
        <f t="array" ref="H87">_xlfn._xlws.FILTER('Input Data'!$AA$20:$AA$963,('Input Data'!$B$20:$B$963=Changes!B87)*('Input Data'!$C$20:$C$963=Changes!C87),0)</f>
        <v>6680409.8857731996</v>
      </c>
      <c r="I87" s="313" cm="1">
        <f t="array" ref="I87">_xlfn._xlws.FILTER('[2]Input Data'!$AA$20:$AA$173,('[2]Input Data'!$B$20:$B$173=Changes!B87)*('[2]Input Data'!$C$20:$C$173=Changes!C87),0)</f>
        <v>6680409.8857731996</v>
      </c>
      <c r="J87" s="346" t="str" cm="1">
        <f t="array" ref="J87">_xlfn._xlws.FILTER('Input Data'!$E$20:$E$963,('Input Data'!$B$20:$B$963=Changes!B87)*('Input Data'!$C$20:$C$963=Changes!C87),0)</f>
        <v>In-Orbit</v>
      </c>
      <c r="K87" s="347" cm="1">
        <f t="array" ref="K87">_xlfn._xlws.FILTER('Input Data'!$L$20:$L$963,('Input Data'!$B$20:$B$963=Changes!B87)*('Input Data'!$C$20:$C$963=Changes!C87),0)</f>
        <v>45877</v>
      </c>
      <c r="L87" s="356" t="str" cm="1">
        <f t="array" ref="L87">_xlfn._xlws.FILTER('[2]Input Data'!$D$20:$D$173,('[2]Input Data'!$B$20:$B$173=Changes!B87)*('[2]Input Data'!$C$20:$C$173=Changes!C87),0)</f>
        <v>In-Orbit</v>
      </c>
      <c r="M87" s="314">
        <f>IFERROR(INDEX('Input Data'!$P$10:$P$14,MATCH(DATEDIF($M$4,G87,"M"),'Input Data'!$O$10:$O$14,1)),0)</f>
        <v>0.4</v>
      </c>
      <c r="N87" s="227"/>
      <c r="O87" s="227">
        <f>INDEX('Input Data'!$P$10:$P$14,MATCH(DATEDIF($O$4,G87,"M"),'Input Data'!$O$10:$O$14,1))</f>
        <v>0.4</v>
      </c>
      <c r="P87" s="204">
        <f t="shared" si="13"/>
        <v>0</v>
      </c>
      <c r="R87" cm="1">
        <f t="array" ref="R87">_xlfn.LET(_xlpm.current,INDEX('Input Data'!$M$20:$M$963,MATCH(Changes!B87&amp;"_"&amp;Changes!C87,'Input Data'!$B$20:$B$963&amp;"_"&amp;'Input Data'!$C$20:$C$963,0)),_xlpm.prev,INDEX('[2]Input Data'!$L$20:$L$173,MATCH(B87&amp;"_"&amp;C87,'[2]Input Data'!$B$20:$B$173&amp;"_"&amp;'[2]Input Data'!$C$20:$C$173,0)),
IF(OR(ISNA(_xlpm.current),ISNA(_xlpm.prev)),0,_xlpm.current-_xlpm.prev))</f>
        <v>0</v>
      </c>
      <c r="S87" s="186" t="b">
        <f t="shared" si="15"/>
        <v>0</v>
      </c>
      <c r="T87" t="str" cm="1">
        <f t="array" ref="T87">IFERROR(_xlfn._xlws.FILTER('Input Data'!$N$20:$N$963,('Input Data'!$B$20:$B$963=Changes!B87)*('Input Data'!$C$20:$C$963=Changes!C87)),_xlfn._xlws.FILTER('[2]Input Data'!$M$20:$M$173,('[2]Input Data'!$B$20:$B$173=Changes!B87)*('[2]Input Data'!$C$20:$C$173=Changes!C87)))</f>
        <v>SSL (Space Systems/Loral)</v>
      </c>
      <c r="V87" s="348"/>
      <c r="W87" s="227"/>
      <c r="Y87" s="33"/>
      <c r="Z87" s="33"/>
      <c r="AA87" s="33"/>
      <c r="AD87" s="33"/>
      <c r="AE87" s="33"/>
    </row>
    <row r="88" spans="1:32" x14ac:dyDescent="0.35">
      <c r="A88">
        <f t="shared" si="14"/>
        <v>1</v>
      </c>
      <c r="B88" s="315">
        <v>349114</v>
      </c>
      <c r="C88" s="282">
        <v>489316</v>
      </c>
      <c r="D88" s="282" t="str">
        <v>ES'HAIL 2</v>
      </c>
      <c r="E88" s="282" t="str">
        <v>FUL</v>
      </c>
      <c r="F88" s="282" t="str">
        <v>GEO-GSO</v>
      </c>
      <c r="G88" s="283" cm="1">
        <f t="array" ref="G88">_xlfn.IFNA(INDEX('Input Data'!$M$20:$M$963,MATCH(Changes!B88&amp;"_"&amp;Changes!C88,'Input Data'!$B$20:$B$963&amp;"_"&amp;'Input Data'!$C$20:$C$963,0)),INDEX('[2]Input Data'!$L$20:$L$158,MATCH(B88&amp;"_"&amp;C88,'[2]Input Data'!$B$20:$B$158&amp;"_"&amp;'[2]Input Data'!$C$20:$C$158,0)))</f>
        <v>46326</v>
      </c>
      <c r="H88" s="313" cm="1">
        <f t="array" ref="H88">_xlfn._xlws.FILTER('Input Data'!$AA$20:$AA$963,('Input Data'!$B$20:$B$963=Changes!B88)*('Input Data'!$C$20:$C$963=Changes!C88),0)</f>
        <v>4948456.0742267901</v>
      </c>
      <c r="I88" s="313" cm="1">
        <f t="array" ref="I88">_xlfn._xlws.FILTER('[2]Input Data'!$AA$20:$AA$173,('[2]Input Data'!$B$20:$B$173=Changes!B88)*('[2]Input Data'!$C$20:$C$173=Changes!C88),0)</f>
        <v>4948456.0742267901</v>
      </c>
      <c r="J88" s="346" t="str" cm="1">
        <f t="array" ref="J88">_xlfn._xlws.FILTER('Input Data'!$E$20:$E$963,('Input Data'!$B$20:$B$963=Changes!B88)*('Input Data'!$C$20:$C$963=Changes!C88),0)</f>
        <v>In-Orbit</v>
      </c>
      <c r="K88" s="347" cm="1">
        <f t="array" ref="K88">_xlfn._xlws.FILTER('Input Data'!$L$20:$L$963,('Input Data'!$B$20:$B$963=Changes!B88)*('Input Data'!$C$20:$C$963=Changes!C88),0)</f>
        <v>45877</v>
      </c>
      <c r="L88" s="356" t="str" cm="1">
        <f t="array" ref="L88">_xlfn._xlws.FILTER('[2]Input Data'!$D$20:$D$173,('[2]Input Data'!$B$20:$B$173=Changes!B88)*('[2]Input Data'!$C$20:$C$173=Changes!C88),0)</f>
        <v>In-Orbit</v>
      </c>
      <c r="M88" s="314">
        <f>IFERROR(INDEX('Input Data'!$P$10:$P$14,MATCH(DATEDIF($M$4,G88,"M"),'Input Data'!$O$10:$O$14,1)),0)</f>
        <v>0.4</v>
      </c>
      <c r="N88" s="227"/>
      <c r="O88" s="227">
        <f>INDEX('Input Data'!$P$10:$P$14,MATCH(DATEDIF($O$4,G88,"M"),'Input Data'!$O$10:$O$14,1))</f>
        <v>0.4</v>
      </c>
      <c r="P88" s="204">
        <f t="shared" si="13"/>
        <v>0</v>
      </c>
      <c r="R88" cm="1">
        <f t="array" ref="R88">_xlfn.LET(_xlpm.current,INDEX('Input Data'!$M$20:$M$963,MATCH(Changes!B88&amp;"_"&amp;Changes!C88,'Input Data'!$B$20:$B$963&amp;"_"&amp;'Input Data'!$C$20:$C$963,0)),_xlpm.prev,INDEX('[2]Input Data'!$L$20:$L$173,MATCH(B88&amp;"_"&amp;C88,'[2]Input Data'!$B$20:$B$173&amp;"_"&amp;'[2]Input Data'!$C$20:$C$173,0)),
IF(OR(ISNA(_xlpm.current),ISNA(_xlpm.prev)),0,_xlpm.current-_xlpm.prev))</f>
        <v>0</v>
      </c>
      <c r="S88" s="186" t="b">
        <f t="shared" si="15"/>
        <v>0</v>
      </c>
      <c r="T88" t="str" cm="1">
        <f t="array" ref="T88">IFERROR(_xlfn._xlws.FILTER('Input Data'!$N$20:$N$963,('Input Data'!$B$20:$B$963=Changes!B88)*('Input Data'!$C$20:$C$963=Changes!C88)),_xlfn._xlws.FILTER('[2]Input Data'!$M$20:$M$173,('[2]Input Data'!$B$20:$B$173=Changes!B88)*('[2]Input Data'!$C$20:$C$173=Changes!C88)))</f>
        <v>Mitsubishi Electric Corp (MELCO)</v>
      </c>
      <c r="V88" s="348"/>
      <c r="W88" s="227"/>
      <c r="Y88" s="33"/>
      <c r="Z88" s="33"/>
      <c r="AA88" s="33"/>
      <c r="AD88" s="33"/>
      <c r="AE88" s="33"/>
    </row>
    <row r="89" spans="1:32" x14ac:dyDescent="0.35">
      <c r="A89">
        <f t="shared" si="14"/>
        <v>1</v>
      </c>
      <c r="B89" s="315">
        <v>349114</v>
      </c>
      <c r="C89" s="282">
        <v>489317</v>
      </c>
      <c r="D89" s="282" t="str">
        <v>ES'HAIL 1</v>
      </c>
      <c r="E89" s="282" t="str">
        <v>FUL</v>
      </c>
      <c r="F89" s="282" t="str">
        <v>GEO-GSO</v>
      </c>
      <c r="G89" s="283" cm="1">
        <f t="array" ref="G89">_xlfn.IFNA(INDEX('Input Data'!$M$20:$M$963,MATCH(Changes!B89&amp;"_"&amp;Changes!C89,'Input Data'!$B$20:$B$963&amp;"_"&amp;'Input Data'!$C$20:$C$963,0)),INDEX('[2]Input Data'!$L$20:$L$158,MATCH(B89&amp;"_"&amp;C89,'[2]Input Data'!$B$20:$B$158&amp;"_"&amp;'[2]Input Data'!$C$20:$C$158,0)))</f>
        <v>46326</v>
      </c>
      <c r="H89" s="313" cm="1">
        <f t="array" ref="H89">_xlfn._xlws.FILTER('Input Data'!$AA$20:$AA$963,('Input Data'!$B$20:$B$963=Changes!B89)*('Input Data'!$C$20:$C$963=Changes!C89),0)</f>
        <v>6680409.8857731996</v>
      </c>
      <c r="I89" s="313" cm="1">
        <f t="array" ref="I89">_xlfn._xlws.FILTER('[2]Input Data'!$AA$20:$AA$173,('[2]Input Data'!$B$20:$B$173=Changes!B89)*('[2]Input Data'!$C$20:$C$173=Changes!C89),0)</f>
        <v>6680409.8857731996</v>
      </c>
      <c r="J89" s="346" t="str" cm="1">
        <f t="array" ref="J89">_xlfn._xlws.FILTER('Input Data'!$E$20:$E$963,('Input Data'!$B$20:$B$963=Changes!B89)*('Input Data'!$C$20:$C$963=Changes!C89),0)</f>
        <v>In-Orbit</v>
      </c>
      <c r="K89" s="347" cm="1">
        <f t="array" ref="K89">_xlfn._xlws.FILTER('Input Data'!$L$20:$L$963,('Input Data'!$B$20:$B$963=Changes!B89)*('Input Data'!$C$20:$C$963=Changes!C89),0)</f>
        <v>45877</v>
      </c>
      <c r="L89" s="356" t="str" cm="1">
        <f t="array" ref="L89">_xlfn._xlws.FILTER('[2]Input Data'!$D$20:$D$173,('[2]Input Data'!$B$20:$B$173=Changes!B89)*('[2]Input Data'!$C$20:$C$173=Changes!C89),0)</f>
        <v>In-Orbit</v>
      </c>
      <c r="M89" s="314">
        <f>IFERROR(INDEX('Input Data'!$P$10:$P$14,MATCH(DATEDIF($M$4,G89,"M"),'Input Data'!$O$10:$O$14,1)),0)</f>
        <v>0.4</v>
      </c>
      <c r="N89" s="227"/>
      <c r="O89" s="227">
        <f>INDEX('Input Data'!$P$10:$P$14,MATCH(DATEDIF($O$4,G89,"M"),'Input Data'!$O$10:$O$14,1))</f>
        <v>0.4</v>
      </c>
      <c r="P89" s="204">
        <f t="shared" si="13"/>
        <v>0</v>
      </c>
      <c r="R89" cm="1">
        <f t="array" ref="R89">_xlfn.LET(_xlpm.current,INDEX('Input Data'!$M$20:$M$963,MATCH(Changes!B89&amp;"_"&amp;Changes!C89,'Input Data'!$B$20:$B$963&amp;"_"&amp;'Input Data'!$C$20:$C$963,0)),_xlpm.prev,INDEX('[2]Input Data'!$L$20:$L$173,MATCH(B89&amp;"_"&amp;C89,'[2]Input Data'!$B$20:$B$173&amp;"_"&amp;'[2]Input Data'!$C$20:$C$173,0)),
IF(OR(ISNA(_xlpm.current),ISNA(_xlpm.prev)),0,_xlpm.current-_xlpm.prev))</f>
        <v>0</v>
      </c>
      <c r="S89" s="186" t="b">
        <f t="shared" si="15"/>
        <v>0</v>
      </c>
      <c r="T89" t="str" cm="1">
        <f t="array" ref="T89">IFERROR(_xlfn._xlws.FILTER('Input Data'!$N$20:$N$963,('Input Data'!$B$20:$B$963=Changes!B89)*('Input Data'!$C$20:$C$963=Changes!C89)),_xlfn._xlws.FILTER('[2]Input Data'!$M$20:$M$173,('[2]Input Data'!$B$20:$B$173=Changes!B89)*('[2]Input Data'!$C$20:$C$173=Changes!C89)))</f>
        <v>SSL (Space Systems/Loral)</v>
      </c>
      <c r="V89" s="348"/>
      <c r="W89" s="227"/>
      <c r="Y89" s="33"/>
      <c r="Z89" s="33"/>
      <c r="AD89" s="33"/>
      <c r="AE89" s="33"/>
    </row>
    <row r="90" spans="1:32" x14ac:dyDescent="0.35">
      <c r="A90">
        <f t="shared" si="14"/>
        <v>1</v>
      </c>
      <c r="B90" s="315">
        <v>359147</v>
      </c>
      <c r="C90" s="282">
        <v>489926</v>
      </c>
      <c r="D90" s="282" t="str">
        <v>KOMPSAT 7</v>
      </c>
      <c r="E90" s="282" t="str">
        <v>FUL</v>
      </c>
      <c r="F90" s="282" t="str">
        <v>LEO</v>
      </c>
      <c r="G90" s="283" cm="1">
        <f t="array" ref="G90">_xlfn.IFNA(INDEX('Input Data'!$M$20:$M$963,MATCH(Changes!B90&amp;"_"&amp;Changes!C90,'Input Data'!$B$20:$B$963&amp;"_"&amp;'Input Data'!$C$20:$C$963,0)),INDEX('[2]Input Data'!$L$20:$L$158,MATCH(B90&amp;"_"&amp;C90,'[2]Input Data'!$B$20:$B$158&amp;"_"&amp;'[2]Input Data'!$C$20:$C$158,0)))</f>
        <v>46357</v>
      </c>
      <c r="H90" s="313" cm="1">
        <f t="array" ref="H90">_xlfn._xlws.FILTER('Input Data'!$AA$20:$AA$963,('Input Data'!$B$20:$B$963=Changes!B90)*('Input Data'!$C$20:$C$963=Changes!C90),0)</f>
        <v>2003355.3188081901</v>
      </c>
      <c r="I90" s="313" cm="1">
        <f t="array" ref="I90">_xlfn._xlws.FILTER('[2]Input Data'!$AA$20:$AA$173,('[2]Input Data'!$B$20:$B$173=Changes!B90)*('[2]Input Data'!$C$20:$C$173=Changes!C90),0)</f>
        <v>2003355.3188081901</v>
      </c>
      <c r="J90" s="346" t="str" cm="1">
        <f t="array" ref="J90">_xlfn._xlws.FILTER('Input Data'!$E$20:$E$963,('Input Data'!$B$20:$B$963=Changes!B90)*('Input Data'!$C$20:$C$963=Changes!C90),0)</f>
        <v>L + 12 Months</v>
      </c>
      <c r="K90" s="347" cm="1">
        <f t="array" ref="K90">_xlfn._xlws.FILTER('Input Data'!$L$20:$L$963,('Input Data'!$B$20:$B$963=Changes!B90)*('Input Data'!$C$20:$C$963=Changes!C90),0)</f>
        <v>45992</v>
      </c>
      <c r="L90" s="356" t="str" cm="1">
        <f t="array" ref="L90">_xlfn._xlws.FILTER('[2]Input Data'!$D$20:$D$173,('[2]Input Data'!$B$20:$B$173=Changes!B90)*('[2]Input Data'!$C$20:$C$173=Changes!C90),0)</f>
        <v>L + 12 Months</v>
      </c>
      <c r="M90" s="314">
        <f>IFERROR(INDEX('Input Data'!$P$10:$P$14,MATCH(DATEDIF($M$4,G90,"M"),'Input Data'!$O$10:$O$14,1)),0)</f>
        <v>0.4</v>
      </c>
      <c r="N90" s="227"/>
      <c r="O90" s="227">
        <f>INDEX('Input Data'!$P$10:$P$14,MATCH(DATEDIF($O$4,G90,"M"),'Input Data'!$O$10:$O$14,1))</f>
        <v>0.4</v>
      </c>
      <c r="P90" s="204">
        <f t="shared" si="13"/>
        <v>0</v>
      </c>
      <c r="R90" cm="1">
        <f t="array" ref="R90">_xlfn.LET(_xlpm.current,INDEX('Input Data'!$M$20:$M$963,MATCH(Changes!B90&amp;"_"&amp;Changes!C90,'Input Data'!$B$20:$B$963&amp;"_"&amp;'Input Data'!$C$20:$C$963,0)),_xlpm.prev,INDEX('[2]Input Data'!$L$20:$L$173,MATCH(B90&amp;"_"&amp;C90,'[2]Input Data'!$B$20:$B$173&amp;"_"&amp;'[2]Input Data'!$C$20:$C$173,0)),
IF(OR(ISNA(_xlpm.current),ISNA(_xlpm.prev)),0,_xlpm.current-_xlpm.prev))</f>
        <v>0</v>
      </c>
      <c r="S90" s="186" t="b">
        <f t="shared" si="15"/>
        <v>0</v>
      </c>
      <c r="T90" t="str" cm="1">
        <f t="array" ref="T90">IFERROR(_xlfn._xlws.FILTER('Input Data'!$N$20:$N$963,('Input Data'!$B$20:$B$963=Changes!B90)*('Input Data'!$C$20:$C$963=Changes!C90)),_xlfn._xlws.FILTER('[2]Input Data'!$M$20:$M$173,('[2]Input Data'!$B$20:$B$173=Changes!B90)*('[2]Input Data'!$C$20:$C$173=Changes!C90)))</f>
        <v>KARI - Korea Aerospace Research Institute</v>
      </c>
      <c r="V90" s="348"/>
      <c r="W90" s="227"/>
      <c r="Y90" s="281" t="s">
        <v>604</v>
      </c>
    </row>
    <row r="91" spans="1:32" x14ac:dyDescent="0.35">
      <c r="A91">
        <f t="shared" si="14"/>
        <v>1</v>
      </c>
      <c r="B91" s="315">
        <v>360735</v>
      </c>
      <c r="C91" s="282">
        <v>492379</v>
      </c>
      <c r="D91" s="282" t="str">
        <v>TIBA 1 (NAVISAT 12A)</v>
      </c>
      <c r="E91" s="282" t="str">
        <v>FUL</v>
      </c>
      <c r="F91" s="282" t="str">
        <v>GEO-GSO</v>
      </c>
      <c r="G91" s="283" cm="1">
        <f t="array" ref="G91">_xlfn.IFNA(INDEX('Input Data'!$M$20:$M$963,MATCH(Changes!B91&amp;"_"&amp;Changes!C91,'Input Data'!$B$20:$B$963&amp;"_"&amp;'Input Data'!$C$20:$C$963,0)),INDEX('[2]Input Data'!$L$20:$L$158,MATCH(B91&amp;"_"&amp;C91,'[2]Input Data'!$B$20:$B$158&amp;"_"&amp;'[2]Input Data'!$C$20:$C$158,0)))</f>
        <v>46351</v>
      </c>
      <c r="H91" s="313" cm="1">
        <f t="array" ref="H91">_xlfn._xlws.FILTER('Input Data'!$AA$20:$AA$963,('Input Data'!$B$20:$B$963=Changes!B91)*('Input Data'!$C$20:$C$963=Changes!C91),0)</f>
        <v>21459222.698865999</v>
      </c>
      <c r="I91" s="313" cm="1">
        <f t="array" ref="I91">_xlfn._xlws.FILTER('[2]Input Data'!$AA$20:$AA$173,('[2]Input Data'!$B$20:$B$173=Changes!B91)*('[2]Input Data'!$C$20:$C$173=Changes!C91),0)</f>
        <v>21459222.698865999</v>
      </c>
      <c r="J91" s="346" t="str" cm="1">
        <f t="array" ref="J91">_xlfn._xlws.FILTER('Input Data'!$E$20:$E$963,('Input Data'!$B$20:$B$963=Changes!B91)*('Input Data'!$C$20:$C$963=Changes!C91),0)</f>
        <v>In-Orbit</v>
      </c>
      <c r="K91" s="347" cm="1">
        <f t="array" ref="K91">_xlfn._xlws.FILTER('Input Data'!$L$20:$L$963,('Input Data'!$B$20:$B$963=Changes!B91)*('Input Data'!$C$20:$C$963=Changes!C91),0)</f>
        <v>45987</v>
      </c>
      <c r="L91" s="356" t="str" cm="1">
        <f t="array" ref="L91">_xlfn._xlws.FILTER('[2]Input Data'!$D$20:$D$173,('[2]Input Data'!$B$20:$B$173=Changes!B91)*('[2]Input Data'!$C$20:$C$173=Changes!C91),0)</f>
        <v>In-Orbit</v>
      </c>
      <c r="M91" s="314">
        <f>IFERROR(INDEX('Input Data'!$P$10:$P$14,MATCH(DATEDIF($M$4,G91,"M"),'Input Data'!$O$10:$O$14,1)),0)</f>
        <v>0.4</v>
      </c>
      <c r="N91" s="227"/>
      <c r="O91" s="227">
        <f>INDEX('Input Data'!$P$10:$P$14,MATCH(DATEDIF($O$4,G91,"M"),'Input Data'!$O$10:$O$14,1))</f>
        <v>0.4</v>
      </c>
      <c r="P91" s="204">
        <f t="shared" si="13"/>
        <v>0</v>
      </c>
      <c r="R91" cm="1">
        <f t="array" ref="R91">_xlfn.LET(_xlpm.current,INDEX('Input Data'!$M$20:$M$963,MATCH(Changes!B91&amp;"_"&amp;Changes!C91,'Input Data'!$B$20:$B$963&amp;"_"&amp;'Input Data'!$C$20:$C$963,0)),_xlpm.prev,INDEX('[2]Input Data'!$L$20:$L$173,MATCH(B91&amp;"_"&amp;C91,'[2]Input Data'!$B$20:$B$173&amp;"_"&amp;'[2]Input Data'!$C$20:$C$173,0)),
IF(OR(ISNA(_xlpm.current),ISNA(_xlpm.prev)),0,_xlpm.current-_xlpm.prev))</f>
        <v>0</v>
      </c>
      <c r="S91" s="186" t="b">
        <f t="shared" si="15"/>
        <v>0</v>
      </c>
      <c r="T91" t="str" cm="1">
        <f t="array" ref="T91">IFERROR(_xlfn._xlws.FILTER('Input Data'!$N$20:$N$963,('Input Data'!$B$20:$B$963=Changes!B91)*('Input Data'!$C$20:$C$963=Changes!C91)),_xlfn._xlws.FILTER('[2]Input Data'!$M$20:$M$173,('[2]Input Data'!$B$20:$B$173=Changes!B91)*('[2]Input Data'!$C$20:$C$173=Changes!C91)))</f>
        <v>Airbus Defence and Space (Toulouse)</v>
      </c>
      <c r="V91" s="348"/>
      <c r="W91" s="227"/>
      <c r="X91" s="265" t="str" cm="1">
        <f t="array" ref="X91:X204">_xlfn.UNIQUE(_xlfn._xlws.FILTER($D$7:$D$999,$H$7:$H$999&gt;0))</f>
        <v>Arabsat BADR 8</v>
      </c>
      <c r="Y91" s="266" cm="1">
        <f t="array" ref="Y91:Y204">SUMIFS($H$7:$H$288,$D$7:$D$288,_xlfn.ANCHORARRAY(X91))</f>
        <v>25242749.444031801</v>
      </c>
      <c r="AC91" s="33"/>
    </row>
    <row r="92" spans="1:32" x14ac:dyDescent="0.35">
      <c r="A92">
        <f t="shared" si="14"/>
        <v>1</v>
      </c>
      <c r="B92" s="315">
        <v>360737</v>
      </c>
      <c r="C92" s="282">
        <v>492382</v>
      </c>
      <c r="D92" s="282" t="str">
        <v>MEASAT 3A (1R)</v>
      </c>
      <c r="E92" s="282" t="str">
        <v>FUL</v>
      </c>
      <c r="F92" s="282" t="str">
        <v>GEO-GSO</v>
      </c>
      <c r="G92" s="283" cm="1">
        <f t="array" ref="G92">_xlfn.IFNA(INDEX('Input Data'!$M$20:$M$963,MATCH(Changes!B92&amp;"_"&amp;Changes!C92,'Input Data'!$B$20:$B$963&amp;"_"&amp;'Input Data'!$C$20:$C$963,0)),INDEX('[2]Input Data'!$L$20:$L$158,MATCH(B92&amp;"_"&amp;C92,'[2]Input Data'!$B$20:$B$158&amp;"_"&amp;'[2]Input Data'!$C$20:$C$158,0)))</f>
        <v>46386</v>
      </c>
      <c r="H92" s="313" cm="1">
        <f t="array" ref="H92">_xlfn._xlws.FILTER('Input Data'!$AA$20:$AA$963,('Input Data'!$B$20:$B$963=Changes!B92)*('Input Data'!$C$20:$C$963=Changes!C92),0)</f>
        <v>494845.36</v>
      </c>
      <c r="I92" s="313" cm="1">
        <f t="array" ref="I92">_xlfn._xlws.FILTER('[2]Input Data'!$AA$20:$AA$173,('[2]Input Data'!$B$20:$B$173=Changes!B92)*('[2]Input Data'!$C$20:$C$173=Changes!C92),0)</f>
        <v>494845.36</v>
      </c>
      <c r="J92" s="346" t="str" cm="1">
        <f t="array" ref="J92">_xlfn._xlws.FILTER('Input Data'!$E$20:$E$963,('Input Data'!$B$20:$B$963=Changes!B92)*('Input Data'!$C$20:$C$963=Changes!C92),0)</f>
        <v>In-Orbit</v>
      </c>
      <c r="K92" s="347" cm="1">
        <f t="array" ref="K92">_xlfn._xlws.FILTER('Input Data'!$L$20:$L$963,('Input Data'!$B$20:$B$963=Changes!B92)*('Input Data'!$C$20:$C$963=Changes!C92),0)</f>
        <v>46022</v>
      </c>
      <c r="L92" s="356" t="str" cm="1">
        <f t="array" ref="L92">_xlfn._xlws.FILTER('[2]Input Data'!$D$20:$D$173,('[2]Input Data'!$B$20:$B$173=Changes!B92)*('[2]Input Data'!$C$20:$C$173=Changes!C92),0)</f>
        <v>In-Orbit</v>
      </c>
      <c r="M92" s="314">
        <f>IFERROR(INDEX('Input Data'!$P$10:$P$14,MATCH(DATEDIF($M$4,G92,"M"),'Input Data'!$O$10:$O$14,1)),0)</f>
        <v>0.4</v>
      </c>
      <c r="N92" s="227"/>
      <c r="O92" s="227">
        <f>INDEX('Input Data'!$P$10:$P$14,MATCH(DATEDIF($O$4,G92,"M"),'Input Data'!$O$10:$O$14,1))</f>
        <v>0.4</v>
      </c>
      <c r="P92" s="204">
        <f t="shared" si="13"/>
        <v>0</v>
      </c>
      <c r="R92" cm="1">
        <f t="array" ref="R92">_xlfn.LET(_xlpm.current,INDEX('Input Data'!$M$20:$M$963,MATCH(Changes!B92&amp;"_"&amp;Changes!C92,'Input Data'!$B$20:$B$963&amp;"_"&amp;'Input Data'!$C$20:$C$963,0)),_xlpm.prev,INDEX('[2]Input Data'!$L$20:$L$173,MATCH(B92&amp;"_"&amp;C92,'[2]Input Data'!$B$20:$B$173&amp;"_"&amp;'[2]Input Data'!$C$20:$C$173,0)),
IF(OR(ISNA(_xlpm.current),ISNA(_xlpm.prev)),0,_xlpm.current-_xlpm.prev))</f>
        <v>0</v>
      </c>
      <c r="S92" s="186" t="b">
        <f t="shared" si="15"/>
        <v>0</v>
      </c>
      <c r="T92" t="str" cm="1">
        <f t="array" ref="T92">IFERROR(_xlfn._xlws.FILTER('Input Data'!$N$20:$N$963,('Input Data'!$B$20:$B$963=Changes!B92)*('Input Data'!$C$20:$C$963=Changes!C92)),_xlfn._xlws.FILTER('[2]Input Data'!$M$20:$M$173,('[2]Input Data'!$B$20:$B$173=Changes!B92)*('[2]Input Data'!$C$20:$C$173=Changes!C92)))</f>
        <v>Orbital Sciences Corporation</v>
      </c>
      <c r="V92" s="348"/>
      <c r="W92" s="227"/>
      <c r="X92" s="265" t="str">
        <v>Arabsat 5A</v>
      </c>
      <c r="Y92" s="266">
        <v>102523.91331881699</v>
      </c>
      <c r="AC92" s="33"/>
    </row>
    <row r="93" spans="1:32" x14ac:dyDescent="0.35">
      <c r="A93">
        <f t="shared" si="14"/>
        <v>1</v>
      </c>
      <c r="B93" s="315">
        <v>360737</v>
      </c>
      <c r="C93" s="282">
        <v>492383</v>
      </c>
      <c r="D93" s="282" t="str">
        <v>MEASAT 3B</v>
      </c>
      <c r="E93" s="282" t="str">
        <v>FUL</v>
      </c>
      <c r="F93" s="282" t="str">
        <v>GEO-GSO</v>
      </c>
      <c r="G93" s="283" cm="1">
        <f t="array" ref="G93">_xlfn.IFNA(INDEX('Input Data'!$M$20:$M$963,MATCH(Changes!B93&amp;"_"&amp;Changes!C93,'Input Data'!$B$20:$B$963&amp;"_"&amp;'Input Data'!$C$20:$C$963,0)),INDEX('[2]Input Data'!$L$20:$L$158,MATCH(B93&amp;"_"&amp;C93,'[2]Input Data'!$B$20:$B$158&amp;"_"&amp;'[2]Input Data'!$C$20:$C$158,0)))</f>
        <v>46386</v>
      </c>
      <c r="H93" s="313" cm="1">
        <f t="array" ref="H93">_xlfn._xlws.FILTER('Input Data'!$AA$20:$AA$963,('Input Data'!$B$20:$B$963=Changes!B93)*('Input Data'!$C$20:$C$963=Changes!C93),0)</f>
        <v>2628865.9749999898</v>
      </c>
      <c r="I93" s="313" cm="1">
        <f t="array" ref="I93">_xlfn._xlws.FILTER('[2]Input Data'!$AA$20:$AA$173,('[2]Input Data'!$B$20:$B$173=Changes!B93)*('[2]Input Data'!$C$20:$C$173=Changes!C93),0)</f>
        <v>2628865.9749999898</v>
      </c>
      <c r="J93" s="346" t="str" cm="1">
        <f t="array" ref="J93">_xlfn._xlws.FILTER('Input Data'!$E$20:$E$963,('Input Data'!$B$20:$B$963=Changes!B93)*('Input Data'!$C$20:$C$963=Changes!C93),0)</f>
        <v>In-Orbit</v>
      </c>
      <c r="K93" s="347" cm="1">
        <f t="array" ref="K93">_xlfn._xlws.FILTER('Input Data'!$L$20:$L$963,('Input Data'!$B$20:$B$963=Changes!B93)*('Input Data'!$C$20:$C$963=Changes!C93),0)</f>
        <v>46022</v>
      </c>
      <c r="L93" s="356" t="str" cm="1">
        <f t="array" ref="L93">_xlfn._xlws.FILTER('[2]Input Data'!$D$20:$D$173,('[2]Input Data'!$B$20:$B$173=Changes!B93)*('[2]Input Data'!$C$20:$C$173=Changes!C93),0)</f>
        <v>In-Orbit</v>
      </c>
      <c r="M93" s="314">
        <f>IFERROR(INDEX('Input Data'!$P$10:$P$14,MATCH(DATEDIF($M$4,G93,"M"),'Input Data'!$O$10:$O$14,1)),0)</f>
        <v>0.4</v>
      </c>
      <c r="N93" s="227"/>
      <c r="O93" s="227">
        <f>INDEX('Input Data'!$P$10:$P$14,MATCH(DATEDIF($O$4,G93,"M"),'Input Data'!$O$10:$O$14,1))</f>
        <v>0.4</v>
      </c>
      <c r="P93" s="204">
        <f t="shared" si="13"/>
        <v>0</v>
      </c>
      <c r="R93" cm="1">
        <f t="array" ref="R93">_xlfn.LET(_xlpm.current,INDEX('Input Data'!$M$20:$M$963,MATCH(Changes!B93&amp;"_"&amp;Changes!C93,'Input Data'!$B$20:$B$963&amp;"_"&amp;'Input Data'!$C$20:$C$963,0)),_xlpm.prev,INDEX('[2]Input Data'!$L$20:$L$173,MATCH(B93&amp;"_"&amp;C93,'[2]Input Data'!$B$20:$B$173&amp;"_"&amp;'[2]Input Data'!$C$20:$C$173,0)),
IF(OR(ISNA(_xlpm.current),ISNA(_xlpm.prev)),0,_xlpm.current-_xlpm.prev))</f>
        <v>0</v>
      </c>
      <c r="S93" s="186" t="b">
        <f t="shared" si="15"/>
        <v>0</v>
      </c>
      <c r="T93" t="str" cm="1">
        <f t="array" ref="T93">IFERROR(_xlfn._xlws.FILTER('Input Data'!$N$20:$N$963,('Input Data'!$B$20:$B$963=Changes!B93)*('Input Data'!$C$20:$C$963=Changes!C93)),_xlfn._xlws.FILTER('[2]Input Data'!$M$20:$M$173,('[2]Input Data'!$B$20:$B$173=Changes!B93)*('[2]Input Data'!$C$20:$C$173=Changes!C93)))</f>
        <v>Airbus Defence and Space (Toulouse)</v>
      </c>
      <c r="V93" s="348"/>
      <c r="W93" s="227"/>
      <c r="X93" s="265" t="str">
        <v>Arabsat 5B</v>
      </c>
      <c r="Y93" s="266">
        <v>5146207.4986625696</v>
      </c>
      <c r="AC93" s="33"/>
    </row>
    <row r="94" spans="1:32" x14ac:dyDescent="0.35">
      <c r="A94">
        <f t="shared" si="14"/>
        <v>1</v>
      </c>
      <c r="B94" s="315">
        <v>361505</v>
      </c>
      <c r="C94" s="282">
        <v>494217</v>
      </c>
      <c r="D94" s="282" t="str">
        <v>MEASAT 3D</v>
      </c>
      <c r="E94" s="282" t="str">
        <v>FUL</v>
      </c>
      <c r="F94" s="282" t="str">
        <v>GEO-GSO</v>
      </c>
      <c r="G94" s="283" cm="1">
        <f t="array" ref="G94">_xlfn.IFNA(INDEX('Input Data'!$M$20:$M$963,MATCH(Changes!B94&amp;"_"&amp;Changes!C94,'Input Data'!$B$20:$B$963&amp;"_"&amp;'Input Data'!$C$20:$C$963,0)),INDEX('[2]Input Data'!$L$20:$L$158,MATCH(B94&amp;"_"&amp;C94,'[2]Input Data'!$B$20:$B$158&amp;"_"&amp;'[2]Input Data'!$C$20:$C$158,0)))</f>
        <v>46387</v>
      </c>
      <c r="H94" s="313" cm="1">
        <f t="array" ref="H94">_xlfn._xlws.FILTER('Input Data'!$AA$20:$AA$963,('Input Data'!$B$20:$B$963=Changes!B94)*('Input Data'!$C$20:$C$963=Changes!C94),0)</f>
        <v>3741030.9215999902</v>
      </c>
      <c r="I94" s="313" cm="1">
        <f t="array" ref="I94">_xlfn._xlws.FILTER('[2]Input Data'!$AA$20:$AA$173,('[2]Input Data'!$B$20:$B$173=Changes!B94)*('[2]Input Data'!$C$20:$C$173=Changes!C94),0)</f>
        <v>3741030.9215999902</v>
      </c>
      <c r="J94" s="346" t="str" cm="1">
        <f t="array" ref="J94">_xlfn._xlws.FILTER('Input Data'!$E$20:$E$963,('Input Data'!$B$20:$B$963=Changes!B94)*('Input Data'!$C$20:$C$963=Changes!C94),0)</f>
        <v>In-Orbit</v>
      </c>
      <c r="K94" s="347" cm="1">
        <f t="array" ref="K94">_xlfn._xlws.FILTER('Input Data'!$L$20:$L$963,('Input Data'!$B$20:$B$963=Changes!B94)*('Input Data'!$C$20:$C$963=Changes!C94),0)</f>
        <v>46022</v>
      </c>
      <c r="L94" s="356" t="str" cm="1">
        <f t="array" ref="L94">_xlfn._xlws.FILTER('[2]Input Data'!$D$20:$D$173,('[2]Input Data'!$B$20:$B$173=Changes!B94)*('[2]Input Data'!$C$20:$C$173=Changes!C94),0)</f>
        <v>In-Orbit</v>
      </c>
      <c r="M94" s="314">
        <f>IFERROR(INDEX('Input Data'!$P$10:$P$14,MATCH(DATEDIF($M$4,G94,"M"),'Input Data'!$O$10:$O$14,1)),0)</f>
        <v>0.4</v>
      </c>
      <c r="N94" s="227"/>
      <c r="O94" s="227">
        <f>INDEX('Input Data'!$P$10:$P$14,MATCH(DATEDIF($O$4,G94,"M"),'Input Data'!$O$10:$O$14,1))</f>
        <v>0.4</v>
      </c>
      <c r="P94" s="204">
        <f t="shared" si="13"/>
        <v>0</v>
      </c>
      <c r="R94" cm="1">
        <f t="array" ref="R94">_xlfn.LET(_xlpm.current,INDEX('Input Data'!$M$20:$M$963,MATCH(Changes!B94&amp;"_"&amp;Changes!C94,'Input Data'!$B$20:$B$963&amp;"_"&amp;'Input Data'!$C$20:$C$963,0)),_xlpm.prev,INDEX('[2]Input Data'!$L$20:$L$173,MATCH(B94&amp;"_"&amp;C94,'[2]Input Data'!$B$20:$B$173&amp;"_"&amp;'[2]Input Data'!$C$20:$C$173,0)),
IF(OR(ISNA(_xlpm.current),ISNA(_xlpm.prev)),0,_xlpm.current-_xlpm.prev))</f>
        <v>0</v>
      </c>
      <c r="S94" s="186" t="b">
        <f t="shared" si="15"/>
        <v>0</v>
      </c>
      <c r="T94" t="str" cm="1">
        <f t="array" ref="T94">IFERROR(_xlfn._xlws.FILTER('Input Data'!$N$20:$N$963,('Input Data'!$B$20:$B$963=Changes!B94)*('Input Data'!$C$20:$C$963=Changes!C94)),_xlfn._xlws.FILTER('[2]Input Data'!$M$20:$M$173,('[2]Input Data'!$B$20:$B$173=Changes!B94)*('[2]Input Data'!$C$20:$C$173=Changes!C94)))</f>
        <v>Airbus Defence and Space (Toulouse)</v>
      </c>
      <c r="V94" s="348"/>
      <c r="W94" s="227"/>
      <c r="X94" s="265" t="str">
        <v>Arabsat 5C</v>
      </c>
      <c r="Y94" s="266">
        <v>819140.00562610605</v>
      </c>
      <c r="AC94" s="33"/>
    </row>
    <row r="95" spans="1:32" x14ac:dyDescent="0.35">
      <c r="A95">
        <f t="shared" si="14"/>
        <v>1</v>
      </c>
      <c r="B95" s="315">
        <v>361505</v>
      </c>
      <c r="C95" s="282">
        <v>494218</v>
      </c>
      <c r="D95" s="282" t="str">
        <v>MEASAT 3D</v>
      </c>
      <c r="E95" s="282" t="str">
        <v>FUL</v>
      </c>
      <c r="F95" s="282" t="str">
        <v>GEO-GSO</v>
      </c>
      <c r="G95" s="283" cm="1">
        <f t="array" ref="G95">_xlfn.IFNA(INDEX('Input Data'!$M$20:$M$963,MATCH(Changes!B95&amp;"_"&amp;Changes!C95,'Input Data'!$B$20:$B$963&amp;"_"&amp;'Input Data'!$C$20:$C$963,0)),INDEX('[2]Input Data'!$L$20:$L$158,MATCH(B95&amp;"_"&amp;C95,'[2]Input Data'!$B$20:$B$158&amp;"_"&amp;'[2]Input Data'!$C$20:$C$158,0)))</f>
        <v>46387</v>
      </c>
      <c r="H95" s="313" cm="1">
        <f t="array" ref="H95">_xlfn._xlws.FILTER('Input Data'!$AA$20:$AA$963,('Input Data'!$B$20:$B$963=Changes!B95)*('Input Data'!$C$20:$C$963=Changes!C95),0)</f>
        <v>9248659.7784000002</v>
      </c>
      <c r="I95" s="313" cm="1">
        <f t="array" ref="I95">_xlfn._xlws.FILTER('[2]Input Data'!$AA$20:$AA$173,('[2]Input Data'!$B$20:$B$173=Changes!B95)*('[2]Input Data'!$C$20:$C$173=Changes!C95),0)</f>
        <v>9248659.7784000002</v>
      </c>
      <c r="J95" s="346" t="str" cm="1">
        <f t="array" ref="J95">_xlfn._xlws.FILTER('Input Data'!$E$20:$E$963,('Input Data'!$B$20:$B$963=Changes!B95)*('Input Data'!$C$20:$C$963=Changes!C95),0)</f>
        <v>In-Orbit</v>
      </c>
      <c r="K95" s="347" cm="1">
        <f t="array" ref="K95">_xlfn._xlws.FILTER('Input Data'!$L$20:$L$963,('Input Data'!$B$20:$B$963=Changes!B95)*('Input Data'!$C$20:$C$963=Changes!C95),0)</f>
        <v>46022</v>
      </c>
      <c r="L95" s="356" t="str" cm="1">
        <f t="array" ref="L95">_xlfn._xlws.FILTER('[2]Input Data'!$D$20:$D$173,('[2]Input Data'!$B$20:$B$173=Changes!B95)*('[2]Input Data'!$C$20:$C$173=Changes!C95),0)</f>
        <v>In-Orbit</v>
      </c>
      <c r="M95" s="314">
        <f>IFERROR(INDEX('Input Data'!$P$10:$P$14,MATCH(DATEDIF($M$4,G95,"M"),'Input Data'!$O$10:$O$14,1)),0)</f>
        <v>0.4</v>
      </c>
      <c r="N95" s="227"/>
      <c r="O95" s="227">
        <f>INDEX('Input Data'!$P$10:$P$14,MATCH(DATEDIF($O$4,G95,"M"),'Input Data'!$O$10:$O$14,1))</f>
        <v>0.4</v>
      </c>
      <c r="P95" s="204">
        <f t="shared" si="13"/>
        <v>0</v>
      </c>
      <c r="R95" cm="1">
        <f t="array" ref="R95">_xlfn.LET(_xlpm.current,INDEX('Input Data'!$M$20:$M$963,MATCH(Changes!B95&amp;"_"&amp;Changes!C95,'Input Data'!$B$20:$B$963&amp;"_"&amp;'Input Data'!$C$20:$C$963,0)),_xlpm.prev,INDEX('[2]Input Data'!$L$20:$L$173,MATCH(B95&amp;"_"&amp;C95,'[2]Input Data'!$B$20:$B$173&amp;"_"&amp;'[2]Input Data'!$C$20:$C$173,0)),
IF(OR(ISNA(_xlpm.current),ISNA(_xlpm.prev)),0,_xlpm.current-_xlpm.prev))</f>
        <v>0</v>
      </c>
      <c r="S95" s="186" t="b">
        <f t="shared" si="15"/>
        <v>0</v>
      </c>
      <c r="T95" t="str" cm="1">
        <f t="array" ref="T95">IFERROR(_xlfn._xlws.FILTER('Input Data'!$N$20:$N$963,('Input Data'!$B$20:$B$963=Changes!B95)*('Input Data'!$C$20:$C$963=Changes!C95)),_xlfn._xlws.FILTER('[2]Input Data'!$M$20:$M$173,('[2]Input Data'!$B$20:$B$173=Changes!B95)*('[2]Input Data'!$C$20:$C$173=Changes!C95)))</f>
        <v>Airbus Defence and Space (Toulouse)</v>
      </c>
      <c r="V95" s="348"/>
      <c r="W95" s="227"/>
      <c r="X95" s="265" t="str">
        <v>Arabsat BADR 7</v>
      </c>
      <c r="Y95" s="266">
        <v>9517167.3330825903</v>
      </c>
      <c r="AC95" s="33"/>
    </row>
    <row r="96" spans="1:32" x14ac:dyDescent="0.35">
      <c r="A96">
        <f t="shared" si="14"/>
        <v>1</v>
      </c>
      <c r="B96" s="315">
        <v>361530</v>
      </c>
      <c r="C96" s="282">
        <v>494323</v>
      </c>
      <c r="D96" s="282" t="str">
        <v>SATRIA</v>
      </c>
      <c r="E96" s="282" t="str">
        <v>FUL</v>
      </c>
      <c r="F96" s="282" t="str">
        <v>GEO-GSO</v>
      </c>
      <c r="G96" s="283" cm="1">
        <f t="array" ref="G96">_xlfn.IFNA(INDEX('Input Data'!$M$20:$M$963,MATCH(Changes!B96&amp;"_"&amp;Changes!C96,'Input Data'!$B$20:$B$963&amp;"_"&amp;'Input Data'!$C$20:$C$963,0)),INDEX('[2]Input Data'!$L$20:$L$158,MATCH(B96&amp;"_"&amp;C96,'[2]Input Data'!$B$20:$B$158&amp;"_"&amp;'[2]Input Data'!$C$20:$C$158,0)))</f>
        <v>46373</v>
      </c>
      <c r="H96" s="313" cm="1">
        <f t="array" ref="H96">_xlfn._xlws.FILTER('Input Data'!$AA$20:$AA$963,('Input Data'!$B$20:$B$963=Changes!B96)*('Input Data'!$C$20:$C$963=Changes!C96),0)</f>
        <v>18739856.257426601</v>
      </c>
      <c r="I96" s="313" cm="1">
        <f t="array" ref="I96">_xlfn._xlws.FILTER('[2]Input Data'!$AA$20:$AA$173,('[2]Input Data'!$B$20:$B$173=Changes!B96)*('[2]Input Data'!$C$20:$C$173=Changes!C96),0)</f>
        <v>18739855.6388699</v>
      </c>
      <c r="J96" s="346" t="str" cm="1">
        <f t="array" ref="J96">_xlfn._xlws.FILTER('Input Data'!$E$20:$E$963,('Input Data'!$B$20:$B$963=Changes!B96)*('Input Data'!$C$20:$C$963=Changes!C96),0)</f>
        <v>In-Orbit</v>
      </c>
      <c r="K96" s="347" cm="1">
        <f t="array" ref="K96">_xlfn._xlws.FILTER('Input Data'!$L$20:$L$963,('Input Data'!$B$20:$B$963=Changes!B96)*('Input Data'!$C$20:$C$963=Changes!C96),0)</f>
        <v>46009</v>
      </c>
      <c r="L96" s="356" t="str" cm="1">
        <f t="array" ref="L96">_xlfn._xlws.FILTER('[2]Input Data'!$D$20:$D$173,('[2]Input Data'!$B$20:$B$173=Changes!B96)*('[2]Input Data'!$C$20:$C$173=Changes!C96),0)</f>
        <v>In-Orbit</v>
      </c>
      <c r="M96" s="314">
        <f>IFERROR(INDEX('Input Data'!$P$10:$P$14,MATCH(DATEDIF($M$4,G96,"M"),'Input Data'!$O$10:$O$14,1)),0)</f>
        <v>0.4</v>
      </c>
      <c r="N96" s="227"/>
      <c r="O96" s="227">
        <f>INDEX('Input Data'!$P$10:$P$14,MATCH(DATEDIF($O$4,G96,"M"),'Input Data'!$O$10:$O$14,1))</f>
        <v>0.4</v>
      </c>
      <c r="P96" s="204">
        <f t="shared" si="13"/>
        <v>0.61855670064687729</v>
      </c>
      <c r="Q96" s="86" t="s">
        <v>357</v>
      </c>
      <c r="R96" cm="1">
        <f t="array" ref="R96">_xlfn.LET(_xlpm.current,INDEX('Input Data'!$M$20:$M$963,MATCH(Changes!B96&amp;"_"&amp;Changes!C96,'Input Data'!$B$20:$B$963&amp;"_"&amp;'Input Data'!$C$20:$C$963,0)),_xlpm.prev,INDEX('[2]Input Data'!$L$20:$L$173,MATCH(B96&amp;"_"&amp;C96,'[2]Input Data'!$B$20:$B$173&amp;"_"&amp;'[2]Input Data'!$C$20:$C$173,0)),
IF(OR(ISNA(_xlpm.current),ISNA(_xlpm.prev)),0,_xlpm.current-_xlpm.prev))</f>
        <v>0</v>
      </c>
      <c r="S96" s="186" t="b">
        <f t="shared" si="15"/>
        <v>0</v>
      </c>
      <c r="T96" t="str" cm="1">
        <f t="array" ref="T96">IFERROR(_xlfn._xlws.FILTER('Input Data'!$N$20:$N$963,('Input Data'!$B$20:$B$963=Changes!B96)*('Input Data'!$C$20:$C$963=Changes!C96)),_xlfn._xlws.FILTER('[2]Input Data'!$M$20:$M$173,('[2]Input Data'!$B$20:$B$173=Changes!B96)*('[2]Input Data'!$C$20:$C$173=Changes!C96)))</f>
        <v>Thales Alenia Space France (Cannes)</v>
      </c>
      <c r="V96" s="348"/>
      <c r="W96" s="227"/>
      <c r="X96" s="265" t="str">
        <v>Arabsat 6A</v>
      </c>
      <c r="Y96" s="266">
        <v>14528089.8904595</v>
      </c>
      <c r="AC96" s="33"/>
    </row>
    <row r="97" spans="1:29" x14ac:dyDescent="0.35">
      <c r="A97">
        <f t="shared" si="14"/>
        <v>1</v>
      </c>
      <c r="B97" s="315">
        <v>361682</v>
      </c>
      <c r="C97" s="282">
        <v>494911</v>
      </c>
      <c r="D97" s="282" t="str">
        <v>TURKSAT 4A</v>
      </c>
      <c r="E97" s="282" t="str">
        <v>FUL</v>
      </c>
      <c r="F97" s="282" t="str">
        <v>GEO-GSO</v>
      </c>
      <c r="G97" s="283" cm="1">
        <f t="array" ref="G97">_xlfn.IFNA(INDEX('Input Data'!$M$20:$M$963,MATCH(Changes!B97&amp;"_"&amp;Changes!C97,'Input Data'!$B$20:$B$963&amp;"_"&amp;'Input Data'!$C$20:$C$963,0)),INDEX('[2]Input Data'!$L$20:$L$152,MATCH(B97&amp;"_"&amp;C97,'[2]Input Data'!$B$20:$B$152&amp;"_"&amp;'[2]Input Data'!$C$20:$C$152,0)))</f>
        <v>46345</v>
      </c>
      <c r="H97" s="313" cm="1">
        <f t="array" ref="H97">_xlfn._xlws.FILTER('Input Data'!$AA$20:$AA$963,('Input Data'!$B$20:$B$963=Changes!B97)*('Input Data'!$C$20:$C$963=Changes!C97),0)</f>
        <v>3517988.0353738</v>
      </c>
      <c r="I97" s="313" cm="1">
        <f t="array" ref="I97">_xlfn._xlws.FILTER('[2]Input Data'!$AA$20:$AA$173,('[2]Input Data'!$B$20:$B$173=Changes!B97)*('[2]Input Data'!$C$20:$C$173=Changes!C97),0)</f>
        <v>3517988.0353738</v>
      </c>
      <c r="J97" s="346" t="str" cm="1">
        <f t="array" ref="J97">_xlfn._xlws.FILTER('Input Data'!$E$20:$E$963,('Input Data'!$B$20:$B$963=Changes!B97)*('Input Data'!$C$20:$C$963=Changes!C97),0)</f>
        <v>In-Orbit</v>
      </c>
      <c r="K97" s="347" cm="1">
        <f t="array" ref="K97">_xlfn._xlws.FILTER('Input Data'!$L$20:$L$963,('Input Data'!$B$20:$B$963=Changes!B97)*('Input Data'!$C$20:$C$963=Changes!C97),0)</f>
        <v>45981</v>
      </c>
      <c r="L97" s="356" t="str" cm="1">
        <f t="array" ref="L97">_xlfn._xlws.FILTER('[2]Input Data'!$D$20:$D$173,('[2]Input Data'!$B$20:$B$173=Changes!B97)*('[2]Input Data'!$C$20:$C$173=Changes!C97),0)</f>
        <v>In-Orbit</v>
      </c>
      <c r="M97" s="314">
        <f>IFERROR(INDEX('Input Data'!$P$10:$P$14,MATCH(DATEDIF($M$4,G97,"M"),'Input Data'!$O$10:$O$14,1)),0)</f>
        <v>0.4</v>
      </c>
      <c r="N97" s="227"/>
      <c r="O97" s="227">
        <f>INDEX('Input Data'!$P$10:$P$14,MATCH(DATEDIF($O$4,G97,"M"),'Input Data'!$O$10:$O$14,1))</f>
        <v>0.4</v>
      </c>
      <c r="P97" s="204">
        <f t="shared" si="13"/>
        <v>0</v>
      </c>
      <c r="R97" cm="1">
        <f t="array" ref="R97">_xlfn.LET(_xlpm.current,INDEX('Input Data'!$M$20:$M$963,MATCH(Changes!B97&amp;"_"&amp;Changes!C97,'Input Data'!$B$20:$B$963&amp;"_"&amp;'Input Data'!$C$20:$C$963,0)),_xlpm.prev,INDEX('[2]Input Data'!$L$20:$L$173,MATCH(B97&amp;"_"&amp;C97,'[2]Input Data'!$B$20:$B$173&amp;"_"&amp;'[2]Input Data'!$C$20:$C$173,0)),
IF(OR(ISNA(_xlpm.current),ISNA(_xlpm.prev)),0,_xlpm.current-_xlpm.prev))</f>
        <v>0</v>
      </c>
      <c r="S97" s="186" t="b">
        <f t="shared" si="15"/>
        <v>0</v>
      </c>
      <c r="T97" t="str" cm="1">
        <f t="array" ref="T97">IFERROR(_xlfn._xlws.FILTER('Input Data'!$N$20:$N$963,('Input Data'!$B$20:$B$963=Changes!B97)*('Input Data'!$C$20:$C$963=Changes!C97)),_xlfn._xlws.FILTER('[2]Input Data'!$M$20:$M$173,('[2]Input Data'!$B$20:$B$173=Changes!B97)*('[2]Input Data'!$C$20:$C$173=Changes!C97)))</f>
        <v>Mitsubishi Electric Corp (MELCO)</v>
      </c>
      <c r="V97" s="348"/>
      <c r="W97" s="227"/>
      <c r="X97" s="265" t="str">
        <v>EUTELSAT 36D</v>
      </c>
      <c r="Y97" s="266">
        <v>19814782.423728701</v>
      </c>
      <c r="AC97" s="33"/>
    </row>
    <row r="98" spans="1:29" x14ac:dyDescent="0.35">
      <c r="A98">
        <f t="shared" si="14"/>
        <v>1</v>
      </c>
      <c r="B98" s="315">
        <v>361682</v>
      </c>
      <c r="C98" s="282">
        <v>494912</v>
      </c>
      <c r="D98" s="282" t="str">
        <v>TURKSAT 5B</v>
      </c>
      <c r="E98" s="282" t="str">
        <v>FUL</v>
      </c>
      <c r="F98" s="282" t="str">
        <v>GEO-GSO</v>
      </c>
      <c r="G98" s="283" cm="1">
        <f t="array" ref="G98">_xlfn.IFNA(INDEX('Input Data'!$M$20:$M$963,MATCH(Changes!B98&amp;"_"&amp;Changes!C98,'Input Data'!$B$20:$B$963&amp;"_"&amp;'Input Data'!$C$20:$C$963,0)),INDEX('[2]Input Data'!$L$20:$L$158,MATCH(B98&amp;"_"&amp;C98,'[2]Input Data'!$B$20:$B$158&amp;"_"&amp;'[2]Input Data'!$C$20:$C$158,0)))</f>
        <v>46345</v>
      </c>
      <c r="H98" s="313" cm="1">
        <f t="array" ref="H98">_xlfn._xlws.FILTER('Input Data'!$AA$20:$AA$963,('Input Data'!$B$20:$B$963=Changes!B98)*('Input Data'!$C$20:$C$963=Changes!C98),0)</f>
        <v>9526861.2212352995</v>
      </c>
      <c r="I98" s="313" cm="1">
        <f t="array" ref="I98">_xlfn._xlws.FILTER('[2]Input Data'!$AA$20:$AA$173,('[2]Input Data'!$B$20:$B$173=Changes!B98)*('[2]Input Data'!$C$20:$C$173=Changes!C98),0)</f>
        <v>9526861.2212352995</v>
      </c>
      <c r="J98" s="346" t="str" cm="1">
        <f t="array" ref="J98">_xlfn._xlws.FILTER('Input Data'!$E$20:$E$963,('Input Data'!$B$20:$B$963=Changes!B98)*('Input Data'!$C$20:$C$963=Changes!C98),0)</f>
        <v>In-Orbit</v>
      </c>
      <c r="K98" s="347" cm="1">
        <f t="array" ref="K98">_xlfn._xlws.FILTER('Input Data'!$L$20:$L$963,('Input Data'!$B$20:$B$963=Changes!B98)*('Input Data'!$C$20:$C$963=Changes!C98),0)</f>
        <v>45981</v>
      </c>
      <c r="L98" s="356" t="str" cm="1">
        <f t="array" ref="L98">_xlfn._xlws.FILTER('[2]Input Data'!$D$20:$D$173,('[2]Input Data'!$B$20:$B$173=Changes!B98)*('[2]Input Data'!$C$20:$C$173=Changes!C98),0)</f>
        <v>In-Orbit</v>
      </c>
      <c r="M98" s="314">
        <f>IFERROR(INDEX('Input Data'!$P$10:$P$14,MATCH(DATEDIF($M$4,G98,"M"),'Input Data'!$O$10:$O$14,1)),0)</f>
        <v>0.4</v>
      </c>
      <c r="N98" s="227"/>
      <c r="O98" s="227">
        <f>INDEX('Input Data'!$P$10:$P$14,MATCH(DATEDIF($O$4,G98,"M"),'Input Data'!$O$10:$O$14,1))</f>
        <v>0.4</v>
      </c>
      <c r="P98" s="204">
        <f t="shared" si="13"/>
        <v>0</v>
      </c>
      <c r="R98" cm="1">
        <f t="array" ref="R98">_xlfn.LET(_xlpm.current,INDEX('Input Data'!$M$20:$M$963,MATCH(Changes!B98&amp;"_"&amp;Changes!C98,'Input Data'!$B$20:$B$963&amp;"_"&amp;'Input Data'!$C$20:$C$963,0)),_xlpm.prev,INDEX('[2]Input Data'!$L$20:$L$173,MATCH(B98&amp;"_"&amp;C98,'[2]Input Data'!$B$20:$B$173&amp;"_"&amp;'[2]Input Data'!$C$20:$C$173,0)),
IF(OR(ISNA(_xlpm.current),ISNA(_xlpm.prev)),0,_xlpm.current-_xlpm.prev))</f>
        <v>0</v>
      </c>
      <c r="S98" s="186" t="b">
        <f t="shared" si="15"/>
        <v>0</v>
      </c>
      <c r="T98" t="str" cm="1">
        <f t="array" ref="T98">IFERROR(_xlfn._xlws.FILTER('Input Data'!$N$20:$N$963,('Input Data'!$B$20:$B$963=Changes!B98)*('Input Data'!$C$20:$C$963=Changes!C98)),_xlfn._xlws.FILTER('[2]Input Data'!$M$20:$M$173,('[2]Input Data'!$B$20:$B$173=Changes!B98)*('[2]Input Data'!$C$20:$C$173=Changes!C98)))</f>
        <v>Airbus Defence and Space (Toulouse)</v>
      </c>
      <c r="V98" s="348"/>
      <c r="W98" s="227"/>
      <c r="X98" s="265" t="str">
        <v>W7/E36B</v>
      </c>
      <c r="Y98" s="266">
        <v>3567555.5732371002</v>
      </c>
      <c r="AC98" s="33"/>
    </row>
    <row r="99" spans="1:29" x14ac:dyDescent="0.35">
      <c r="A99">
        <f t="shared" si="14"/>
        <v>1</v>
      </c>
      <c r="B99" s="315">
        <v>361682</v>
      </c>
      <c r="C99" s="282">
        <v>494913</v>
      </c>
      <c r="D99" s="282" t="str">
        <v>TURKSAT 5A</v>
      </c>
      <c r="E99" s="282" t="str">
        <v>FUL</v>
      </c>
      <c r="F99" s="282" t="str">
        <v>GEO-GSO</v>
      </c>
      <c r="G99" s="283" cm="1">
        <f t="array" ref="G99">_xlfn.IFNA(INDEX('Input Data'!$M$20:$M$963,MATCH(Changes!B99&amp;"_"&amp;Changes!C99,'Input Data'!$B$20:$B$963&amp;"_"&amp;'Input Data'!$C$20:$C$963,0)),INDEX('[2]Input Data'!$L$20:$L$158,MATCH(B99&amp;"_"&amp;C99,'[2]Input Data'!$B$20:$B$158&amp;"_"&amp;'[2]Input Data'!$C$20:$C$158,0)))</f>
        <v>46345</v>
      </c>
      <c r="H99" s="313" cm="1">
        <f t="array" ref="H99">_xlfn._xlws.FILTER('Input Data'!$AA$20:$AA$963,('Input Data'!$B$20:$B$963=Changes!B99)*('Input Data'!$C$20:$C$963=Changes!C99),0)</f>
        <v>9082562.4590891991</v>
      </c>
      <c r="I99" s="313" cm="1">
        <f t="array" ref="I99">_xlfn._xlws.FILTER('[2]Input Data'!$AA$20:$AA$173,('[2]Input Data'!$B$20:$B$173=Changes!B99)*('[2]Input Data'!$C$20:$C$173=Changes!C99),0)</f>
        <v>9082562.4590891991</v>
      </c>
      <c r="J99" s="346" t="str" cm="1">
        <f t="array" ref="J99">_xlfn._xlws.FILTER('Input Data'!$E$20:$E$963,('Input Data'!$B$20:$B$963=Changes!B99)*('Input Data'!$C$20:$C$963=Changes!C99),0)</f>
        <v>In-Orbit</v>
      </c>
      <c r="K99" s="347" cm="1">
        <f t="array" ref="K99">_xlfn._xlws.FILTER('Input Data'!$L$20:$L$963,('Input Data'!$B$20:$B$963=Changes!B99)*('Input Data'!$C$20:$C$963=Changes!C99),0)</f>
        <v>45981</v>
      </c>
      <c r="L99" s="356" t="str" cm="1">
        <f t="array" ref="L99">_xlfn._xlws.FILTER('[2]Input Data'!$D$20:$D$173,('[2]Input Data'!$B$20:$B$173=Changes!B99)*('[2]Input Data'!$C$20:$C$173=Changes!C99),0)</f>
        <v>In-Orbit</v>
      </c>
      <c r="M99" s="314">
        <f>IFERROR(INDEX('Input Data'!$P$10:$P$14,MATCH(DATEDIF($M$4,G99,"M"),'Input Data'!$O$10:$O$14,1)),0)</f>
        <v>0.4</v>
      </c>
      <c r="N99" s="227"/>
      <c r="O99" s="227">
        <f>INDEX('Input Data'!$P$10:$P$14,MATCH(DATEDIF($O$4,G99,"M"),'Input Data'!$O$10:$O$14,1))</f>
        <v>0.4</v>
      </c>
      <c r="P99" s="204">
        <f t="shared" si="13"/>
        <v>0</v>
      </c>
      <c r="R99" cm="1">
        <f t="array" ref="R99">_xlfn.LET(_xlpm.current,INDEX('Input Data'!$M$20:$M$963,MATCH(Changes!B99&amp;"_"&amp;Changes!C99,'Input Data'!$B$20:$B$963&amp;"_"&amp;'Input Data'!$C$20:$C$963,0)),_xlpm.prev,INDEX('[2]Input Data'!$L$20:$L$173,MATCH(B99&amp;"_"&amp;C99,'[2]Input Data'!$B$20:$B$173&amp;"_"&amp;'[2]Input Data'!$C$20:$C$173,0)),
IF(OR(ISNA(_xlpm.current),ISNA(_xlpm.prev)),0,_xlpm.current-_xlpm.prev))</f>
        <v>0</v>
      </c>
      <c r="S99" s="186" t="b">
        <f t="shared" si="15"/>
        <v>0</v>
      </c>
      <c r="T99" t="str" cm="1">
        <f t="array" ref="T99">IFERROR(_xlfn._xlws.FILTER('Input Data'!$N$20:$N$963,('Input Data'!$B$20:$B$963=Changes!B99)*('Input Data'!$C$20:$C$963=Changes!C99)),_xlfn._xlws.FILTER('[2]Input Data'!$M$20:$M$173,('[2]Input Data'!$B$20:$B$173=Changes!B99)*('[2]Input Data'!$C$20:$C$173=Changes!C99)))</f>
        <v>Airbus Defence and Space (Toulouse)</v>
      </c>
      <c r="V99" s="348"/>
      <c r="W99" s="227"/>
      <c r="X99" s="265" t="str">
        <v>E115WB (S7)</v>
      </c>
      <c r="Y99" s="266">
        <v>3955653.7664769501</v>
      </c>
      <c r="AC99" s="33"/>
    </row>
    <row r="100" spans="1:29" x14ac:dyDescent="0.35">
      <c r="A100">
        <f t="shared" si="14"/>
        <v>1</v>
      </c>
      <c r="B100" s="315">
        <v>361682</v>
      </c>
      <c r="C100" s="282">
        <v>494914</v>
      </c>
      <c r="D100" s="282" t="str">
        <v>TURKSAT 4B</v>
      </c>
      <c r="E100" s="282" t="str">
        <v>FUL</v>
      </c>
      <c r="F100" s="282" t="str">
        <v>GEO-GSO</v>
      </c>
      <c r="G100" s="283" cm="1">
        <f t="array" ref="G100">_xlfn.IFNA(INDEX('Input Data'!$M$20:$M$963,MATCH(Changes!B100&amp;"_"&amp;Changes!C100,'Input Data'!$B$20:$B$963&amp;"_"&amp;'Input Data'!$C$20:$C$963,0)),INDEX('[2]Input Data'!$L$20:$L$158,MATCH(B100&amp;"_"&amp;C100,'[2]Input Data'!$B$20:$B$158&amp;"_"&amp;'[2]Input Data'!$C$20:$C$158,0)))</f>
        <v>46345</v>
      </c>
      <c r="H100" s="313" cm="1">
        <f t="array" ref="H100">_xlfn._xlws.FILTER('Input Data'!$AA$20:$AA$963,('Input Data'!$B$20:$B$963=Changes!B100)*('Input Data'!$C$20:$C$963=Changes!C100),0)</f>
        <v>4597175.8686266998</v>
      </c>
      <c r="I100" s="313" cm="1">
        <f t="array" ref="I100">_xlfn._xlws.FILTER('[2]Input Data'!$AA$20:$AA$173,('[2]Input Data'!$B$20:$B$173=Changes!B100)*('[2]Input Data'!$C$20:$C$173=Changes!C100),0)</f>
        <v>4597175.8686266998</v>
      </c>
      <c r="J100" s="346" t="str" cm="1">
        <f t="array" ref="J100">_xlfn._xlws.FILTER('Input Data'!$E$20:$E$963,('Input Data'!$B$20:$B$963=Changes!B100)*('Input Data'!$C$20:$C$963=Changes!C100),0)</f>
        <v>In-Orbit</v>
      </c>
      <c r="K100" s="347" cm="1">
        <f t="array" ref="K100">_xlfn._xlws.FILTER('Input Data'!$L$20:$L$963,('Input Data'!$B$20:$B$963=Changes!B100)*('Input Data'!$C$20:$C$963=Changes!C100),0)</f>
        <v>45981</v>
      </c>
      <c r="L100" s="356" t="str" cm="1">
        <f t="array" ref="L100">_xlfn._xlws.FILTER('[2]Input Data'!$D$20:$D$173,('[2]Input Data'!$B$20:$B$173=Changes!B100)*('[2]Input Data'!$C$20:$C$173=Changes!C100),0)</f>
        <v>In-Orbit</v>
      </c>
      <c r="M100" s="314">
        <f>IFERROR(INDEX('Input Data'!$P$10:$P$14,MATCH(DATEDIF($M$4,G100,"M"),'Input Data'!$O$10:$O$14,1)),0)</f>
        <v>0.4</v>
      </c>
      <c r="N100" s="227"/>
      <c r="O100" s="227">
        <f>INDEX('Input Data'!$P$10:$P$14,MATCH(DATEDIF($O$4,G100,"M"),'Input Data'!$O$10:$O$14,1))</f>
        <v>0.4</v>
      </c>
      <c r="P100" s="204">
        <f t="shared" si="13"/>
        <v>0</v>
      </c>
      <c r="R100" cm="1">
        <f t="array" ref="R100">_xlfn.LET(_xlpm.current,INDEX('Input Data'!$M$20:$M$963,MATCH(Changes!B100&amp;"_"&amp;Changes!C100,'Input Data'!$B$20:$B$963&amp;"_"&amp;'Input Data'!$C$20:$C$963,0)),_xlpm.prev,INDEX('[2]Input Data'!$L$20:$L$173,MATCH(B100&amp;"_"&amp;C100,'[2]Input Data'!$B$20:$B$173&amp;"_"&amp;'[2]Input Data'!$C$20:$C$173,0)),
IF(OR(ISNA(_xlpm.current),ISNA(_xlpm.prev)),0,_xlpm.current-_xlpm.prev))</f>
        <v>0</v>
      </c>
      <c r="S100" s="186" t="b">
        <f t="shared" si="15"/>
        <v>0</v>
      </c>
      <c r="T100" t="str" cm="1">
        <f t="array" ref="T100">IFERROR(_xlfn._xlws.FILTER('Input Data'!$N$20:$N$963,('Input Data'!$B$20:$B$963=Changes!B100)*('Input Data'!$C$20:$C$963=Changes!C100)),_xlfn._xlws.FILTER('[2]Input Data'!$M$20:$M$173,('[2]Input Data'!$B$20:$B$173=Changes!B100)*('[2]Input Data'!$C$20:$C$173=Changes!C100)))</f>
        <v>Mitsubishi Electric Corp (MELCO)</v>
      </c>
      <c r="V100" s="348"/>
      <c r="W100" s="227"/>
      <c r="X100" s="265" t="str">
        <v>W3C/E16A</v>
      </c>
      <c r="Y100" s="266">
        <v>11679640.312677</v>
      </c>
      <c r="AC100" s="33"/>
    </row>
    <row r="101" spans="1:29" x14ac:dyDescent="0.35">
      <c r="A101">
        <f t="shared" si="14"/>
        <v>1</v>
      </c>
      <c r="B101" s="315">
        <v>361696</v>
      </c>
      <c r="C101" s="282">
        <v>494972</v>
      </c>
      <c r="D101" s="282" t="str">
        <v>TURKSAT 4A</v>
      </c>
      <c r="E101" s="282" t="str">
        <v>FUL</v>
      </c>
      <c r="F101" s="282" t="str">
        <v>GEO-GSO</v>
      </c>
      <c r="G101" s="283" cm="1">
        <f t="array" ref="G101">_xlfn.IFNA(INDEX('Input Data'!$M$20:$M$963,MATCH(Changes!B101&amp;"_"&amp;Changes!C101,'Input Data'!$B$20:$B$963&amp;"_"&amp;'Input Data'!$C$20:$C$963,0)),INDEX('[2]Input Data'!$L$20:$L$158,MATCH(B101&amp;"_"&amp;C101,'[2]Input Data'!$B$20:$B$158&amp;"_"&amp;'[2]Input Data'!$C$20:$C$158,0)))</f>
        <v>46345</v>
      </c>
      <c r="H101" s="313" cm="1">
        <f t="array" ref="H101">_xlfn._xlws.FILTER('Input Data'!$AA$20:$AA$963,('Input Data'!$B$20:$B$963=Changes!B101)*('Input Data'!$C$20:$C$963=Changes!C101),0)</f>
        <v>1172662.8846435</v>
      </c>
      <c r="I101" s="313" cm="1">
        <f t="array" ref="I101">_xlfn._xlws.FILTER('[2]Input Data'!$AA$20:$AA$173,('[2]Input Data'!$B$20:$B$173=Changes!B101)*('[2]Input Data'!$C$20:$C$173=Changes!C101),0)</f>
        <v>1172662.8846435</v>
      </c>
      <c r="J101" s="346" t="str" cm="1">
        <f t="array" ref="J101">_xlfn._xlws.FILTER('Input Data'!$E$20:$E$963,('Input Data'!$B$20:$B$963=Changes!B101)*('Input Data'!$C$20:$C$963=Changes!C101),0)</f>
        <v>In-Orbit</v>
      </c>
      <c r="K101" s="347" cm="1">
        <f t="array" ref="K101">_xlfn._xlws.FILTER('Input Data'!$L$20:$L$963,('Input Data'!$B$20:$B$963=Changes!B101)*('Input Data'!$C$20:$C$963=Changes!C101),0)</f>
        <v>45981</v>
      </c>
      <c r="L101" s="356" t="str" cm="1">
        <f t="array" ref="L101">_xlfn._xlws.FILTER('[2]Input Data'!$D$20:$D$173,('[2]Input Data'!$B$20:$B$173=Changes!B101)*('[2]Input Data'!$C$20:$C$173=Changes!C101),0)</f>
        <v>In-Orbit</v>
      </c>
      <c r="M101" s="314">
        <f>IFERROR(INDEX('Input Data'!$P$10:$P$14,MATCH(DATEDIF($M$4,G101,"M"),'Input Data'!$O$10:$O$14,1)),0)</f>
        <v>0.4</v>
      </c>
      <c r="N101" s="227"/>
      <c r="O101" s="227">
        <f>INDEX('Input Data'!$P$10:$P$14,MATCH(DATEDIF($O$4,G101,"M"),'Input Data'!$O$10:$O$14,1))</f>
        <v>0.4</v>
      </c>
      <c r="P101" s="204">
        <f t="shared" si="13"/>
        <v>0</v>
      </c>
      <c r="R101" cm="1">
        <f t="array" ref="R101">_xlfn.LET(_xlpm.current,INDEX('Input Data'!$M$20:$M$963,MATCH(Changes!B101&amp;"_"&amp;Changes!C101,'Input Data'!$B$20:$B$963&amp;"_"&amp;'Input Data'!$C$20:$C$963,0)),_xlpm.prev,INDEX('[2]Input Data'!$L$20:$L$173,MATCH(B101&amp;"_"&amp;C101,'[2]Input Data'!$B$20:$B$173&amp;"_"&amp;'[2]Input Data'!$C$20:$C$173,0)),
IF(OR(ISNA(_xlpm.current),ISNA(_xlpm.prev)),0,_xlpm.current-_xlpm.prev))</f>
        <v>0</v>
      </c>
      <c r="S101" s="186" t="b">
        <f t="shared" si="15"/>
        <v>0</v>
      </c>
      <c r="T101" t="str" cm="1">
        <f t="array" ref="T101">IFERROR(_xlfn._xlws.FILTER('Input Data'!$N$20:$N$963,('Input Data'!$B$20:$B$963=Changes!B101)*('Input Data'!$C$20:$C$963=Changes!C101)),_xlfn._xlws.FILTER('[2]Input Data'!$M$20:$M$173,('[2]Input Data'!$B$20:$B$173=Changes!B101)*('[2]Input Data'!$C$20:$C$173=Changes!C101)))</f>
        <v>Mitsubishi Electric Corp (MELCO)</v>
      </c>
      <c r="V101" s="348"/>
      <c r="W101" s="227"/>
      <c r="X101" s="265" t="str">
        <v>AB7/E7WA</v>
      </c>
      <c r="Y101" s="266">
        <v>11922926.160296399</v>
      </c>
      <c r="AB101" s="33"/>
      <c r="AC101" s="33"/>
    </row>
    <row r="102" spans="1:29" x14ac:dyDescent="0.35">
      <c r="A102">
        <f t="shared" si="14"/>
        <v>1</v>
      </c>
      <c r="B102" s="315">
        <v>361696</v>
      </c>
      <c r="C102" s="282">
        <v>494973</v>
      </c>
      <c r="D102" s="282" t="str">
        <v>TURKSAT 5B</v>
      </c>
      <c r="E102" s="282" t="str">
        <v>FUL</v>
      </c>
      <c r="F102" s="282" t="str">
        <v>GEO-GSO</v>
      </c>
      <c r="G102" s="283" cm="1">
        <f t="array" ref="G102">_xlfn.IFNA(INDEX('Input Data'!$M$20:$M$963,MATCH(Changes!B102&amp;"_"&amp;Changes!C102,'Input Data'!$B$20:$B$963&amp;"_"&amp;'Input Data'!$C$20:$C$963,0)),INDEX('[2]Input Data'!$L$20:$L$158,MATCH(B102&amp;"_"&amp;C102,'[2]Input Data'!$B$20:$B$158&amp;"_"&amp;'[2]Input Data'!$C$20:$C$158,0)))</f>
        <v>46345</v>
      </c>
      <c r="H102" s="313" cm="1">
        <f t="array" ref="H102">_xlfn._xlws.FILTER('Input Data'!$AA$20:$AA$963,('Input Data'!$B$20:$B$963=Changes!B102)*('Input Data'!$C$20:$C$963=Changes!C102),0)</f>
        <v>3175620.6132639898</v>
      </c>
      <c r="I102" s="313" cm="1">
        <f t="array" ref="I102">_xlfn._xlws.FILTER('[2]Input Data'!$AA$20:$AA$173,('[2]Input Data'!$B$20:$B$173=Changes!B102)*('[2]Input Data'!$C$20:$C$173=Changes!C102),0)</f>
        <v>3175620.6132639898</v>
      </c>
      <c r="J102" s="346" t="str" cm="1">
        <f t="array" ref="J102">_xlfn._xlws.FILTER('Input Data'!$E$20:$E$963,('Input Data'!$B$20:$B$963=Changes!B102)*('Input Data'!$C$20:$C$963=Changes!C102),0)</f>
        <v>In-Orbit</v>
      </c>
      <c r="K102" s="347" cm="1">
        <f t="array" ref="K102">_xlfn._xlws.FILTER('Input Data'!$L$20:$L$963,('Input Data'!$B$20:$B$963=Changes!B102)*('Input Data'!$C$20:$C$963=Changes!C102),0)</f>
        <v>45981</v>
      </c>
      <c r="L102" s="356" t="str" cm="1">
        <f t="array" ref="L102">_xlfn._xlws.FILTER('[2]Input Data'!$D$20:$D$173,('[2]Input Data'!$B$20:$B$173=Changes!B102)*('[2]Input Data'!$C$20:$C$173=Changes!C102),0)</f>
        <v>In-Orbit</v>
      </c>
      <c r="M102" s="314">
        <f>IFERROR(INDEX('Input Data'!$P$10:$P$14,MATCH(DATEDIF($M$4,G102,"M"),'Input Data'!$O$10:$O$14,1)),0)</f>
        <v>0.4</v>
      </c>
      <c r="N102" s="227"/>
      <c r="O102" s="227">
        <f>INDEX('Input Data'!$P$10:$P$14,MATCH(DATEDIF($O$4,G102,"M"),'Input Data'!$O$10:$O$14,1))</f>
        <v>0.4</v>
      </c>
      <c r="P102" s="204">
        <f t="shared" si="13"/>
        <v>0</v>
      </c>
      <c r="R102" cm="1">
        <f t="array" ref="R102">_xlfn.LET(_xlpm.current,INDEX('Input Data'!$M$20:$M$963,MATCH(Changes!B102&amp;"_"&amp;Changes!C102,'Input Data'!$B$20:$B$963&amp;"_"&amp;'Input Data'!$C$20:$C$963,0)),_xlpm.prev,INDEX('[2]Input Data'!$L$20:$L$173,MATCH(B102&amp;"_"&amp;C102,'[2]Input Data'!$B$20:$B$173&amp;"_"&amp;'[2]Input Data'!$C$20:$C$173,0)),
IF(OR(ISNA(_xlpm.current),ISNA(_xlpm.prev)),0,_xlpm.current-_xlpm.prev))</f>
        <v>0</v>
      </c>
      <c r="S102" s="186" t="b">
        <f t="shared" si="15"/>
        <v>0</v>
      </c>
      <c r="T102" t="str" cm="1">
        <f t="array" ref="T102">IFERROR(_xlfn._xlws.FILTER('Input Data'!$N$20:$N$963,('Input Data'!$B$20:$B$963=Changes!B102)*('Input Data'!$C$20:$C$963=Changes!C102)),_xlfn._xlws.FILTER('[2]Input Data'!$M$20:$M$173,('[2]Input Data'!$B$20:$B$173=Changes!B102)*('[2]Input Data'!$C$20:$C$173=Changes!C102)))</f>
        <v>Airbus Defence and Space (Toulouse)</v>
      </c>
      <c r="V102" s="348"/>
      <c r="W102" s="227"/>
      <c r="X102" s="265" t="str">
        <v>E117WA (S8)</v>
      </c>
      <c r="Y102" s="266">
        <v>6390959.0361546203</v>
      </c>
      <c r="AB102" s="33"/>
      <c r="AC102" s="33"/>
    </row>
    <row r="103" spans="1:29" x14ac:dyDescent="0.35">
      <c r="A103">
        <f t="shared" si="14"/>
        <v>1</v>
      </c>
      <c r="B103" s="315">
        <v>361696</v>
      </c>
      <c r="C103" s="282">
        <v>494974</v>
      </c>
      <c r="D103" s="282" t="str">
        <v>TURKSAT 5A</v>
      </c>
      <c r="E103" s="282" t="str">
        <v>FUL</v>
      </c>
      <c r="F103" s="282" t="str">
        <v>GEO-GSO</v>
      </c>
      <c r="G103" s="283" cm="1">
        <f t="array" ref="G103">_xlfn.IFNA(INDEX('Input Data'!$M$20:$M$963,MATCH(Changes!B103&amp;"_"&amp;Changes!C103,'Input Data'!$B$20:$B$963&amp;"_"&amp;'Input Data'!$C$20:$C$963,0)),INDEX('[2]Input Data'!$L$20:$L$158,MATCH(B103&amp;"_"&amp;C103,'[2]Input Data'!$B$20:$B$158&amp;"_"&amp;'[2]Input Data'!$C$20:$C$158,0)))</f>
        <v>46345</v>
      </c>
      <c r="H103" s="313" cm="1">
        <f t="array" ref="H103">_xlfn._xlws.FILTER('Input Data'!$AA$20:$AA$963,('Input Data'!$B$20:$B$963=Changes!B103)*('Input Data'!$C$20:$C$963=Changes!C103),0)</f>
        <v>3027520.8196963998</v>
      </c>
      <c r="I103" s="313" cm="1">
        <f t="array" ref="I103">_xlfn._xlws.FILTER('[2]Input Data'!$AA$20:$AA$173,('[2]Input Data'!$B$20:$B$173=Changes!B103)*('[2]Input Data'!$C$20:$C$173=Changes!C103),0)</f>
        <v>3027520.8196963998</v>
      </c>
      <c r="J103" s="346" t="str" cm="1">
        <f t="array" ref="J103">_xlfn._xlws.FILTER('Input Data'!$E$20:$E$963,('Input Data'!$B$20:$B$963=Changes!B103)*('Input Data'!$C$20:$C$963=Changes!C103),0)</f>
        <v>In-Orbit</v>
      </c>
      <c r="K103" s="347" cm="1">
        <f t="array" ref="K103">_xlfn._xlws.FILTER('Input Data'!$L$20:$L$963,('Input Data'!$B$20:$B$963=Changes!B103)*('Input Data'!$C$20:$C$963=Changes!C103),0)</f>
        <v>45981</v>
      </c>
      <c r="L103" s="356" t="str" cm="1">
        <f t="array" ref="L103">_xlfn._xlws.FILTER('[2]Input Data'!$D$20:$D$173,('[2]Input Data'!$B$20:$B$173=Changes!B103)*('[2]Input Data'!$C$20:$C$173=Changes!C103),0)</f>
        <v>In-Orbit</v>
      </c>
      <c r="M103" s="314">
        <f>IFERROR(INDEX('Input Data'!$P$10:$P$14,MATCH(DATEDIF($M$4,G103,"M"),'Input Data'!$O$10:$O$14,1)),0)</f>
        <v>0.4</v>
      </c>
      <c r="N103" s="227"/>
      <c r="O103" s="227">
        <f>INDEX('Input Data'!$P$10:$P$14,MATCH(DATEDIF($O$4,G103,"M"),'Input Data'!$O$10:$O$14,1))</f>
        <v>0.4</v>
      </c>
      <c r="P103" s="204">
        <f t="shared" si="13"/>
        <v>0</v>
      </c>
      <c r="R103" cm="1">
        <f t="array" ref="R103">_xlfn.LET(_xlpm.current,INDEX('Input Data'!$M$20:$M$963,MATCH(Changes!B103&amp;"_"&amp;Changes!C103,'Input Data'!$B$20:$B$963&amp;"_"&amp;'Input Data'!$C$20:$C$963,0)),_xlpm.prev,INDEX('[2]Input Data'!$L$20:$L$173,MATCH(B103&amp;"_"&amp;C103,'[2]Input Data'!$B$20:$B$173&amp;"_"&amp;'[2]Input Data'!$C$20:$C$173,0)),
IF(OR(ISNA(_xlpm.current),ISNA(_xlpm.prev)),0,_xlpm.current-_xlpm.prev))</f>
        <v>0</v>
      </c>
      <c r="S103" s="186" t="b">
        <f t="shared" si="15"/>
        <v>0</v>
      </c>
      <c r="T103" t="str" cm="1">
        <f t="array" ref="T103">IFERROR(_xlfn._xlws.FILTER('Input Data'!$N$20:$N$963,('Input Data'!$B$20:$B$963=Changes!B103)*('Input Data'!$C$20:$C$963=Changes!C103)),_xlfn._xlws.FILTER('[2]Input Data'!$M$20:$M$173,('[2]Input Data'!$B$20:$B$173=Changes!B103)*('[2]Input Data'!$C$20:$C$173=Changes!C103)))</f>
        <v>Airbus Defence and Space (Toulouse)</v>
      </c>
      <c r="V103" s="348"/>
      <c r="W103" s="227"/>
      <c r="X103" s="265" t="str">
        <v>W6A/E21B</v>
      </c>
      <c r="Y103" s="266">
        <v>8472635.0218910407</v>
      </c>
      <c r="AB103" s="33"/>
      <c r="AC103" s="33"/>
    </row>
    <row r="104" spans="1:29" x14ac:dyDescent="0.35">
      <c r="A104">
        <f t="shared" si="14"/>
        <v>1</v>
      </c>
      <c r="B104" s="315">
        <v>361696</v>
      </c>
      <c r="C104" s="282">
        <v>494975</v>
      </c>
      <c r="D104" s="282" t="str">
        <v>TURKSAT 4B</v>
      </c>
      <c r="E104" s="282" t="str">
        <v>FUL</v>
      </c>
      <c r="F104" s="282" t="str">
        <v>GEO-GSO</v>
      </c>
      <c r="G104" s="283" cm="1">
        <f t="array" ref="G104">_xlfn.IFNA(INDEX('Input Data'!$M$20:$M$963,MATCH(Changes!B104&amp;"_"&amp;Changes!C104,'Input Data'!$B$20:$B$963&amp;"_"&amp;'Input Data'!$C$20:$C$963,0)),INDEX('[2]Input Data'!$L$20:$L$158,MATCH(B104&amp;"_"&amp;C104,'[2]Input Data'!$B$20:$B$158&amp;"_"&amp;'[2]Input Data'!$C$20:$C$158,0)))</f>
        <v>46345</v>
      </c>
      <c r="H104" s="313" cm="1">
        <f t="array" ref="H104">_xlfn._xlws.FILTER('Input Data'!$AA$20:$AA$963,('Input Data'!$B$20:$B$963=Changes!B104)*('Input Data'!$C$20:$C$963=Changes!C104),0)</f>
        <v>1532391.9562088901</v>
      </c>
      <c r="I104" s="313" cm="1">
        <f t="array" ref="I104">_xlfn._xlws.FILTER('[2]Input Data'!$AA$20:$AA$173,('[2]Input Data'!$B$20:$B$173=Changes!B104)*('[2]Input Data'!$C$20:$C$173=Changes!C104),0)</f>
        <v>1532391.9562088901</v>
      </c>
      <c r="J104" s="346" t="str" cm="1">
        <f t="array" ref="J104">_xlfn._xlws.FILTER('Input Data'!$E$20:$E$963,('Input Data'!$B$20:$B$963=Changes!B104)*('Input Data'!$C$20:$C$963=Changes!C104),0)</f>
        <v>In-Orbit</v>
      </c>
      <c r="K104" s="347" cm="1">
        <f t="array" ref="K104">_xlfn._xlws.FILTER('Input Data'!$L$20:$L$963,('Input Data'!$B$20:$B$963=Changes!B104)*('Input Data'!$C$20:$C$963=Changes!C104),0)</f>
        <v>45981</v>
      </c>
      <c r="L104" s="356" t="str" cm="1">
        <f t="array" ref="L104">_xlfn._xlws.FILTER('[2]Input Data'!$D$20:$D$173,('[2]Input Data'!$B$20:$B$173=Changes!B104)*('[2]Input Data'!$C$20:$C$173=Changes!C104),0)</f>
        <v>In-Orbit</v>
      </c>
      <c r="M104" s="314">
        <f>IFERROR(INDEX('Input Data'!$P$10:$P$14,MATCH(DATEDIF($M$4,G104,"M"),'Input Data'!$O$10:$O$14,1)),0)</f>
        <v>0.4</v>
      </c>
      <c r="N104" s="227"/>
      <c r="O104" s="227">
        <f>INDEX('Input Data'!$P$10:$P$14,MATCH(DATEDIF($O$4,G104,"M"),'Input Data'!$O$10:$O$14,1))</f>
        <v>0.4</v>
      </c>
      <c r="P104" s="204">
        <f t="shared" si="13"/>
        <v>0</v>
      </c>
      <c r="R104" cm="1">
        <f t="array" ref="R104">_xlfn.LET(_xlpm.current,INDEX('Input Data'!$M$20:$M$963,MATCH(Changes!B104&amp;"_"&amp;Changes!C104,'Input Data'!$B$20:$B$963&amp;"_"&amp;'Input Data'!$C$20:$C$963,0)),_xlpm.prev,INDEX('[2]Input Data'!$L$20:$L$173,MATCH(B104&amp;"_"&amp;C104,'[2]Input Data'!$B$20:$B$173&amp;"_"&amp;'[2]Input Data'!$C$20:$C$173,0)),
IF(OR(ISNA(_xlpm.current),ISNA(_xlpm.prev)),0,_xlpm.current-_xlpm.prev))</f>
        <v>0</v>
      </c>
      <c r="S104" s="186" t="b">
        <f t="shared" si="15"/>
        <v>0</v>
      </c>
      <c r="T104" t="str" cm="1">
        <f t="array" ref="T104">IFERROR(_xlfn._xlws.FILTER('Input Data'!$N$20:$N$963,('Input Data'!$B$20:$B$963=Changes!B104)*('Input Data'!$C$20:$C$963=Changes!C104)),_xlfn._xlws.FILTER('[2]Input Data'!$M$20:$M$173,('[2]Input Data'!$B$20:$B$173=Changes!B104)*('[2]Input Data'!$C$20:$C$173=Changes!C104)))</f>
        <v>Mitsubishi Electric Corp (MELCO)</v>
      </c>
      <c r="V104" s="348"/>
      <c r="W104" s="227"/>
      <c r="X104" s="265" t="str">
        <v>W5A/E70B</v>
      </c>
      <c r="Y104" s="266">
        <v>8104725.6319345096</v>
      </c>
      <c r="AB104" s="33"/>
      <c r="AC104" s="33"/>
    </row>
    <row r="105" spans="1:29" x14ac:dyDescent="0.35">
      <c r="A105">
        <f t="shared" si="14"/>
        <v>1</v>
      </c>
      <c r="B105" s="315">
        <v>361813</v>
      </c>
      <c r="C105" s="282">
        <v>495424</v>
      </c>
      <c r="D105" s="282" t="str">
        <v>FALCON EYE 2</v>
      </c>
      <c r="E105" s="282" t="str">
        <v>FUL</v>
      </c>
      <c r="F105" s="282" t="str">
        <v>LEO</v>
      </c>
      <c r="G105" s="283" cm="1">
        <f t="array" ref="G105">_xlfn.IFNA(INDEX('Input Data'!$M$20:$M$963,MATCH(Changes!B105&amp;"_"&amp;Changes!C105,'Input Data'!$B$20:$B$963&amp;"_"&amp;'Input Data'!$C$20:$C$963,0)),INDEX('[2]Input Data'!$L$20:$L$158,MATCH(B105&amp;"_"&amp;C105,'[2]Input Data'!$B$20:$B$158&amp;"_"&amp;'[2]Input Data'!$C$20:$C$158,0)))</f>
        <v>46362</v>
      </c>
      <c r="H105" s="313" cm="1">
        <f t="array" ref="H105">_xlfn._xlws.FILTER('Input Data'!$AA$20:$AA$963,('Input Data'!$B$20:$B$963=Changes!B105)*('Input Data'!$C$20:$C$963=Changes!C105),0)</f>
        <v>7891909.7200426897</v>
      </c>
      <c r="I105" s="313" cm="1">
        <f t="array" ref="I105">_xlfn._xlws.FILTER('[2]Input Data'!$AA$20:$AA$173,('[2]Input Data'!$B$20:$B$173=Changes!B105)*('[2]Input Data'!$C$20:$C$173=Changes!C105),0)</f>
        <v>7891909.7200426897</v>
      </c>
      <c r="J105" s="346" t="str" cm="1">
        <f t="array" ref="J105">_xlfn._xlws.FILTER('Input Data'!$E$20:$E$963,('Input Data'!$B$20:$B$963=Changes!B105)*('Input Data'!$C$20:$C$963=Changes!C105),0)</f>
        <v>In-Orbit</v>
      </c>
      <c r="K105" s="347" cm="1">
        <f t="array" ref="K105">_xlfn._xlws.FILTER('Input Data'!$L$20:$L$963,('Input Data'!$B$20:$B$963=Changes!B105)*('Input Data'!$C$20:$C$963=Changes!C105),0)</f>
        <v>45998</v>
      </c>
      <c r="L105" s="356" t="str" cm="1">
        <f t="array" ref="L105">_xlfn._xlws.FILTER('[2]Input Data'!$D$20:$D$173,('[2]Input Data'!$B$20:$B$173=Changes!B105)*('[2]Input Data'!$C$20:$C$173=Changes!C105),0)</f>
        <v>In-Orbit</v>
      </c>
      <c r="M105" s="314">
        <f>IFERROR(INDEX('Input Data'!$P$10:$P$14,MATCH(DATEDIF($M$4,G105,"M"),'Input Data'!$O$10:$O$14,1)),0)</f>
        <v>0.4</v>
      </c>
      <c r="N105" s="227"/>
      <c r="O105" s="227">
        <f>INDEX('Input Data'!$P$10:$P$14,MATCH(DATEDIF($O$4,G105,"M"),'Input Data'!$O$10:$O$14,1))</f>
        <v>0.4</v>
      </c>
      <c r="P105" s="204">
        <f t="shared" si="13"/>
        <v>0</v>
      </c>
      <c r="R105" cm="1">
        <f t="array" ref="R105">_xlfn.LET(_xlpm.current,INDEX('Input Data'!$M$20:$M$963,MATCH(Changes!B105&amp;"_"&amp;Changes!C105,'Input Data'!$B$20:$B$963&amp;"_"&amp;'Input Data'!$C$20:$C$963,0)),_xlpm.prev,INDEX('[2]Input Data'!$L$20:$L$173,MATCH(B105&amp;"_"&amp;C105,'[2]Input Data'!$B$20:$B$173&amp;"_"&amp;'[2]Input Data'!$C$20:$C$173,0)),
IF(OR(ISNA(_xlpm.current),ISNA(_xlpm.prev)),0,_xlpm.current-_xlpm.prev))</f>
        <v>0</v>
      </c>
      <c r="S105" s="186" t="b">
        <f t="shared" si="15"/>
        <v>0</v>
      </c>
      <c r="T105" t="str" cm="1">
        <f t="array" ref="T105">IFERROR(_xlfn._xlws.FILTER('Input Data'!$N$20:$N$963,('Input Data'!$B$20:$B$963=Changes!B105)*('Input Data'!$C$20:$C$963=Changes!C105)),_xlfn._xlws.FILTER('[2]Input Data'!$M$20:$M$173,('[2]Input Data'!$B$20:$B$173=Changes!B105)*('[2]Input Data'!$C$20:$C$173=Changes!C105)))</f>
        <v>Airbus Defence and Space/Thales Alenia Space JOINT</v>
      </c>
      <c r="V105" s="348"/>
      <c r="W105" s="227"/>
      <c r="X105" s="265" t="str">
        <v>W3D/E3D</v>
      </c>
      <c r="Y105" s="266">
        <v>4138792.8983068601</v>
      </c>
      <c r="AB105" s="33"/>
      <c r="AC105" s="33"/>
    </row>
    <row r="106" spans="1:29" x14ac:dyDescent="0.35">
      <c r="A106">
        <f t="shared" si="14"/>
        <v>1</v>
      </c>
      <c r="B106" s="315">
        <v>361838</v>
      </c>
      <c r="C106" s="282">
        <v>495524</v>
      </c>
      <c r="D106" s="282" t="str">
        <v>STAR ONE D1</v>
      </c>
      <c r="E106" s="282" t="str">
        <v>FUL</v>
      </c>
      <c r="F106" s="282" t="str">
        <v>GEO-GSO</v>
      </c>
      <c r="G106" s="283" cm="1">
        <f t="array" ref="G106">_xlfn.IFNA(INDEX('Input Data'!$M$20:$M$963,MATCH(Changes!B106&amp;"_"&amp;Changes!C106,'Input Data'!$B$20:$B$963&amp;"_"&amp;'Input Data'!$C$20:$C$963,0)),INDEX('[2]Input Data'!$L$20:$L$158,MATCH(B106&amp;"_"&amp;C106,'[2]Input Data'!$B$20:$B$158&amp;"_"&amp;'[2]Input Data'!$C$20:$C$158,0)))</f>
        <v>46334</v>
      </c>
      <c r="H106" s="313" cm="1">
        <f t="array" ref="H106">_xlfn._xlws.FILTER('Input Data'!$AA$20:$AA$963,('Input Data'!$B$20:$B$963=Changes!B106)*('Input Data'!$C$20:$C$963=Changes!C106),0)</f>
        <v>2428814.2227560999</v>
      </c>
      <c r="I106" s="313" cm="1">
        <f t="array" ref="I106">_xlfn._xlws.FILTER('[2]Input Data'!$AA$20:$AA$173,('[2]Input Data'!$B$20:$B$173=Changes!B106)*('[2]Input Data'!$C$20:$C$173=Changes!C106),0)</f>
        <v>2428814.2227560999</v>
      </c>
      <c r="J106" s="346" t="str" cm="1">
        <f t="array" ref="J106">_xlfn._xlws.FILTER('Input Data'!$E$20:$E$963,('Input Data'!$B$20:$B$963=Changes!B106)*('Input Data'!$C$20:$C$963=Changes!C106),0)</f>
        <v>In-Orbit</v>
      </c>
      <c r="K106" s="347" cm="1">
        <f t="array" ref="K106">_xlfn._xlws.FILTER('Input Data'!$L$20:$L$963,('Input Data'!$B$20:$B$963=Changes!B106)*('Input Data'!$C$20:$C$963=Changes!C106),0)</f>
        <v>45970</v>
      </c>
      <c r="L106" s="356" t="str" cm="1">
        <f t="array" ref="L106">_xlfn._xlws.FILTER('[2]Input Data'!$D$20:$D$173,('[2]Input Data'!$B$20:$B$173=Changes!B106)*('[2]Input Data'!$C$20:$C$173=Changes!C106),0)</f>
        <v>In-Orbit</v>
      </c>
      <c r="M106" s="314">
        <f>IFERROR(INDEX('Input Data'!$P$10:$P$14,MATCH(DATEDIF($M$4,G106,"M"),'Input Data'!$O$10:$O$14,1)),0)</f>
        <v>0.4</v>
      </c>
      <c r="N106" s="227"/>
      <c r="O106" s="227">
        <f>INDEX('Input Data'!$P$10:$P$14,MATCH(DATEDIF($O$4,G106,"M"),'Input Data'!$O$10:$O$14,1))</f>
        <v>0.4</v>
      </c>
      <c r="P106" s="204">
        <f t="shared" si="13"/>
        <v>0</v>
      </c>
      <c r="R106" cm="1">
        <f t="array" ref="R106">_xlfn.LET(_xlpm.current,INDEX('Input Data'!$M$20:$M$963,MATCH(Changes!B106&amp;"_"&amp;Changes!C106,'Input Data'!$B$20:$B$963&amp;"_"&amp;'Input Data'!$C$20:$C$963,0)),_xlpm.prev,INDEX('[2]Input Data'!$L$20:$L$173,MATCH(B106&amp;"_"&amp;C106,'[2]Input Data'!$B$20:$B$173&amp;"_"&amp;'[2]Input Data'!$C$20:$C$173,0)),
IF(OR(ISNA(_xlpm.current),ISNA(_xlpm.prev)),0,_xlpm.current-_xlpm.prev))</f>
        <v>0</v>
      </c>
      <c r="S106" s="186" t="b">
        <f t="shared" si="15"/>
        <v>0</v>
      </c>
      <c r="T106" t="str" cm="1">
        <f t="array" ref="T106">IFERROR(_xlfn._xlws.FILTER('Input Data'!$N$20:$N$963,('Input Data'!$B$20:$B$963=Changes!B106)*('Input Data'!$C$20:$C$963=Changes!C106)),_xlfn._xlws.FILTER('[2]Input Data'!$M$20:$M$173,('[2]Input Data'!$B$20:$B$173=Changes!B106)*('[2]Input Data'!$C$20:$C$173=Changes!C106)))</f>
        <v>SSL (Space Systems/Loral)</v>
      </c>
      <c r="V106" s="348"/>
      <c r="W106" s="227"/>
      <c r="X106" s="265" t="str">
        <v>E3B</v>
      </c>
      <c r="Y106" s="266">
        <v>8995750.7919540908</v>
      </c>
      <c r="AB106" s="33"/>
      <c r="AC106" s="33"/>
    </row>
    <row r="107" spans="1:29" x14ac:dyDescent="0.35">
      <c r="A107">
        <f t="shared" si="14"/>
        <v>1</v>
      </c>
      <c r="B107" s="315">
        <v>361838</v>
      </c>
      <c r="C107" s="282">
        <v>495525</v>
      </c>
      <c r="D107" s="282" t="str">
        <v>STAR ONE D2</v>
      </c>
      <c r="E107" s="282" t="str">
        <v>FUL</v>
      </c>
      <c r="F107" s="282" t="str">
        <v>GEO-GSO</v>
      </c>
      <c r="G107" s="283" cm="1">
        <f t="array" ref="G107">_xlfn.IFNA(INDEX('Input Data'!$M$20:$M$963,MATCH(Changes!B107&amp;"_"&amp;Changes!C107,'Input Data'!$B$20:$B$963&amp;"_"&amp;'Input Data'!$C$20:$C$963,0)),INDEX('[2]Input Data'!$L$20:$L$158,MATCH(B107&amp;"_"&amp;C107,'[2]Input Data'!$B$20:$B$158&amp;"_"&amp;'[2]Input Data'!$C$20:$C$158,0)))</f>
        <v>46334</v>
      </c>
      <c r="H107" s="313" cm="1">
        <f t="array" ref="H107">_xlfn._xlws.FILTER('Input Data'!$AA$20:$AA$963,('Input Data'!$B$20:$B$963=Changes!B107)*('Input Data'!$C$20:$C$963=Changes!C107),0)</f>
        <v>16277709.869777599</v>
      </c>
      <c r="I107" s="313" cm="1">
        <f t="array" ref="I107">_xlfn._xlws.FILTER('[2]Input Data'!$AA$20:$AA$173,('[2]Input Data'!$B$20:$B$173=Changes!B107)*('[2]Input Data'!$C$20:$C$173=Changes!C107),0)</f>
        <v>16277709.869777599</v>
      </c>
      <c r="J107" s="346" t="str" cm="1">
        <f t="array" ref="J107">_xlfn._xlws.FILTER('Input Data'!$E$20:$E$963,('Input Data'!$B$20:$B$963=Changes!B107)*('Input Data'!$C$20:$C$963=Changes!C107),0)</f>
        <v>In-Orbit</v>
      </c>
      <c r="K107" s="347" cm="1">
        <f t="array" ref="K107">_xlfn._xlws.FILTER('Input Data'!$L$20:$L$963,('Input Data'!$B$20:$B$963=Changes!B107)*('Input Data'!$C$20:$C$963=Changes!C107),0)</f>
        <v>45970</v>
      </c>
      <c r="L107" s="356" t="str" cm="1">
        <f t="array" ref="L107">_xlfn._xlws.FILTER('[2]Input Data'!$D$20:$D$173,('[2]Input Data'!$B$20:$B$173=Changes!B107)*('[2]Input Data'!$C$20:$C$173=Changes!C107),0)</f>
        <v>In-Orbit</v>
      </c>
      <c r="M107" s="314">
        <f>IFERROR(INDEX('Input Data'!$P$10:$P$14,MATCH(DATEDIF($M$4,G107,"M"),'Input Data'!$O$10:$O$14,1)),0)</f>
        <v>0.4</v>
      </c>
      <c r="N107" s="227"/>
      <c r="O107" s="227">
        <f>INDEX('Input Data'!$P$10:$P$14,MATCH(DATEDIF($O$4,G107,"M"),'Input Data'!$O$10:$O$14,1))</f>
        <v>0.4</v>
      </c>
      <c r="P107" s="204">
        <f t="shared" si="13"/>
        <v>0</v>
      </c>
      <c r="R107" cm="1">
        <f t="array" ref="R107">_xlfn.LET(_xlpm.current,INDEX('Input Data'!$M$20:$M$963,MATCH(Changes!B107&amp;"_"&amp;Changes!C107,'Input Data'!$B$20:$B$963&amp;"_"&amp;'Input Data'!$C$20:$C$963,0)),_xlpm.prev,INDEX('[2]Input Data'!$L$20:$L$173,MATCH(B107&amp;"_"&amp;C107,'[2]Input Data'!$B$20:$B$173&amp;"_"&amp;'[2]Input Data'!$C$20:$C$173,0)),
IF(OR(ISNA(_xlpm.current),ISNA(_xlpm.prev)),0,_xlpm.current-_xlpm.prev))</f>
        <v>0</v>
      </c>
      <c r="S107" s="186" t="b">
        <f t="shared" si="15"/>
        <v>0</v>
      </c>
      <c r="T107" t="str" cm="1">
        <f t="array" ref="T107">IFERROR(_xlfn._xlws.FILTER('Input Data'!$N$20:$N$963,('Input Data'!$B$20:$B$963=Changes!B107)*('Input Data'!$C$20:$C$963=Changes!C107)),_xlfn._xlws.FILTER('[2]Input Data'!$M$20:$M$173,('[2]Input Data'!$B$20:$B$173=Changes!B107)*('[2]Input Data'!$C$20:$C$173=Changes!C107)))</f>
        <v>SSL (Space Systems/Loral)</v>
      </c>
      <c r="V107" s="348"/>
      <c r="W107" s="227"/>
      <c r="X107" s="265" t="str">
        <v>E9B</v>
      </c>
      <c r="Y107" s="266">
        <v>6455847.12958916</v>
      </c>
      <c r="AB107" s="33"/>
      <c r="AC107" s="33"/>
    </row>
    <row r="108" spans="1:29" x14ac:dyDescent="0.35">
      <c r="A108">
        <f t="shared" si="14"/>
        <v>1</v>
      </c>
      <c r="B108" s="315">
        <v>362003</v>
      </c>
      <c r="C108" s="282">
        <v>496098</v>
      </c>
      <c r="D108" s="282" t="str">
        <v>AMAZONAS 3</v>
      </c>
      <c r="E108" s="282" t="str">
        <v>FIID</v>
      </c>
      <c r="F108" s="282" t="str">
        <v>GEO-GSO</v>
      </c>
      <c r="G108" s="283" cm="1">
        <f t="array" ref="G108">_xlfn.IFNA(INDEX('Input Data'!$M$20:$M$963,MATCH(Changes!B108&amp;"_"&amp;Changes!C108,'Input Data'!$B$20:$B$963&amp;"_"&amp;'Input Data'!$C$20:$C$963,0)),INDEX('[2]Input Data'!$L$20:$L$158,MATCH(B108&amp;"_"&amp;C108,'[2]Input Data'!$B$20:$B$158&amp;"_"&amp;'[2]Input Data'!$C$20:$C$158,0)))</f>
        <v>46329</v>
      </c>
      <c r="H108" s="313" cm="1">
        <f t="array" ref="H108">_xlfn._xlws.FILTER('Input Data'!$AA$20:$AA$963,('Input Data'!$B$20:$B$963=Changes!B108)*('Input Data'!$C$20:$C$963=Changes!C108),0)</f>
        <v>1482955.12364109</v>
      </c>
      <c r="I108" s="313" cm="1">
        <f t="array" ref="I108">_xlfn._xlws.FILTER('[2]Input Data'!$AA$20:$AA$173,('[2]Input Data'!$B$20:$B$173=Changes!B108)*('[2]Input Data'!$C$20:$C$173=Changes!C108),0)</f>
        <v>1482955.12364109</v>
      </c>
      <c r="J108" s="346" t="str" cm="1">
        <f t="array" ref="J108">_xlfn._xlws.FILTER('Input Data'!$E$20:$E$963,('Input Data'!$B$20:$B$963=Changes!B108)*('Input Data'!$C$20:$C$963=Changes!C108),0)</f>
        <v>In-Orbit</v>
      </c>
      <c r="K108" s="347" cm="1">
        <f t="array" ref="K108">_xlfn._xlws.FILTER('Input Data'!$L$20:$L$963,('Input Data'!$B$20:$B$963=Changes!B108)*('Input Data'!$C$20:$C$963=Changes!C108),0)</f>
        <v>45965</v>
      </c>
      <c r="L108" s="356" t="str" cm="1">
        <f t="array" ref="L108">_xlfn._xlws.FILTER('[2]Input Data'!$D$20:$D$173,('[2]Input Data'!$B$20:$B$173=Changes!B108)*('[2]Input Data'!$C$20:$C$173=Changes!C108),0)</f>
        <v>In-Orbit</v>
      </c>
      <c r="M108" s="314">
        <f>IFERROR(INDEX('Input Data'!$P$10:$P$14,MATCH(DATEDIF($M$4,G108,"M"),'Input Data'!$O$10:$O$14,1)),0)</f>
        <v>0.4</v>
      </c>
      <c r="N108" s="227"/>
      <c r="O108" s="227">
        <f>INDEX('Input Data'!$P$10:$P$14,MATCH(DATEDIF($O$4,G108,"M"),'Input Data'!$O$10:$O$14,1))</f>
        <v>0.4</v>
      </c>
      <c r="P108" s="204">
        <f t="shared" si="13"/>
        <v>0</v>
      </c>
      <c r="R108" cm="1">
        <f t="array" ref="R108">_xlfn.LET(_xlpm.current,INDEX('Input Data'!$M$20:$M$963,MATCH(Changes!B108&amp;"_"&amp;Changes!C108,'Input Data'!$B$20:$B$963&amp;"_"&amp;'Input Data'!$C$20:$C$963,0)),_xlpm.prev,INDEX('[2]Input Data'!$L$20:$L$173,MATCH(B108&amp;"_"&amp;C108,'[2]Input Data'!$B$20:$B$173&amp;"_"&amp;'[2]Input Data'!$C$20:$C$173,0)),
IF(OR(ISNA(_xlpm.current),ISNA(_xlpm.prev)),0,_xlpm.current-_xlpm.prev))</f>
        <v>0</v>
      </c>
      <c r="S108" s="186" t="b">
        <f t="shared" si="15"/>
        <v>0</v>
      </c>
      <c r="T108" t="str" cm="1">
        <f t="array" ref="T108">IFERROR(_xlfn._xlws.FILTER('Input Data'!$N$20:$N$963,('Input Data'!$B$20:$B$963=Changes!B108)*('Input Data'!$C$20:$C$963=Changes!C108)),_xlfn._xlws.FILTER('[2]Input Data'!$M$20:$M$173,('[2]Input Data'!$B$20:$B$173=Changes!B108)*('[2]Input Data'!$C$20:$C$173=Changes!C108)))</f>
        <v>SSL (Space Systems/Loral)</v>
      </c>
      <c r="V108" s="348"/>
      <c r="W108" s="227"/>
      <c r="X108" s="265" t="str">
        <v>E117WB (S9)</v>
      </c>
      <c r="Y108" s="266">
        <v>4388314.4383435603</v>
      </c>
      <c r="AB108" s="33"/>
      <c r="AC108" s="33"/>
    </row>
    <row r="109" spans="1:29" x14ac:dyDescent="0.35">
      <c r="A109">
        <f t="shared" si="14"/>
        <v>1</v>
      </c>
      <c r="B109" s="315">
        <v>362003</v>
      </c>
      <c r="C109" s="282">
        <v>496099</v>
      </c>
      <c r="D109" s="282" t="str">
        <v>HISPASAT 30W-6 (HISPASAT 1F)</v>
      </c>
      <c r="E109" s="282" t="str">
        <v>FIID</v>
      </c>
      <c r="F109" s="282" t="str">
        <v>GEO-GSO</v>
      </c>
      <c r="G109" s="283" cm="1">
        <f t="array" ref="G109">_xlfn.IFNA(INDEX('Input Data'!$M$20:$M$963,MATCH(Changes!B109&amp;"_"&amp;Changes!C109,'Input Data'!$B$20:$B$963&amp;"_"&amp;'Input Data'!$C$20:$C$963,0)),INDEX('[2]Input Data'!$L$20:$L$158,MATCH(B109&amp;"_"&amp;C109,'[2]Input Data'!$B$20:$B$158&amp;"_"&amp;'[2]Input Data'!$C$20:$C$158,0)))</f>
        <v>46329</v>
      </c>
      <c r="H109" s="313" cm="1">
        <f t="array" ref="H109">_xlfn._xlws.FILTER('Input Data'!$AA$20:$AA$963,('Input Data'!$B$20:$B$963=Changes!B109)*('Input Data'!$C$20:$C$963=Changes!C109),0)</f>
        <v>7618716.1751617799</v>
      </c>
      <c r="I109" s="313" cm="1">
        <f t="array" ref="I109">_xlfn._xlws.FILTER('[2]Input Data'!$AA$20:$AA$173,('[2]Input Data'!$B$20:$B$173=Changes!B109)*('[2]Input Data'!$C$20:$C$173=Changes!C109),0)</f>
        <v>7618716.1751617799</v>
      </c>
      <c r="J109" s="346" t="str" cm="1">
        <f t="array" ref="J109">_xlfn._xlws.FILTER('Input Data'!$E$20:$E$963,('Input Data'!$B$20:$B$963=Changes!B109)*('Input Data'!$C$20:$C$963=Changes!C109),0)</f>
        <v>In-Orbit</v>
      </c>
      <c r="K109" s="347" cm="1">
        <f t="array" ref="K109">_xlfn._xlws.FILTER('Input Data'!$L$20:$L$963,('Input Data'!$B$20:$B$963=Changes!B109)*('Input Data'!$C$20:$C$963=Changes!C109),0)</f>
        <v>45965</v>
      </c>
      <c r="L109" s="356" t="str" cm="1">
        <f t="array" ref="L109">_xlfn._xlws.FILTER('[2]Input Data'!$D$20:$D$173,('[2]Input Data'!$B$20:$B$173=Changes!B109)*('[2]Input Data'!$C$20:$C$173=Changes!C109),0)</f>
        <v>In-Orbit</v>
      </c>
      <c r="M109" s="314">
        <f>IFERROR(INDEX('Input Data'!$P$10:$P$14,MATCH(DATEDIF($M$4,G109,"M"),'Input Data'!$O$10:$O$14,1)),0)</f>
        <v>0.4</v>
      </c>
      <c r="N109" s="227"/>
      <c r="O109" s="227">
        <f>INDEX('Input Data'!$P$10:$P$14,MATCH(DATEDIF($O$4,G109,"M"),'Input Data'!$O$10:$O$14,1))</f>
        <v>0.4</v>
      </c>
      <c r="P109" s="204">
        <f t="shared" si="13"/>
        <v>0</v>
      </c>
      <c r="R109" cm="1">
        <f t="array" ref="R109">_xlfn.LET(_xlpm.current,INDEX('Input Data'!$M$20:$M$963,MATCH(Changes!B109&amp;"_"&amp;Changes!C109,'Input Data'!$B$20:$B$963&amp;"_"&amp;'Input Data'!$C$20:$C$963,0)),_xlpm.prev,INDEX('[2]Input Data'!$L$20:$L$173,MATCH(B109&amp;"_"&amp;C109,'[2]Input Data'!$B$20:$B$173&amp;"_"&amp;'[2]Input Data'!$C$20:$C$173,0)),
IF(OR(ISNA(_xlpm.current),ISNA(_xlpm.prev)),0,_xlpm.current-_xlpm.prev))</f>
        <v>0</v>
      </c>
      <c r="S109" s="186" t="b">
        <f t="shared" si="15"/>
        <v>0</v>
      </c>
      <c r="T109" t="str" cm="1">
        <f t="array" ref="T109">IFERROR(_xlfn._xlws.FILTER('Input Data'!$N$20:$N$963,('Input Data'!$B$20:$B$963=Changes!B109)*('Input Data'!$C$20:$C$963=Changes!C109)),_xlfn._xlws.FILTER('[2]Input Data'!$M$20:$M$173,('[2]Input Data'!$B$20:$B$173=Changes!B109)*('[2]Input Data'!$C$20:$C$173=Changes!C109)))</f>
        <v>SSL (Space Systems/Loral)</v>
      </c>
      <c r="V109" s="348"/>
      <c r="W109" s="227"/>
      <c r="X109" s="265" t="str">
        <v>E8WB</v>
      </c>
      <c r="Y109" s="266">
        <v>18484934.5591661</v>
      </c>
      <c r="AB109" s="33"/>
      <c r="AC109" s="33"/>
    </row>
    <row r="110" spans="1:29" x14ac:dyDescent="0.35">
      <c r="A110">
        <f t="shared" si="14"/>
        <v>1</v>
      </c>
      <c r="B110" s="315">
        <v>362003</v>
      </c>
      <c r="C110" s="282">
        <v>496100</v>
      </c>
      <c r="D110" s="282" t="str">
        <v>AMAZONAS 5</v>
      </c>
      <c r="E110" s="282" t="str">
        <v>FIID</v>
      </c>
      <c r="F110" s="282" t="str">
        <v>GEO-GSO</v>
      </c>
      <c r="G110" s="283" cm="1">
        <f t="array" ref="G110">_xlfn.IFNA(INDEX('Input Data'!$M$20:$M$963,MATCH(Changes!B110&amp;"_"&amp;Changes!C110,'Input Data'!$B$20:$B$963&amp;"_"&amp;'Input Data'!$C$20:$C$963,0)),INDEX('[2]Input Data'!$L$20:$L$158,MATCH(B110&amp;"_"&amp;C110,'[2]Input Data'!$B$20:$B$158&amp;"_"&amp;'[2]Input Data'!$C$20:$C$158,0)))</f>
        <v>46329</v>
      </c>
      <c r="H110" s="313" cm="1">
        <f t="array" ref="H110">_xlfn._xlws.FILTER('Input Data'!$AA$20:$AA$963,('Input Data'!$B$20:$B$963=Changes!B110)*('Input Data'!$C$20:$C$963=Changes!C110),0)</f>
        <v>3877050.83890505</v>
      </c>
      <c r="I110" s="313" cm="1">
        <f t="array" ref="I110">_xlfn._xlws.FILTER('[2]Input Data'!$AA$20:$AA$173,('[2]Input Data'!$B$20:$B$173=Changes!B110)*('[2]Input Data'!$C$20:$C$173=Changes!C110),0)</f>
        <v>3877050.83890505</v>
      </c>
      <c r="J110" s="346" t="str" cm="1">
        <f t="array" ref="J110">_xlfn._xlws.FILTER('Input Data'!$E$20:$E$963,('Input Data'!$B$20:$B$963=Changes!B110)*('Input Data'!$C$20:$C$963=Changes!C110),0)</f>
        <v>In-Orbit</v>
      </c>
      <c r="K110" s="347" cm="1">
        <f t="array" ref="K110">_xlfn._xlws.FILTER('Input Data'!$L$20:$L$963,('Input Data'!$B$20:$B$963=Changes!B110)*('Input Data'!$C$20:$C$963=Changes!C110),0)</f>
        <v>45965</v>
      </c>
      <c r="L110" s="356" t="str" cm="1">
        <f t="array" ref="L110">_xlfn._xlws.FILTER('[2]Input Data'!$D$20:$D$173,('[2]Input Data'!$B$20:$B$173=Changes!B110)*('[2]Input Data'!$C$20:$C$173=Changes!C110),0)</f>
        <v>In-Orbit</v>
      </c>
      <c r="M110" s="314">
        <f>IFERROR(INDEX('Input Data'!$P$10:$P$14,MATCH(DATEDIF($M$4,G110,"M"),'Input Data'!$O$10:$O$14,1)),0)</f>
        <v>0.4</v>
      </c>
      <c r="N110" s="227"/>
      <c r="O110" s="227">
        <f>INDEX('Input Data'!$P$10:$P$14,MATCH(DATEDIF($O$4,G110,"M"),'Input Data'!$O$10:$O$14,1))</f>
        <v>0.4</v>
      </c>
      <c r="P110" s="204">
        <f t="shared" si="13"/>
        <v>0</v>
      </c>
      <c r="R110" cm="1">
        <f t="array" ref="R110">_xlfn.LET(_xlpm.current,INDEX('Input Data'!$M$20:$M$963,MATCH(Changes!B110&amp;"_"&amp;Changes!C110,'Input Data'!$B$20:$B$963&amp;"_"&amp;'Input Data'!$C$20:$C$963,0)),_xlpm.prev,INDEX('[2]Input Data'!$L$20:$L$173,MATCH(B110&amp;"_"&amp;C110,'[2]Input Data'!$B$20:$B$173&amp;"_"&amp;'[2]Input Data'!$C$20:$C$173,0)),
IF(OR(ISNA(_xlpm.current),ISNA(_xlpm.prev)),0,_xlpm.current-_xlpm.prev))</f>
        <v>0</v>
      </c>
      <c r="S110" s="186" t="b">
        <f t="shared" si="15"/>
        <v>0</v>
      </c>
      <c r="T110" t="str" cm="1">
        <f t="array" ref="T110">IFERROR(_xlfn._xlws.FILTER('Input Data'!$N$20:$N$963,('Input Data'!$B$20:$B$963=Changes!B110)*('Input Data'!$C$20:$C$963=Changes!C110)),_xlfn._xlws.FILTER('[2]Input Data'!$M$20:$M$173,('[2]Input Data'!$B$20:$B$173=Changes!B110)*('[2]Input Data'!$C$20:$C$173=Changes!C110)))</f>
        <v>SSL (Space Systems/Loral)</v>
      </c>
      <c r="V110" s="348"/>
      <c r="W110" s="227"/>
      <c r="X110" s="265" t="str">
        <v>E36C</v>
      </c>
      <c r="Y110" s="266">
        <v>11617716.6076576</v>
      </c>
      <c r="AB110" s="33"/>
      <c r="AC110" s="33"/>
    </row>
    <row r="111" spans="1:29" x14ac:dyDescent="0.35">
      <c r="A111">
        <f t="shared" si="14"/>
        <v>1</v>
      </c>
      <c r="B111" s="315">
        <v>362003</v>
      </c>
      <c r="C111" s="282">
        <v>496102</v>
      </c>
      <c r="D111" s="282" t="str">
        <v>HISPASAT 30W-5 (HISPASAT 1E)</v>
      </c>
      <c r="E111" s="282" t="str">
        <v>FIID</v>
      </c>
      <c r="F111" s="282" t="str">
        <v>GEO-GSO</v>
      </c>
      <c r="G111" s="283" cm="1">
        <f t="array" ref="G111">_xlfn.IFNA(INDEX('Input Data'!$M$20:$M$963,MATCH(Changes!B111&amp;"_"&amp;Changes!C111,'Input Data'!$B$20:$B$963&amp;"_"&amp;'Input Data'!$C$20:$C$963,0)),INDEX('[2]Input Data'!$L$20:$L$158,MATCH(B111&amp;"_"&amp;C111,'[2]Input Data'!$B$20:$B$158&amp;"_"&amp;'[2]Input Data'!$C$20:$C$158,0)))</f>
        <v>46329</v>
      </c>
      <c r="H111" s="313" cm="1">
        <f t="array" ref="H111">_xlfn._xlws.FILTER('Input Data'!$AA$20:$AA$963,('Input Data'!$B$20:$B$963=Changes!B111)*('Input Data'!$C$20:$C$963=Changes!C111),0)</f>
        <v>1908722.49728835</v>
      </c>
      <c r="I111" s="313" cm="1">
        <f t="array" ref="I111">_xlfn._xlws.FILTER('[2]Input Data'!$AA$20:$AA$173,('[2]Input Data'!$B$20:$B$173=Changes!B111)*('[2]Input Data'!$C$20:$C$173=Changes!C111),0)</f>
        <v>1908722.49728835</v>
      </c>
      <c r="J111" s="346" t="str" cm="1">
        <f t="array" ref="J111">_xlfn._xlws.FILTER('Input Data'!$E$20:$E$963,('Input Data'!$B$20:$B$963=Changes!B111)*('Input Data'!$C$20:$C$963=Changes!C111),0)</f>
        <v>In-Orbit</v>
      </c>
      <c r="K111" s="347" cm="1">
        <f t="array" ref="K111">_xlfn._xlws.FILTER('Input Data'!$L$20:$L$963,('Input Data'!$B$20:$B$963=Changes!B111)*('Input Data'!$C$20:$C$963=Changes!C111),0)</f>
        <v>45965</v>
      </c>
      <c r="L111" s="356" t="str" cm="1">
        <f t="array" ref="L111">_xlfn._xlws.FILTER('[2]Input Data'!$D$20:$D$173,('[2]Input Data'!$B$20:$B$173=Changes!B111)*('[2]Input Data'!$C$20:$C$173=Changes!C111),0)</f>
        <v>In-Orbit</v>
      </c>
      <c r="M111" s="314">
        <f>IFERROR(INDEX('Input Data'!$P$10:$P$14,MATCH(DATEDIF($M$4,G111,"M"),'Input Data'!$O$10:$O$14,1)),0)</f>
        <v>0.4</v>
      </c>
      <c r="N111" s="227"/>
      <c r="O111" s="227">
        <f>INDEX('Input Data'!$P$10:$P$14,MATCH(DATEDIF($O$4,G111,"M"),'Input Data'!$O$10:$O$14,1))</f>
        <v>0.4</v>
      </c>
      <c r="P111" s="204">
        <f t="shared" si="13"/>
        <v>0</v>
      </c>
      <c r="R111" cm="1">
        <f t="array" ref="R111">_xlfn.LET(_xlpm.current,INDEX('Input Data'!$M$20:$M$963,MATCH(Changes!B111&amp;"_"&amp;Changes!C111,'Input Data'!$B$20:$B$963&amp;"_"&amp;'Input Data'!$C$20:$C$963,0)),_xlpm.prev,INDEX('[2]Input Data'!$L$20:$L$173,MATCH(B111&amp;"_"&amp;C111,'[2]Input Data'!$B$20:$B$173&amp;"_"&amp;'[2]Input Data'!$C$20:$C$173,0)),
IF(OR(ISNA(_xlpm.current),ISNA(_xlpm.prev)),0,_xlpm.current-_xlpm.prev))</f>
        <v>0</v>
      </c>
      <c r="S111" s="186" t="b">
        <f t="shared" si="15"/>
        <v>0</v>
      </c>
      <c r="T111" t="str" cm="1">
        <f t="array" ref="T111">IFERROR(_xlfn._xlws.FILTER('Input Data'!$N$20:$N$963,('Input Data'!$B$20:$B$963=Changes!B111)*('Input Data'!$C$20:$C$963=Changes!C111)),_xlfn._xlws.FILTER('[2]Input Data'!$M$20:$M$173,('[2]Input Data'!$B$20:$B$173=Changes!B111)*('[2]Input Data'!$C$20:$C$173=Changes!C111)))</f>
        <v>SSL (Space Systems/Loral)</v>
      </c>
      <c r="V111" s="348"/>
      <c r="W111" s="227"/>
      <c r="X111" s="265" t="str">
        <v>E65WA</v>
      </c>
      <c r="Y111" s="266">
        <v>5533750.3557227198</v>
      </c>
      <c r="AB111" s="33"/>
      <c r="AC111" s="33"/>
    </row>
    <row r="112" spans="1:29" x14ac:dyDescent="0.35">
      <c r="A112">
        <f t="shared" si="14"/>
        <v>1</v>
      </c>
      <c r="B112" s="315">
        <v>362037</v>
      </c>
      <c r="C112" s="282">
        <v>496234</v>
      </c>
      <c r="D112" s="282" t="str">
        <v>STAR ONE C4</v>
      </c>
      <c r="E112" s="282" t="str">
        <v>FUL</v>
      </c>
      <c r="F112" s="282" t="str">
        <v>GEO-GSO</v>
      </c>
      <c r="G112" s="283" cm="1">
        <f t="array" ref="G112">_xlfn.IFNA(INDEX('Input Data'!$M$20:$M$963,MATCH(Changes!B112&amp;"_"&amp;Changes!C112,'Input Data'!$B$20:$B$963&amp;"_"&amp;'Input Data'!$C$20:$C$963,0)),INDEX('[2]Input Data'!$L$20:$L$158,MATCH(B112&amp;"_"&amp;C112,'[2]Input Data'!$B$20:$B$158&amp;"_"&amp;'[2]Input Data'!$C$20:$C$158,0)))</f>
        <v>46334</v>
      </c>
      <c r="H112" s="313" cm="1">
        <f t="array" ref="H112">_xlfn._xlws.FILTER('Input Data'!$AA$20:$AA$963,('Input Data'!$B$20:$B$963=Changes!B112)*('Input Data'!$C$20:$C$963=Changes!C112),0)</f>
        <v>1324629.2761428</v>
      </c>
      <c r="I112" s="313" cm="1">
        <f t="array" ref="I112">_xlfn._xlws.FILTER('[2]Input Data'!$AA$20:$AA$173,('[2]Input Data'!$B$20:$B$173=Changes!B112)*('[2]Input Data'!$C$20:$C$173=Changes!C112),0)</f>
        <v>1324629.2761428</v>
      </c>
      <c r="J112" s="346" t="str" cm="1">
        <f t="array" ref="J112">_xlfn._xlws.FILTER('Input Data'!$E$20:$E$963,('Input Data'!$B$20:$B$963=Changes!B112)*('Input Data'!$C$20:$C$963=Changes!C112),0)</f>
        <v>In-Orbit</v>
      </c>
      <c r="K112" s="347" cm="1">
        <f t="array" ref="K112">_xlfn._xlws.FILTER('Input Data'!$L$20:$L$963,('Input Data'!$B$20:$B$963=Changes!B112)*('Input Data'!$C$20:$C$963=Changes!C112),0)</f>
        <v>45970</v>
      </c>
      <c r="L112" s="356" t="str" cm="1">
        <f t="array" ref="L112">_xlfn._xlws.FILTER('[2]Input Data'!$D$20:$D$173,('[2]Input Data'!$B$20:$B$173=Changes!B112)*('[2]Input Data'!$C$20:$C$173=Changes!C112),0)</f>
        <v>In-Orbit</v>
      </c>
      <c r="M112" s="314">
        <f>IFERROR(INDEX('Input Data'!$P$10:$P$14,MATCH(DATEDIF($M$4,G112,"M"),'Input Data'!$O$10:$O$14,1)),0)</f>
        <v>0.4</v>
      </c>
      <c r="N112" s="227"/>
      <c r="O112" s="227">
        <f>INDEX('Input Data'!$P$10:$P$14,MATCH(DATEDIF($O$4,G112,"M"),'Input Data'!$O$10:$O$14,1))</f>
        <v>0.4</v>
      </c>
      <c r="P112" s="204">
        <f t="shared" si="13"/>
        <v>0</v>
      </c>
      <c r="R112" cm="1">
        <f t="array" ref="R112">_xlfn.LET(_xlpm.current,INDEX('Input Data'!$M$20:$M$963,MATCH(Changes!B112&amp;"_"&amp;Changes!C112,'Input Data'!$B$20:$B$963&amp;"_"&amp;'Input Data'!$C$20:$C$963,0)),_xlpm.prev,INDEX('[2]Input Data'!$L$20:$L$173,MATCH(B112&amp;"_"&amp;C112,'[2]Input Data'!$B$20:$B$173&amp;"_"&amp;'[2]Input Data'!$C$20:$C$173,0)),
IF(OR(ISNA(_xlpm.current),ISNA(_xlpm.prev)),0,_xlpm.current-_xlpm.prev))</f>
        <v>0</v>
      </c>
      <c r="S112" s="186" t="b">
        <f t="shared" si="15"/>
        <v>0</v>
      </c>
      <c r="T112" t="str" cm="1">
        <f t="array" ref="T112">IFERROR(_xlfn._xlws.FILTER('Input Data'!$N$20:$N$963,('Input Data'!$B$20:$B$963=Changes!B112)*('Input Data'!$C$20:$C$963=Changes!C112)),_xlfn._xlws.FILTER('[2]Input Data'!$M$20:$M$173,('[2]Input Data'!$B$20:$B$173=Changes!B112)*('[2]Input Data'!$C$20:$C$173=Changes!C112)))</f>
        <v>SSL (Space Systems/Loral)</v>
      </c>
      <c r="V112" s="348"/>
      <c r="W112" s="227"/>
      <c r="X112" s="265" t="str">
        <v>E172B</v>
      </c>
      <c r="Y112" s="266">
        <v>10746231.046425199</v>
      </c>
      <c r="AB112" s="33"/>
      <c r="AC112" s="33"/>
    </row>
    <row r="113" spans="1:29" x14ac:dyDescent="0.35">
      <c r="A113">
        <f t="shared" si="14"/>
        <v>1</v>
      </c>
      <c r="B113" s="315">
        <v>362037</v>
      </c>
      <c r="C113" s="282">
        <v>496235</v>
      </c>
      <c r="D113" s="282" t="str">
        <v>STAR ONE D2</v>
      </c>
      <c r="E113" s="282" t="str">
        <v>FUL</v>
      </c>
      <c r="F113" s="282" t="str">
        <v>GEO-GSO</v>
      </c>
      <c r="G113" s="283" cm="1">
        <f t="array" ref="G113">_xlfn.IFNA(INDEX('Input Data'!$M$20:$M$963,MATCH(Changes!B113&amp;"_"&amp;Changes!C113,'Input Data'!$B$20:$B$963&amp;"_"&amp;'Input Data'!$C$20:$C$963,0)),INDEX('[2]Input Data'!$L$20:$L$158,MATCH(B113&amp;"_"&amp;C113,'[2]Input Data'!$B$20:$B$158&amp;"_"&amp;'[2]Input Data'!$C$20:$C$158,0)))</f>
        <v>46334</v>
      </c>
      <c r="H113" s="313" cm="1">
        <f t="array" ref="H113">_xlfn._xlws.FILTER('Input Data'!$AA$20:$AA$963,('Input Data'!$B$20:$B$963=Changes!B113)*('Input Data'!$C$20:$C$963=Changes!C113),0)</f>
        <v>1940659.79057999</v>
      </c>
      <c r="I113" s="313" cm="1">
        <f t="array" ref="I113">_xlfn._xlws.FILTER('[2]Input Data'!$AA$20:$AA$173,('[2]Input Data'!$B$20:$B$173=Changes!B113)*('[2]Input Data'!$C$20:$C$173=Changes!C113),0)</f>
        <v>1940659.79057999</v>
      </c>
      <c r="J113" s="346" t="str" cm="1">
        <f t="array" ref="J113">_xlfn._xlws.FILTER('Input Data'!$E$20:$E$963,('Input Data'!$B$20:$B$963=Changes!B113)*('Input Data'!$C$20:$C$963=Changes!C113),0)</f>
        <v>In-Orbit</v>
      </c>
      <c r="K113" s="347" cm="1">
        <f t="array" ref="K113">_xlfn._xlws.FILTER('Input Data'!$L$20:$L$963,('Input Data'!$B$20:$B$963=Changes!B113)*('Input Data'!$C$20:$C$963=Changes!C113),0)</f>
        <v>45970</v>
      </c>
      <c r="L113" s="356" t="str" cm="1">
        <f t="array" ref="L113">_xlfn._xlws.FILTER('[2]Input Data'!$D$20:$D$173,('[2]Input Data'!$B$20:$B$173=Changes!B113)*('[2]Input Data'!$C$20:$C$173=Changes!C113),0)</f>
        <v>In-Orbit</v>
      </c>
      <c r="M113" s="314">
        <f>IFERROR(INDEX('Input Data'!$P$10:$P$14,MATCH(DATEDIF($M$4,G113,"M"),'Input Data'!$O$10:$O$14,1)),0)</f>
        <v>0.4</v>
      </c>
      <c r="N113" s="227"/>
      <c r="O113" s="227">
        <f>INDEX('Input Data'!$P$10:$P$14,MATCH(DATEDIF($O$4,G113,"M"),'Input Data'!$O$10:$O$14,1))</f>
        <v>0.4</v>
      </c>
      <c r="P113" s="204">
        <f t="shared" si="13"/>
        <v>0</v>
      </c>
      <c r="R113" cm="1">
        <f t="array" ref="R113">_xlfn.LET(_xlpm.current,INDEX('Input Data'!$M$20:$M$963,MATCH(Changes!B113&amp;"_"&amp;Changes!C113,'Input Data'!$B$20:$B$963&amp;"_"&amp;'Input Data'!$C$20:$C$963,0)),_xlpm.prev,INDEX('[2]Input Data'!$L$20:$L$173,MATCH(B113&amp;"_"&amp;C113,'[2]Input Data'!$B$20:$B$173&amp;"_"&amp;'[2]Input Data'!$C$20:$C$173,0)),
IF(OR(ISNA(_xlpm.current),ISNA(_xlpm.prev)),0,_xlpm.current-_xlpm.prev))</f>
        <v>0</v>
      </c>
      <c r="S113" s="186" t="b">
        <f t="shared" si="15"/>
        <v>0</v>
      </c>
      <c r="T113" t="str" cm="1">
        <f t="array" ref="T113">IFERROR(_xlfn._xlws.FILTER('Input Data'!$N$20:$N$963,('Input Data'!$B$20:$B$963=Changes!B113)*('Input Data'!$C$20:$C$963=Changes!C113)),_xlfn._xlws.FILTER('[2]Input Data'!$M$20:$M$173,('[2]Input Data'!$B$20:$B$173=Changes!B113)*('[2]Input Data'!$C$20:$C$173=Changes!C113)))</f>
        <v>SSL (Space Systems/Loral)</v>
      </c>
      <c r="V113" s="348"/>
      <c r="W113" s="227"/>
      <c r="X113" s="265" t="str">
        <v>Quantum</v>
      </c>
      <c r="Y113" s="266">
        <v>11189100.5630337</v>
      </c>
      <c r="AB113" s="33"/>
      <c r="AC113" s="33"/>
    </row>
    <row r="114" spans="1:29" x14ac:dyDescent="0.35">
      <c r="A114">
        <f t="shared" si="14"/>
        <v>1</v>
      </c>
      <c r="B114" s="315">
        <v>362037</v>
      </c>
      <c r="C114" s="282">
        <v>496236</v>
      </c>
      <c r="D114" s="282" t="str">
        <v>STAR ONE D1</v>
      </c>
      <c r="E114" s="282" t="str">
        <v>FUL</v>
      </c>
      <c r="F114" s="282" t="str">
        <v>GEO-GSO</v>
      </c>
      <c r="G114" s="283" cm="1">
        <f t="array" ref="G114">_xlfn.IFNA(INDEX('Input Data'!$M$20:$M$963,MATCH(Changes!B114&amp;"_"&amp;Changes!C114,'Input Data'!$B$20:$B$963&amp;"_"&amp;'Input Data'!$C$20:$C$963,0)),INDEX('[2]Input Data'!$L$20:$L$158,MATCH(B114&amp;"_"&amp;C114,'[2]Input Data'!$B$20:$B$158&amp;"_"&amp;'[2]Input Data'!$C$20:$C$158,0)))</f>
        <v>46334</v>
      </c>
      <c r="H114" s="313" cm="1">
        <f t="array" ref="H114">_xlfn._xlws.FILTER('Input Data'!$AA$20:$AA$963,('Input Data'!$B$20:$B$963=Changes!B114)*('Input Data'!$C$20:$C$963=Changes!C114),0)</f>
        <v>1940659.79057999</v>
      </c>
      <c r="I114" s="313" cm="1">
        <f t="array" ref="I114">_xlfn._xlws.FILTER('[2]Input Data'!$AA$20:$AA$173,('[2]Input Data'!$B$20:$B$173=Changes!B114)*('[2]Input Data'!$C$20:$C$173=Changes!C114),0)</f>
        <v>1940659.79057999</v>
      </c>
      <c r="J114" s="346" t="str" cm="1">
        <f t="array" ref="J114">_xlfn._xlws.FILTER('Input Data'!$E$20:$E$963,('Input Data'!$B$20:$B$963=Changes!B114)*('Input Data'!$C$20:$C$963=Changes!C114),0)</f>
        <v>In-Orbit</v>
      </c>
      <c r="K114" s="347" cm="1">
        <f t="array" ref="K114">_xlfn._xlws.FILTER('Input Data'!$L$20:$L$963,('Input Data'!$B$20:$B$963=Changes!B114)*('Input Data'!$C$20:$C$963=Changes!C114),0)</f>
        <v>45970</v>
      </c>
      <c r="L114" s="356" t="str" cm="1">
        <f t="array" ref="L114">_xlfn._xlws.FILTER('[2]Input Data'!$D$20:$D$173,('[2]Input Data'!$B$20:$B$173=Changes!B114)*('[2]Input Data'!$C$20:$C$173=Changes!C114),0)</f>
        <v>In-Orbit</v>
      </c>
      <c r="M114" s="314">
        <f>IFERROR(INDEX('Input Data'!$P$10:$P$14,MATCH(DATEDIF($M$4,G114,"M"),'Input Data'!$O$10:$O$14,1)),0)</f>
        <v>0.4</v>
      </c>
      <c r="N114" s="227"/>
      <c r="O114" s="227">
        <f>INDEX('Input Data'!$P$10:$P$14,MATCH(DATEDIF($O$4,G114,"M"),'Input Data'!$O$10:$O$14,1))</f>
        <v>0.4</v>
      </c>
      <c r="P114" s="204">
        <f t="shared" si="13"/>
        <v>0</v>
      </c>
      <c r="R114" cm="1">
        <f t="array" ref="R114">_xlfn.LET(_xlpm.current,INDEX('Input Data'!$M$20:$M$963,MATCH(Changes!B114&amp;"_"&amp;Changes!C114,'Input Data'!$B$20:$B$963&amp;"_"&amp;'Input Data'!$C$20:$C$963,0)),_xlpm.prev,INDEX('[2]Input Data'!$L$20:$L$173,MATCH(B114&amp;"_"&amp;C114,'[2]Input Data'!$B$20:$B$173&amp;"_"&amp;'[2]Input Data'!$C$20:$C$173,0)),
IF(OR(ISNA(_xlpm.current),ISNA(_xlpm.prev)),0,_xlpm.current-_xlpm.prev))</f>
        <v>0</v>
      </c>
      <c r="S114" s="186" t="b">
        <f t="shared" si="15"/>
        <v>0</v>
      </c>
      <c r="T114" t="str" cm="1">
        <f t="array" ref="T114">IFERROR(_xlfn._xlws.FILTER('Input Data'!$N$20:$N$963,('Input Data'!$B$20:$B$963=Changes!B114)*('Input Data'!$C$20:$C$963=Changes!C114)),_xlfn._xlws.FILTER('[2]Input Data'!$M$20:$M$173,('[2]Input Data'!$B$20:$B$173=Changes!B114)*('[2]Input Data'!$C$20:$C$173=Changes!C114)))</f>
        <v>SSL (Space Systems/Loral)</v>
      </c>
      <c r="V114" s="348"/>
      <c r="W114" s="227"/>
      <c r="X114" s="265" t="str">
        <v>CO3D 1</v>
      </c>
      <c r="Y114" s="266">
        <v>2196138.3852966102</v>
      </c>
      <c r="AB114" s="33"/>
      <c r="AC114" s="33"/>
    </row>
    <row r="115" spans="1:29" x14ac:dyDescent="0.35">
      <c r="A115">
        <f t="shared" si="14"/>
        <v>1</v>
      </c>
      <c r="B115" s="315">
        <v>363056</v>
      </c>
      <c r="C115" s="282">
        <v>498208</v>
      </c>
      <c r="D115" s="282" t="str">
        <v>NULL</v>
      </c>
      <c r="E115" s="282" t="str">
        <v>FIID</v>
      </c>
      <c r="F115" s="282" t="str">
        <v>NULL</v>
      </c>
      <c r="G115" s="283" cm="1">
        <f t="array" ref="G115">_xlfn.IFNA(INDEX('Input Data'!$M$20:$M$963,MATCH(Changes!B115&amp;"_"&amp;Changes!C115,'Input Data'!$B$20:$B$963&amp;"_"&amp;'Input Data'!$C$20:$C$963,0)),INDEX('[2]Input Data'!$L$20:$L$158,MATCH(B115&amp;"_"&amp;C115,'[2]Input Data'!$B$20:$B$158&amp;"_"&amp;'[2]Input Data'!$C$20:$C$158,0)))</f>
        <v>46934</v>
      </c>
      <c r="H115" s="313" cm="1">
        <f t="array" ref="H115">_xlfn._xlws.FILTER('Input Data'!$AA$20:$AA$963,('Input Data'!$B$20:$B$963=Changes!B115)*('Input Data'!$C$20:$C$963=Changes!C115),0)</f>
        <v>0</v>
      </c>
      <c r="I115" s="313" cm="1">
        <f t="array" ref="I115">_xlfn._xlws.FILTER('[2]Input Data'!$AA$20:$AA$173,('[2]Input Data'!$B$20:$B$173=Changes!B115)*('[2]Input Data'!$C$20:$C$173=Changes!C115),0)</f>
        <v>0</v>
      </c>
      <c r="J115" s="346" t="str" cm="1">
        <f t="array" ref="J115">_xlfn._xlws.FILTER('Input Data'!$E$20:$E$963,('Input Data'!$B$20:$B$963=Changes!B115)*('Input Data'!$C$20:$C$963=Changes!C115),0)</f>
        <v>NULL</v>
      </c>
      <c r="K115" s="347" cm="1">
        <f t="array" ref="K115">_xlfn._xlws.FILTER('Input Data'!$L$20:$L$963,('Input Data'!$B$20:$B$963=Changes!B115)*('Input Data'!$C$20:$C$963=Changes!C115),0)</f>
        <v>46022</v>
      </c>
      <c r="L115" s="356" cm="1">
        <f t="array" ref="L115">_xlfn._xlws.FILTER('[2]Input Data'!$D$20:$D$173,('[2]Input Data'!$B$20:$B$173=Changes!B115)*('[2]Input Data'!$C$20:$C$173=Changes!C115),0)</f>
        <v>0</v>
      </c>
      <c r="M115" s="314">
        <f>IFERROR(INDEX('Input Data'!$P$10:$P$14,MATCH(DATEDIF($M$4,G115,"M"),'Input Data'!$O$10:$O$14,1)),0)</f>
        <v>0.8</v>
      </c>
      <c r="N115" s="227"/>
      <c r="O115" s="227">
        <f>INDEX('Input Data'!$P$10:$P$14,MATCH(DATEDIF($O$4,G115,"M"),'Input Data'!$O$10:$O$14,1))</f>
        <v>0.8</v>
      </c>
      <c r="P115" s="204">
        <f t="shared" si="13"/>
        <v>0</v>
      </c>
      <c r="R115" cm="1">
        <f t="array" ref="R115">_xlfn.LET(_xlpm.current,INDEX('Input Data'!$M$20:$M$963,MATCH(Changes!B115&amp;"_"&amp;Changes!C115,'Input Data'!$B$20:$B$963&amp;"_"&amp;'Input Data'!$C$20:$C$963,0)),_xlpm.prev,INDEX('[2]Input Data'!$L$20:$L$173,MATCH(B115&amp;"_"&amp;C115,'[2]Input Data'!$B$20:$B$173&amp;"_"&amp;'[2]Input Data'!$C$20:$C$173,0)),
IF(OR(ISNA(_xlpm.current),ISNA(_xlpm.prev)),0,_xlpm.current-_xlpm.prev))</f>
        <v>0</v>
      </c>
      <c r="S115" s="186" t="b">
        <f t="shared" si="15"/>
        <v>0</v>
      </c>
      <c r="T115" t="str" cm="1">
        <f t="array" ref="T115">IFERROR(_xlfn._xlws.FILTER('Input Data'!$N$20:$N$963,('Input Data'!$B$20:$B$963=Changes!B115)*('Input Data'!$C$20:$C$963=Changes!C115)),_xlfn._xlws.FILTER('[2]Input Data'!$M$20:$M$173,('[2]Input Data'!$B$20:$B$173=Changes!B115)*('[2]Input Data'!$C$20:$C$173=Changes!C115)))</f>
        <v>NULL</v>
      </c>
      <c r="V115" s="348"/>
      <c r="W115" s="227"/>
      <c r="X115" s="265" t="str">
        <v>CO3D 2</v>
      </c>
      <c r="Y115" s="266">
        <v>2196138.3852966102</v>
      </c>
      <c r="AB115" s="33"/>
      <c r="AC115" s="33"/>
    </row>
    <row r="116" spans="1:29" x14ac:dyDescent="0.35">
      <c r="A116">
        <f t="shared" si="14"/>
        <v>1</v>
      </c>
      <c r="B116" s="315">
        <v>363056</v>
      </c>
      <c r="C116" s="282">
        <v>498244</v>
      </c>
      <c r="D116" s="282" t="str">
        <v>NULL</v>
      </c>
      <c r="E116" s="282" t="str">
        <v>FIID</v>
      </c>
      <c r="F116" s="282" t="str">
        <v>NULL</v>
      </c>
      <c r="G116" s="283" cm="1">
        <f t="array" ref="G116">_xlfn.IFNA(INDEX('Input Data'!$M$20:$M$963,MATCH(Changes!B116&amp;"_"&amp;Changes!C116,'Input Data'!$B$20:$B$963&amp;"_"&amp;'Input Data'!$C$20:$C$963,0)),INDEX('[2]Input Data'!$L$20:$L$158,MATCH(B116&amp;"_"&amp;C116,'[2]Input Data'!$B$20:$B$158&amp;"_"&amp;'[2]Input Data'!$C$20:$C$158,0)))</f>
        <v>46934</v>
      </c>
      <c r="H116" s="313" cm="1">
        <f t="array" ref="H116">_xlfn._xlws.FILTER('Input Data'!$AA$20:$AA$963,('Input Data'!$B$20:$B$963=Changes!B116)*('Input Data'!$C$20:$C$963=Changes!C116),0)</f>
        <v>0</v>
      </c>
      <c r="I116" s="313" cm="1">
        <f t="array" ref="I116">_xlfn._xlws.FILTER('[2]Input Data'!$AA$20:$AA$173,('[2]Input Data'!$B$20:$B$173=Changes!B116)*('[2]Input Data'!$C$20:$C$173=Changes!C116),0)</f>
        <v>0</v>
      </c>
      <c r="J116" s="346" t="str" cm="1">
        <f t="array" ref="J116">_xlfn._xlws.FILTER('Input Data'!$E$20:$E$963,('Input Data'!$B$20:$B$963=Changes!B116)*('Input Data'!$C$20:$C$963=Changes!C116),0)</f>
        <v>NULL</v>
      </c>
      <c r="K116" s="347" cm="1">
        <f t="array" ref="K116">_xlfn._xlws.FILTER('Input Data'!$L$20:$L$963,('Input Data'!$B$20:$B$963=Changes!B116)*('Input Data'!$C$20:$C$963=Changes!C116),0)</f>
        <v>46022</v>
      </c>
      <c r="L116" s="356" cm="1">
        <f t="array" ref="L116">_xlfn._xlws.FILTER('[2]Input Data'!$D$20:$D$173,('[2]Input Data'!$B$20:$B$173=Changes!B116)*('[2]Input Data'!$C$20:$C$173=Changes!C116),0)</f>
        <v>0</v>
      </c>
      <c r="M116" s="314">
        <f>IFERROR(INDEX('Input Data'!$P$10:$P$14,MATCH(DATEDIF($M$4,G116,"M"),'Input Data'!$O$10:$O$14,1)),0)</f>
        <v>0.8</v>
      </c>
      <c r="N116" s="227"/>
      <c r="O116" s="227">
        <f>INDEX('Input Data'!$P$10:$P$14,MATCH(DATEDIF($O$4,G116,"M"),'Input Data'!$O$10:$O$14,1))</f>
        <v>0.8</v>
      </c>
      <c r="P116" s="204">
        <f t="shared" si="13"/>
        <v>0</v>
      </c>
      <c r="R116" cm="1">
        <f t="array" ref="R116">_xlfn.LET(_xlpm.current,INDEX('Input Data'!$M$20:$M$963,MATCH(Changes!B116&amp;"_"&amp;Changes!C116,'Input Data'!$B$20:$B$963&amp;"_"&amp;'Input Data'!$C$20:$C$963,0)),_xlpm.prev,INDEX('[2]Input Data'!$L$20:$L$173,MATCH(B116&amp;"_"&amp;C116,'[2]Input Data'!$B$20:$B$173&amp;"_"&amp;'[2]Input Data'!$C$20:$C$173,0)),
IF(OR(ISNA(_xlpm.current),ISNA(_xlpm.prev)),0,_xlpm.current-_xlpm.prev))</f>
        <v>0</v>
      </c>
      <c r="S116" s="186" t="b">
        <f t="shared" si="15"/>
        <v>0</v>
      </c>
      <c r="T116" t="str" cm="1">
        <f t="array" ref="T116">IFERROR(_xlfn._xlws.FILTER('Input Data'!$N$20:$N$963,('Input Data'!$B$20:$B$963=Changes!B116)*('Input Data'!$C$20:$C$963=Changes!C116)),_xlfn._xlws.FILTER('[2]Input Data'!$M$20:$M$173,('[2]Input Data'!$B$20:$B$173=Changes!B116)*('[2]Input Data'!$C$20:$C$173=Changes!C116)))</f>
        <v>NULL</v>
      </c>
      <c r="V116" s="348"/>
      <c r="W116" s="227"/>
      <c r="X116" s="265" t="str">
        <v>CO3D 3</v>
      </c>
      <c r="Y116" s="266">
        <v>2196138.3852966102</v>
      </c>
      <c r="AB116" s="33"/>
      <c r="AC116" s="33"/>
    </row>
    <row r="117" spans="1:29" x14ac:dyDescent="0.35">
      <c r="A117">
        <f t="shared" si="14"/>
        <v>1</v>
      </c>
      <c r="B117" s="315">
        <v>364260</v>
      </c>
      <c r="C117" s="357">
        <v>500084</v>
      </c>
      <c r="D117" s="282" t="str">
        <v>AZERSPACE-1/AFRICASAT 1A</v>
      </c>
      <c r="E117" s="282" t="str">
        <v>FUL</v>
      </c>
      <c r="F117" s="282" t="str">
        <v>GEO-GSO</v>
      </c>
      <c r="G117" s="283" cm="1">
        <f t="array" ref="G117">_xlfn.IFNA(INDEX('Input Data'!$M$20:$M$963,MATCH(Changes!B117&amp;"_"&amp;Changes!C117,'Input Data'!$B$20:$B$963&amp;"_"&amp;'Input Data'!$C$20:$C$963,0)),INDEX('[2]Input Data'!$L$20:$L$158,MATCH(B117&amp;"_"&amp;C117,'[2]Input Data'!$B$20:$B$158&amp;"_"&amp;'[2]Input Data'!$C$20:$C$158,0)))</f>
        <v>46418</v>
      </c>
      <c r="H117" s="313" cm="1">
        <f t="array" ref="H117">_xlfn._xlws.FILTER('Input Data'!$AA$20:$AA$963,('Input Data'!$B$20:$B$963=Changes!B117)*('Input Data'!$C$20:$C$963=Changes!C117),0)</f>
        <v>6576079.0788000003</v>
      </c>
      <c r="I117" s="313" cm="1">
        <f t="array" ref="I117">_xlfn._xlws.FILTER('[2]Input Data'!$AA$20:$AA$173,('[2]Input Data'!$B$20:$B$173=Changes!B117)*('[2]Input Data'!$C$20:$C$173=Changes!C117),0)</f>
        <v>0</v>
      </c>
      <c r="J117" s="346" t="str" cm="1">
        <f t="array" ref="J117">_xlfn._xlws.FILTER('Input Data'!$E$20:$E$963,('Input Data'!$B$20:$B$963=Changes!B117)*('Input Data'!$C$20:$C$963=Changes!C117),0)</f>
        <v>In-Orbit</v>
      </c>
      <c r="K117" s="347" cm="1">
        <f t="array" ref="K117">_xlfn._xlws.FILTER('Input Data'!$L$20:$L$963,('Input Data'!$B$20:$B$963=Changes!B117)*('Input Data'!$C$20:$C$963=Changes!C117),0)</f>
        <v>46054</v>
      </c>
      <c r="L117" s="356" cm="1">
        <f t="array" ref="L117">_xlfn._xlws.FILTER('[2]Input Data'!$D$20:$D$173,('[2]Input Data'!$B$20:$B$173=Changes!B117)*('[2]Input Data'!$C$20:$C$173=Changes!C117),0)</f>
        <v>0</v>
      </c>
      <c r="M117" s="314">
        <f>IFERROR(INDEX('Input Data'!$P$10:$P$14,MATCH(DATEDIF($M$4,G117,"M"),'Input Data'!$O$10:$O$14,1)),0)</f>
        <v>0.4</v>
      </c>
      <c r="N117" s="227"/>
      <c r="O117" s="227">
        <f>INDEX('Input Data'!$P$10:$P$14,MATCH(DATEDIF($O$4,G117,"M"),'Input Data'!$O$10:$O$14,1))</f>
        <v>0.6</v>
      </c>
      <c r="P117" s="204">
        <f t="shared" si="13"/>
        <v>6576079.0788000003</v>
      </c>
      <c r="Q117" s="339" t="s">
        <v>359</v>
      </c>
      <c r="R117" cm="1">
        <f t="array" ref="R117">_xlfn.LET(_xlpm.current,INDEX('Input Data'!$M$20:$M$963,MATCH(Changes!B117&amp;"_"&amp;Changes!C117,'Input Data'!$B$20:$B$963&amp;"_"&amp;'Input Data'!$C$20:$C$963,0)),_xlpm.prev,INDEX('[2]Input Data'!$L$20:$L$173,MATCH(B117&amp;"_"&amp;C117,'[2]Input Data'!$B$20:$B$173&amp;"_"&amp;'[2]Input Data'!$C$20:$C$173,0)),
IF(OR(ISNA(_xlpm.current),ISNA(_xlpm.prev)),0,_xlpm.current-_xlpm.prev))</f>
        <v>0</v>
      </c>
      <c r="S117" s="186" t="b">
        <f t="shared" si="15"/>
        <v>1</v>
      </c>
      <c r="T117" t="str" cm="1">
        <f t="array" ref="T117">IFERROR(_xlfn._xlws.FILTER('Input Data'!$N$20:$N$963,('Input Data'!$B$20:$B$963=Changes!B117)*('Input Data'!$C$20:$C$963=Changes!C117)),_xlfn._xlws.FILTER('[2]Input Data'!$M$20:$M$173,('[2]Input Data'!$B$20:$B$173=Changes!B117)*('[2]Input Data'!$C$20:$C$173=Changes!C117)))</f>
        <v>Orbital Sciences Corporation</v>
      </c>
      <c r="V117" s="348" t="s">
        <v>589</v>
      </c>
      <c r="W117" s="227"/>
      <c r="X117" s="265" t="str">
        <v>CO3D 4</v>
      </c>
      <c r="Y117" s="266">
        <v>2196138.3852966102</v>
      </c>
      <c r="AB117" s="33"/>
      <c r="AC117" s="33"/>
    </row>
    <row r="118" spans="1:29" x14ac:dyDescent="0.35">
      <c r="A118">
        <f t="shared" si="14"/>
        <v>1</v>
      </c>
      <c r="B118" s="315">
        <v>364280</v>
      </c>
      <c r="C118" s="358">
        <v>500128</v>
      </c>
      <c r="D118" s="282" t="str">
        <v>JCSAT-2B (JCSAT-14)</v>
      </c>
      <c r="E118" s="282" t="str">
        <v>FUL</v>
      </c>
      <c r="F118" s="282" t="str">
        <v>GEO-GSO</v>
      </c>
      <c r="G118" s="283" cm="1">
        <f t="array" ref="G118">_xlfn.IFNA(INDEX('Input Data'!$M$20:$M$963,MATCH(Changes!B118&amp;"_"&amp;Changes!C118,'Input Data'!$B$20:$B$963&amp;"_"&amp;'Input Data'!$C$20:$C$963,0)),INDEX('[2]Input Data'!$L$20:$L$158,MATCH(B118&amp;"_"&amp;C118,'[2]Input Data'!$B$20:$B$158&amp;"_"&amp;'[2]Input Data'!$C$20:$C$158,0)))</f>
        <v>46418</v>
      </c>
      <c r="H118" s="313" cm="1">
        <f t="array" ref="H118">_xlfn._xlws.FILTER('Input Data'!$AA$20:$AA$963,('Input Data'!$B$20:$B$963=Changes!B118)*('Input Data'!$C$20:$C$963=Changes!C118),0)</f>
        <v>627113.02780526399</v>
      </c>
      <c r="I118" s="313" cm="1">
        <f t="array" ref="I118">_xlfn._xlws.FILTER('[2]Input Data'!$AA$20:$AA$173,('[2]Input Data'!$B$20:$B$173=Changes!B118)*('[2]Input Data'!$C$20:$C$173=Changes!C118),0)</f>
        <v>0</v>
      </c>
      <c r="J118" s="346" t="str" cm="1">
        <f t="array" ref="J118">_xlfn._xlws.FILTER('Input Data'!$E$20:$E$963,('Input Data'!$B$20:$B$963=Changes!B118)*('Input Data'!$C$20:$C$963=Changes!C118),0)</f>
        <v>In-Orbit</v>
      </c>
      <c r="K118" s="347" cm="1">
        <f t="array" ref="K118">_xlfn._xlws.FILTER('Input Data'!$L$20:$L$963,('Input Data'!$B$20:$B$963=Changes!B118)*('Input Data'!$C$20:$C$963=Changes!C118),0)</f>
        <v>46054</v>
      </c>
      <c r="L118" s="356" cm="1">
        <f t="array" ref="L118">_xlfn._xlws.FILTER('[2]Input Data'!$D$20:$D$173,('[2]Input Data'!$B$20:$B$173=Changes!B118)*('[2]Input Data'!$C$20:$C$173=Changes!C118),0)</f>
        <v>0</v>
      </c>
      <c r="M118" s="314">
        <f>IFERROR(INDEX('Input Data'!$P$10:$P$14,MATCH(DATEDIF($M$4,G118,"M"),'Input Data'!$O$10:$O$14,1)),0)</f>
        <v>0.4</v>
      </c>
      <c r="N118" s="227"/>
      <c r="O118" s="227">
        <f>INDEX('Input Data'!$P$10:$P$14,MATCH(DATEDIF($O$4,G118,"M"),'Input Data'!$O$10:$O$14,1))</f>
        <v>0.6</v>
      </c>
      <c r="P118" s="204">
        <f t="shared" si="13"/>
        <v>627113.02780526399</v>
      </c>
      <c r="Q118" s="339" t="s">
        <v>359</v>
      </c>
      <c r="R118" cm="1">
        <f t="array" ref="R118">_xlfn.LET(_xlpm.current,INDEX('Input Data'!$M$20:$M$963,MATCH(Changes!B118&amp;"_"&amp;Changes!C118,'Input Data'!$B$20:$B$963&amp;"_"&amp;'Input Data'!$C$20:$C$963,0)),_xlpm.prev,INDEX('[2]Input Data'!$L$20:$L$173,MATCH(B118&amp;"_"&amp;C118,'[2]Input Data'!$B$20:$B$173&amp;"_"&amp;'[2]Input Data'!$C$20:$C$173,0)),
IF(OR(ISNA(_xlpm.current),ISNA(_xlpm.prev)),0,_xlpm.current-_xlpm.prev))</f>
        <v>0</v>
      </c>
      <c r="S118" s="186" t="b">
        <f t="shared" si="15"/>
        <v>1</v>
      </c>
      <c r="T118" t="str" cm="1">
        <f t="array" ref="T118">IFERROR(_xlfn._xlws.FILTER('Input Data'!$N$20:$N$963,('Input Data'!$B$20:$B$963=Changes!B118)*('Input Data'!$C$20:$C$963=Changes!C118)),_xlfn._xlws.FILTER('[2]Input Data'!$M$20:$M$173,('[2]Input Data'!$B$20:$B$173=Changes!B118)*('[2]Input Data'!$C$20:$C$173=Changes!C118)))</f>
        <v>SSL (Space Systems/Loral)</v>
      </c>
      <c r="V118" s="348" t="s">
        <v>589</v>
      </c>
      <c r="W118" s="227"/>
      <c r="X118" s="265" t="str">
        <v>ASIASAT 5</v>
      </c>
      <c r="Y118" s="266">
        <v>6358762.8759999899</v>
      </c>
      <c r="AB118" s="33"/>
      <c r="AC118" s="33"/>
    </row>
    <row r="119" spans="1:29" x14ac:dyDescent="0.35">
      <c r="A119">
        <f t="shared" si="14"/>
        <v>1</v>
      </c>
      <c r="B119" s="315">
        <v>364280</v>
      </c>
      <c r="C119" s="358">
        <v>500129</v>
      </c>
      <c r="D119" s="282" t="str">
        <v>JCSAT-18/KACIFIC-1</v>
      </c>
      <c r="E119" s="282" t="str">
        <v>FUL</v>
      </c>
      <c r="F119" s="282" t="str">
        <v>GEO-GSO</v>
      </c>
      <c r="G119" s="283" cm="1">
        <f t="array" ref="G119">_xlfn.IFNA(INDEX('Input Data'!$M$20:$M$963,MATCH(Changes!B119&amp;"_"&amp;Changes!C119,'Input Data'!$B$20:$B$963&amp;"_"&amp;'Input Data'!$C$20:$C$963,0)),INDEX('[2]Input Data'!$L$20:$L$158,MATCH(B119&amp;"_"&amp;C119,'[2]Input Data'!$B$20:$B$158&amp;"_"&amp;'[2]Input Data'!$C$20:$C$158,0)))</f>
        <v>46418</v>
      </c>
      <c r="H119" s="313" cm="1">
        <f t="array" ref="H119">_xlfn._xlws.FILTER('Input Data'!$AA$20:$AA$963,('Input Data'!$B$20:$B$963=Changes!B119)*('Input Data'!$C$20:$C$963=Changes!C119),0)</f>
        <v>1316631.07608199</v>
      </c>
      <c r="I119" s="313" cm="1">
        <f t="array" ref="I119">_xlfn._xlws.FILTER('[2]Input Data'!$AA$20:$AA$173,('[2]Input Data'!$B$20:$B$173=Changes!B119)*('[2]Input Data'!$C$20:$C$173=Changes!C119),0)</f>
        <v>0</v>
      </c>
      <c r="J119" s="346" t="str" cm="1">
        <f t="array" ref="J119">_xlfn._xlws.FILTER('Input Data'!$E$20:$E$963,('Input Data'!$B$20:$B$963=Changes!B119)*('Input Data'!$C$20:$C$963=Changes!C119),0)</f>
        <v>In-Orbit</v>
      </c>
      <c r="K119" s="347" cm="1">
        <f t="array" ref="K119">_xlfn._xlws.FILTER('Input Data'!$L$20:$L$963,('Input Data'!$B$20:$B$963=Changes!B119)*('Input Data'!$C$20:$C$963=Changes!C119),0)</f>
        <v>46054</v>
      </c>
      <c r="L119" s="356" cm="1">
        <f t="array" ref="L119">_xlfn._xlws.FILTER('[2]Input Data'!$D$20:$D$173,('[2]Input Data'!$B$20:$B$173=Changes!B119)*('[2]Input Data'!$C$20:$C$173=Changes!C119),0)</f>
        <v>0</v>
      </c>
      <c r="M119" s="314">
        <f>IFERROR(INDEX('Input Data'!$P$10:$P$14,MATCH(DATEDIF($M$4,G119,"M"),'Input Data'!$O$10:$O$14,1)),0)</f>
        <v>0.4</v>
      </c>
      <c r="N119" s="227"/>
      <c r="O119" s="227">
        <f>INDEX('Input Data'!$P$10:$P$14,MATCH(DATEDIF($O$4,G119,"M"),'Input Data'!$O$10:$O$14,1))</f>
        <v>0.6</v>
      </c>
      <c r="P119" s="204">
        <f t="shared" si="13"/>
        <v>1316631.07608199</v>
      </c>
      <c r="Q119" s="339" t="s">
        <v>359</v>
      </c>
      <c r="R119" cm="1">
        <f t="array" ref="R119">_xlfn.LET(_xlpm.current,INDEX('Input Data'!$M$20:$M$963,MATCH(Changes!B119&amp;"_"&amp;Changes!C119,'Input Data'!$B$20:$B$963&amp;"_"&amp;'Input Data'!$C$20:$C$963,0)),_xlpm.prev,INDEX('[2]Input Data'!$L$20:$L$173,MATCH(B119&amp;"_"&amp;C119,'[2]Input Data'!$B$20:$B$173&amp;"_"&amp;'[2]Input Data'!$C$20:$C$173,0)),
IF(OR(ISNA(_xlpm.current),ISNA(_xlpm.prev)),0,_xlpm.current-_xlpm.prev))</f>
        <v>0</v>
      </c>
      <c r="S119" s="186" t="b">
        <f t="shared" si="15"/>
        <v>1</v>
      </c>
      <c r="T119" t="str" cm="1">
        <f t="array" ref="T119">IFERROR(_xlfn._xlws.FILTER('Input Data'!$N$20:$N$963,('Input Data'!$B$20:$B$963=Changes!B119)*('Input Data'!$C$20:$C$963=Changes!C119)),_xlfn._xlws.FILTER('[2]Input Data'!$M$20:$M$173,('[2]Input Data'!$B$20:$B$173=Changes!B119)*('[2]Input Data'!$C$20:$C$173=Changes!C119)))</f>
        <v>Boeing Satellite Systems Inc.</v>
      </c>
      <c r="V119" s="348" t="s">
        <v>589</v>
      </c>
      <c r="W119" s="227"/>
      <c r="X119" s="265" t="str">
        <v>ASIASAT 6/THAICOM 7</v>
      </c>
      <c r="Y119" s="266">
        <v>4082474.21999999</v>
      </c>
      <c r="AB119" s="33"/>
      <c r="AC119" s="33"/>
    </row>
    <row r="120" spans="1:29" x14ac:dyDescent="0.35">
      <c r="A120">
        <f t="shared" si="14"/>
        <v>1</v>
      </c>
      <c r="B120" s="315">
        <v>364280</v>
      </c>
      <c r="C120" s="358">
        <v>500130</v>
      </c>
      <c r="D120" s="282" t="str">
        <v>JCSAT-16</v>
      </c>
      <c r="E120" s="282" t="str">
        <v>FUL</v>
      </c>
      <c r="F120" s="282" t="str">
        <v>GEO-GSO</v>
      </c>
      <c r="G120" s="283" cm="1">
        <f t="array" ref="G120">_xlfn.IFNA(INDEX('Input Data'!$M$20:$M$963,MATCH(Changes!B120&amp;"_"&amp;Changes!C120,'Input Data'!$B$20:$B$963&amp;"_"&amp;'Input Data'!$C$20:$C$963,0)),INDEX('[2]Input Data'!$L$20:$L$158,MATCH(B120&amp;"_"&amp;C120,'[2]Input Data'!$B$20:$B$158&amp;"_"&amp;'[2]Input Data'!$C$20:$C$158,0)))</f>
        <v>46418</v>
      </c>
      <c r="H120" s="313" cm="1">
        <f t="array" ref="H120">_xlfn._xlws.FILTER('Input Data'!$AA$20:$AA$963,('Input Data'!$B$20:$B$963=Changes!B120)*('Input Data'!$C$20:$C$963=Changes!C120),0)</f>
        <v>413863.97012056701</v>
      </c>
      <c r="I120" s="313" cm="1">
        <f t="array" ref="I120">_xlfn._xlws.FILTER('[2]Input Data'!$AA$20:$AA$173,('[2]Input Data'!$B$20:$B$173=Changes!B120)*('[2]Input Data'!$C$20:$C$173=Changes!C120),0)</f>
        <v>0</v>
      </c>
      <c r="J120" s="346" t="str" cm="1">
        <f t="array" ref="J120">_xlfn._xlws.FILTER('Input Data'!$E$20:$E$963,('Input Data'!$B$20:$B$963=Changes!B120)*('Input Data'!$C$20:$C$963=Changes!C120),0)</f>
        <v>In-Orbit</v>
      </c>
      <c r="K120" s="347" cm="1">
        <f t="array" ref="K120">_xlfn._xlws.FILTER('Input Data'!$L$20:$L$963,('Input Data'!$B$20:$B$963=Changes!B120)*('Input Data'!$C$20:$C$963=Changes!C120),0)</f>
        <v>46054</v>
      </c>
      <c r="L120" s="356" cm="1">
        <f t="array" ref="L120">_xlfn._xlws.FILTER('[2]Input Data'!$D$20:$D$173,('[2]Input Data'!$B$20:$B$173=Changes!B120)*('[2]Input Data'!$C$20:$C$173=Changes!C120),0)</f>
        <v>0</v>
      </c>
      <c r="M120" s="314">
        <f>IFERROR(INDEX('Input Data'!$P$10:$P$14,MATCH(DATEDIF($M$4,G120,"M"),'Input Data'!$O$10:$O$14,1)),0)</f>
        <v>0.4</v>
      </c>
      <c r="N120" s="227"/>
      <c r="O120" s="227">
        <f>INDEX('Input Data'!$P$10:$P$14,MATCH(DATEDIF($O$4,G120,"M"),'Input Data'!$O$10:$O$14,1))</f>
        <v>0.6</v>
      </c>
      <c r="P120" s="204">
        <f t="shared" si="13"/>
        <v>413863.97012056701</v>
      </c>
      <c r="Q120" s="339" t="s">
        <v>359</v>
      </c>
      <c r="R120" cm="1">
        <f t="array" ref="R120">_xlfn.LET(_xlpm.current,INDEX('Input Data'!$M$20:$M$963,MATCH(Changes!B120&amp;"_"&amp;Changes!C120,'Input Data'!$B$20:$B$963&amp;"_"&amp;'Input Data'!$C$20:$C$963,0)),_xlpm.prev,INDEX('[2]Input Data'!$L$20:$L$173,MATCH(B120&amp;"_"&amp;C120,'[2]Input Data'!$B$20:$B$173&amp;"_"&amp;'[2]Input Data'!$C$20:$C$173,0)),
IF(OR(ISNA(_xlpm.current),ISNA(_xlpm.prev)),0,_xlpm.current-_xlpm.prev))</f>
        <v>0</v>
      </c>
      <c r="S120" s="186" t="b">
        <f t="shared" si="15"/>
        <v>1</v>
      </c>
      <c r="T120" t="str" cm="1">
        <f t="array" ref="T120">IFERROR(_xlfn._xlws.FILTER('Input Data'!$N$20:$N$963,('Input Data'!$B$20:$B$963=Changes!B120)*('Input Data'!$C$20:$C$963=Changes!C120)),_xlfn._xlws.FILTER('[2]Input Data'!$M$20:$M$173,('[2]Input Data'!$B$20:$B$173=Changes!B120)*('[2]Input Data'!$C$20:$C$173=Changes!C120)))</f>
        <v>SSL (Space Systems/Loral)</v>
      </c>
      <c r="V120" s="348" t="s">
        <v>589</v>
      </c>
      <c r="W120" s="227"/>
      <c r="X120" s="265" t="str">
        <v>ASIASAT 7</v>
      </c>
      <c r="Y120" s="266">
        <v>6581443.2879999997</v>
      </c>
      <c r="AB120" s="33"/>
      <c r="AC120" s="33"/>
    </row>
    <row r="121" spans="1:29" x14ac:dyDescent="0.35">
      <c r="A121">
        <f t="shared" si="14"/>
        <v>1</v>
      </c>
      <c r="B121" s="315">
        <v>364280</v>
      </c>
      <c r="C121" s="358">
        <v>500131</v>
      </c>
      <c r="D121" s="282" t="str">
        <v>JCSAT-110A (JCSAT-15)</v>
      </c>
      <c r="E121" s="282" t="str">
        <v>FUL</v>
      </c>
      <c r="F121" s="282" t="str">
        <v>GEO-GSO</v>
      </c>
      <c r="G121" s="283" cm="1">
        <f t="array" ref="G121">_xlfn.IFNA(INDEX('Input Data'!$M$20:$M$963,MATCH(Changes!B121&amp;"_"&amp;Changes!C121,'Input Data'!$B$20:$B$963&amp;"_"&amp;'Input Data'!$C$20:$C$963,0)),INDEX('[2]Input Data'!$L$20:$L$158,MATCH(B121&amp;"_"&amp;C121,'[2]Input Data'!$B$20:$B$158&amp;"_"&amp;'[2]Input Data'!$C$20:$C$158,0)))</f>
        <v>46418</v>
      </c>
      <c r="H121" s="313" cm="1">
        <f t="array" ref="H121">_xlfn._xlws.FILTER('Input Data'!$AA$20:$AA$963,('Input Data'!$B$20:$B$963=Changes!B121)*('Input Data'!$C$20:$C$963=Changes!C121),0)</f>
        <v>680712.43189118395</v>
      </c>
      <c r="I121" s="313" cm="1">
        <f t="array" ref="I121">_xlfn._xlws.FILTER('[2]Input Data'!$AA$20:$AA$173,('[2]Input Data'!$B$20:$B$173=Changes!B121)*('[2]Input Data'!$C$20:$C$173=Changes!C121),0)</f>
        <v>0</v>
      </c>
      <c r="J121" s="346" t="str" cm="1">
        <f t="array" ref="J121">_xlfn._xlws.FILTER('Input Data'!$E$20:$E$963,('Input Data'!$B$20:$B$963=Changes!B121)*('Input Data'!$C$20:$C$963=Changes!C121),0)</f>
        <v>In-Orbit</v>
      </c>
      <c r="K121" s="347" cm="1">
        <f t="array" ref="K121">_xlfn._xlws.FILTER('Input Data'!$L$20:$L$963,('Input Data'!$B$20:$B$963=Changes!B121)*('Input Data'!$C$20:$C$963=Changes!C121),0)</f>
        <v>46054</v>
      </c>
      <c r="L121" s="356" cm="1">
        <f t="array" ref="L121">_xlfn._xlws.FILTER('[2]Input Data'!$D$20:$D$173,('[2]Input Data'!$B$20:$B$173=Changes!B121)*('[2]Input Data'!$C$20:$C$173=Changes!C121),0)</f>
        <v>0</v>
      </c>
      <c r="M121" s="314">
        <f>IFERROR(INDEX('Input Data'!$P$10:$P$14,MATCH(DATEDIF($M$4,G121,"M"),'Input Data'!$O$10:$O$14,1)),0)</f>
        <v>0.4</v>
      </c>
      <c r="N121" s="227"/>
      <c r="O121" s="227">
        <f>INDEX('Input Data'!$P$10:$P$14,MATCH(DATEDIF($O$4,G121,"M"),'Input Data'!$O$10:$O$14,1))</f>
        <v>0.6</v>
      </c>
      <c r="P121" s="204">
        <f t="shared" si="13"/>
        <v>680712.43189118395</v>
      </c>
      <c r="Q121" s="339" t="s">
        <v>359</v>
      </c>
      <c r="R121" cm="1">
        <f t="array" ref="R121">_xlfn.LET(_xlpm.current,INDEX('Input Data'!$M$20:$M$963,MATCH(Changes!B121&amp;"_"&amp;Changes!C121,'Input Data'!$B$20:$B$963&amp;"_"&amp;'Input Data'!$C$20:$C$963,0)),_xlpm.prev,INDEX('[2]Input Data'!$L$20:$L$173,MATCH(B121&amp;"_"&amp;C121,'[2]Input Data'!$B$20:$B$173&amp;"_"&amp;'[2]Input Data'!$C$20:$C$173,0)),
IF(OR(ISNA(_xlpm.current),ISNA(_xlpm.prev)),0,_xlpm.current-_xlpm.prev))</f>
        <v>0</v>
      </c>
      <c r="S121" s="186" t="b">
        <f t="shared" si="15"/>
        <v>1</v>
      </c>
      <c r="T121" t="str" cm="1">
        <f t="array" ref="T121">IFERROR(_xlfn._xlws.FILTER('Input Data'!$N$20:$N$963,('Input Data'!$B$20:$B$963=Changes!B121)*('Input Data'!$C$20:$C$963=Changes!C121)),_xlfn._xlws.FILTER('[2]Input Data'!$M$20:$M$173,('[2]Input Data'!$B$20:$B$173=Changes!B121)*('[2]Input Data'!$C$20:$C$173=Changes!C121)))</f>
        <v>SSL (Space Systems/Loral)</v>
      </c>
      <c r="V121" s="348" t="s">
        <v>589</v>
      </c>
      <c r="W121" s="227"/>
      <c r="X121" s="265" t="str">
        <v>AMOS 7 (ASIASAT 8)</v>
      </c>
      <c r="Y121" s="266">
        <v>4391752.5699999901</v>
      </c>
      <c r="AB121" s="33"/>
      <c r="AC121" s="33"/>
    </row>
    <row r="122" spans="1:29" x14ac:dyDescent="0.35">
      <c r="A122">
        <f t="shared" si="14"/>
        <v>1</v>
      </c>
      <c r="B122" s="315">
        <v>356133</v>
      </c>
      <c r="C122" s="282">
        <v>501623</v>
      </c>
      <c r="D122" s="282" t="str">
        <v>WORLDVIEW 3</v>
      </c>
      <c r="E122" s="282" t="str">
        <v>FUL</v>
      </c>
      <c r="F122" s="282" t="str">
        <v>LEO</v>
      </c>
      <c r="G122" s="283" cm="1">
        <f t="array" ref="G122">_xlfn.IFNA(INDEX('Input Data'!$M$20:$M$963,MATCH(Changes!B122&amp;"_"&amp;Changes!C122,'Input Data'!$B$20:$B$963&amp;"_"&amp;'Input Data'!$C$20:$C$963,0)),INDEX('[2]Input Data'!$L$20:$L$158,MATCH(B122&amp;"_"&amp;C122,'[2]Input Data'!$B$20:$B$158&amp;"_"&amp;'[2]Input Data'!$C$20:$C$158,0)))</f>
        <v>46303</v>
      </c>
      <c r="H122" s="313" cm="1">
        <f t="array" ref="H122">_xlfn._xlws.FILTER('Input Data'!$AA$20:$AA$963,('Input Data'!$B$20:$B$963=Changes!B122)*('Input Data'!$C$20:$C$963=Changes!C122),0)</f>
        <v>3865978.7564432998</v>
      </c>
      <c r="I122" s="313" cm="1">
        <f t="array" ref="I122">_xlfn._xlws.FILTER('[2]Input Data'!$AA$20:$AA$173,('[2]Input Data'!$B$20:$B$173=Changes!B122)*('[2]Input Data'!$C$20:$C$173=Changes!C122),0)</f>
        <v>3865978.7564432998</v>
      </c>
      <c r="J122" s="346" t="str" cm="1">
        <f t="array" ref="J122">_xlfn._xlws.FILTER('Input Data'!$E$20:$E$963,('Input Data'!$B$20:$B$963=Changes!B122)*('Input Data'!$C$20:$C$963=Changes!C122),0)</f>
        <v>In-Orbit</v>
      </c>
      <c r="K122" s="347" cm="1">
        <f t="array" ref="K122">_xlfn._xlws.FILTER('Input Data'!$L$20:$L$963,('Input Data'!$B$20:$B$963=Changes!B122)*('Input Data'!$C$20:$C$963=Changes!C122),0)</f>
        <v>45939</v>
      </c>
      <c r="L122" s="356" t="str" cm="1">
        <f t="array" ref="L122">_xlfn._xlws.FILTER('[2]Input Data'!$D$20:$D$173,('[2]Input Data'!$B$20:$B$173=Changes!B122)*('[2]Input Data'!$C$20:$C$173=Changes!C122),0)</f>
        <v>In-Orbit</v>
      </c>
      <c r="M122" s="314">
        <f>IFERROR(INDEX('Input Data'!$P$10:$P$14,MATCH(DATEDIF($M$4,G122,"M"),'Input Data'!$O$10:$O$14,1)),0)</f>
        <v>0.4</v>
      </c>
      <c r="N122" s="227"/>
      <c r="O122" s="227">
        <f>INDEX('Input Data'!$P$10:$P$14,MATCH(DATEDIF($O$4,G122,"M"),'Input Data'!$O$10:$O$14,1))</f>
        <v>0.4</v>
      </c>
      <c r="P122" s="204">
        <f t="shared" si="13"/>
        <v>0</v>
      </c>
      <c r="R122" cm="1">
        <f t="array" ref="R122">_xlfn.LET(_xlpm.current,INDEX('Input Data'!$M$20:$M$963,MATCH(Changes!B122&amp;"_"&amp;Changes!C122,'Input Data'!$B$20:$B$963&amp;"_"&amp;'Input Data'!$C$20:$C$963,0)),_xlpm.prev,INDEX('[2]Input Data'!$L$20:$L$173,MATCH(B122&amp;"_"&amp;C122,'[2]Input Data'!$B$20:$B$173&amp;"_"&amp;'[2]Input Data'!$C$20:$C$173,0)),
IF(OR(ISNA(_xlpm.current),ISNA(_xlpm.prev)),0,_xlpm.current-_xlpm.prev))</f>
        <v>0</v>
      </c>
      <c r="S122" s="186" t="b">
        <f t="shared" si="15"/>
        <v>0</v>
      </c>
      <c r="T122" t="str" cm="1">
        <f t="array" ref="T122">IFERROR(_xlfn._xlws.FILTER('Input Data'!$N$20:$N$963,('Input Data'!$B$20:$B$963=Changes!B122)*('Input Data'!$C$20:$C$963=Changes!C122)),_xlfn._xlws.FILTER('[2]Input Data'!$M$20:$M$173,('[2]Input Data'!$B$20:$B$173=Changes!B122)*('[2]Input Data'!$C$20:$C$173=Changes!C122)))</f>
        <v>BALL AEROSPACE AND TECHNOLOGIES CORP (HQ)</v>
      </c>
      <c r="V122" s="348"/>
      <c r="W122" s="227"/>
      <c r="X122" s="265" t="str">
        <v>ASIASAT 9</v>
      </c>
      <c r="Y122" s="266">
        <v>9380721.6338499896</v>
      </c>
      <c r="AB122" s="33"/>
      <c r="AC122" s="33"/>
    </row>
    <row r="123" spans="1:29" x14ac:dyDescent="0.35">
      <c r="A123">
        <f t="shared" si="14"/>
        <v>1</v>
      </c>
      <c r="B123" s="315">
        <v>356133</v>
      </c>
      <c r="C123" s="282">
        <v>501624</v>
      </c>
      <c r="D123" s="282" t="str">
        <v>WORLDVIEW 2</v>
      </c>
      <c r="E123" s="282" t="str">
        <v>FUL</v>
      </c>
      <c r="F123" s="282" t="str">
        <v>LEO</v>
      </c>
      <c r="G123" s="283" cm="1">
        <f t="array" ref="G123">_xlfn.IFNA(INDEX('Input Data'!$M$20:$M$963,MATCH(Changes!B123&amp;"_"&amp;Changes!C123,'Input Data'!$B$20:$B$963&amp;"_"&amp;'Input Data'!$C$20:$C$963,0)),INDEX('[2]Input Data'!$L$20:$L$158,MATCH(B123&amp;"_"&amp;C123,'[2]Input Data'!$B$20:$B$158&amp;"_"&amp;'[2]Input Data'!$C$20:$C$158,0)))</f>
        <v>46303</v>
      </c>
      <c r="H123" s="313" cm="1">
        <f t="array" ref="H123">_xlfn._xlws.FILTER('Input Data'!$AA$20:$AA$963,('Input Data'!$B$20:$B$963=Changes!B123)*('Input Data'!$C$20:$C$963=Changes!C123),0)</f>
        <v>2164947.8314433</v>
      </c>
      <c r="I123" s="313" cm="1">
        <f t="array" ref="I123">_xlfn._xlws.FILTER('[2]Input Data'!$AA$20:$AA$173,('[2]Input Data'!$B$20:$B$173=Changes!B123)*('[2]Input Data'!$C$20:$C$173=Changes!C123),0)</f>
        <v>2164947.8314433</v>
      </c>
      <c r="J123" s="346" t="str" cm="1">
        <f t="array" ref="J123">_xlfn._xlws.FILTER('Input Data'!$E$20:$E$963,('Input Data'!$B$20:$B$963=Changes!B123)*('Input Data'!$C$20:$C$963=Changes!C123),0)</f>
        <v>In-Orbit</v>
      </c>
      <c r="K123" s="347" cm="1">
        <f t="array" ref="K123">_xlfn._xlws.FILTER('Input Data'!$L$20:$L$963,('Input Data'!$B$20:$B$963=Changes!B123)*('Input Data'!$C$20:$C$963=Changes!C123),0)</f>
        <v>45939</v>
      </c>
      <c r="L123" s="356" t="str" cm="1">
        <f t="array" ref="L123">_xlfn._xlws.FILTER('[2]Input Data'!$D$20:$D$173,('[2]Input Data'!$B$20:$B$173=Changes!B123)*('[2]Input Data'!$C$20:$C$173=Changes!C123),0)</f>
        <v>In-Orbit</v>
      </c>
      <c r="M123" s="314">
        <f>IFERROR(INDEX('Input Data'!$P$10:$P$14,MATCH(DATEDIF($M$4,G123,"M"),'Input Data'!$O$10:$O$14,1)),0)</f>
        <v>0.4</v>
      </c>
      <c r="N123" s="227"/>
      <c r="O123" s="227">
        <f>INDEX('Input Data'!$P$10:$P$14,MATCH(DATEDIF($O$4,G123,"M"),'Input Data'!$O$10:$O$14,1))</f>
        <v>0.4</v>
      </c>
      <c r="P123" s="204">
        <f t="shared" si="13"/>
        <v>0</v>
      </c>
      <c r="R123" cm="1">
        <f t="array" ref="R123">_xlfn.LET(_xlpm.current,INDEX('Input Data'!$M$20:$M$963,MATCH(Changes!B123&amp;"_"&amp;Changes!C123,'Input Data'!$B$20:$B$963&amp;"_"&amp;'Input Data'!$C$20:$C$963,0)),_xlpm.prev,INDEX('[2]Input Data'!$L$20:$L$173,MATCH(B123&amp;"_"&amp;C123,'[2]Input Data'!$B$20:$B$173&amp;"_"&amp;'[2]Input Data'!$C$20:$C$173,0)),
IF(OR(ISNA(_xlpm.current),ISNA(_xlpm.prev)),0,_xlpm.current-_xlpm.prev))</f>
        <v>0</v>
      </c>
      <c r="S123" s="186" t="b">
        <f t="shared" si="15"/>
        <v>0</v>
      </c>
      <c r="T123" t="str" cm="1">
        <f t="array" ref="T123">IFERROR(_xlfn._xlws.FILTER('Input Data'!$N$20:$N$963,('Input Data'!$B$20:$B$963=Changes!B123)*('Input Data'!$C$20:$C$963=Changes!C123)),_xlfn._xlws.FILTER('[2]Input Data'!$M$20:$M$173,('[2]Input Data'!$B$20:$B$173=Changes!B123)*('[2]Input Data'!$C$20:$C$173=Changes!C123)))</f>
        <v>BALL AEROSPACE AND TECHNOLOGIES CORP (HQ)</v>
      </c>
      <c r="V123" s="348"/>
      <c r="W123" s="227"/>
      <c r="X123" s="265" t="str">
        <v>E7C</v>
      </c>
      <c r="Y123" s="266">
        <v>3094813.59839442</v>
      </c>
      <c r="AB123" s="33"/>
      <c r="AC123" s="33"/>
    </row>
    <row r="124" spans="1:29" x14ac:dyDescent="0.35">
      <c r="A124">
        <f t="shared" si="14"/>
        <v>1</v>
      </c>
      <c r="B124" s="315">
        <v>356133</v>
      </c>
      <c r="C124" s="282">
        <v>501625</v>
      </c>
      <c r="D124" s="282" t="str">
        <v>WORLDVIEW 1</v>
      </c>
      <c r="E124" s="282" t="str">
        <v>FUL</v>
      </c>
      <c r="F124" s="282" t="str">
        <v>LEO</v>
      </c>
      <c r="G124" s="283" cm="1">
        <f t="array" ref="G124">_xlfn.IFNA(INDEX('Input Data'!$M$20:$M$963,MATCH(Changes!B124&amp;"_"&amp;Changes!C124,'Input Data'!$B$20:$B$963&amp;"_"&amp;'Input Data'!$C$20:$C$963,0)),INDEX('[2]Input Data'!$L$20:$L$158,MATCH(B124&amp;"_"&amp;C124,'[2]Input Data'!$B$20:$B$158&amp;"_"&amp;'[2]Input Data'!$C$20:$C$158,0)))</f>
        <v>46303</v>
      </c>
      <c r="H124" s="313" cm="1">
        <f t="array" ref="H124">_xlfn._xlws.FILTER('Input Data'!$AA$20:$AA$963,('Input Data'!$B$20:$B$963=Changes!B124)*('Input Data'!$C$20:$C$963=Changes!C124),0)</f>
        <v>2164947.8314433</v>
      </c>
      <c r="I124" s="313" cm="1">
        <f t="array" ref="I124">_xlfn._xlws.FILTER('[2]Input Data'!$AA$20:$AA$173,('[2]Input Data'!$B$20:$B$173=Changes!B124)*('[2]Input Data'!$C$20:$C$173=Changes!C124),0)</f>
        <v>2164947.8314433</v>
      </c>
      <c r="J124" s="346" t="str" cm="1">
        <f t="array" ref="J124">_xlfn._xlws.FILTER('Input Data'!$E$20:$E$963,('Input Data'!$B$20:$B$963=Changes!B124)*('Input Data'!$C$20:$C$963=Changes!C124),0)</f>
        <v>In-Orbit</v>
      </c>
      <c r="K124" s="347" cm="1">
        <f t="array" ref="K124">_xlfn._xlws.FILTER('Input Data'!$L$20:$L$963,('Input Data'!$B$20:$B$963=Changes!B124)*('Input Data'!$C$20:$C$963=Changes!C124),0)</f>
        <v>45939</v>
      </c>
      <c r="L124" s="356" t="str" cm="1">
        <f t="array" ref="L124">_xlfn._xlws.FILTER('[2]Input Data'!$D$20:$D$173,('[2]Input Data'!$B$20:$B$173=Changes!B124)*('[2]Input Data'!$C$20:$C$173=Changes!C124),0)</f>
        <v>In-Orbit</v>
      </c>
      <c r="M124" s="314">
        <f>IFERROR(INDEX('Input Data'!$P$10:$P$14,MATCH(DATEDIF($M$4,G124,"M"),'Input Data'!$O$10:$O$14,1)),0)</f>
        <v>0.4</v>
      </c>
      <c r="N124" s="227"/>
      <c r="O124" s="227">
        <f>INDEX('Input Data'!$P$10:$P$14,MATCH(DATEDIF($O$4,G124,"M"),'Input Data'!$O$10:$O$14,1))</f>
        <v>0.4</v>
      </c>
      <c r="P124" s="204">
        <f t="shared" si="13"/>
        <v>0</v>
      </c>
      <c r="R124" cm="1">
        <f t="array" ref="R124">_xlfn.LET(_xlpm.current,INDEX('Input Data'!$M$20:$M$963,MATCH(Changes!B124&amp;"_"&amp;Changes!C124,'Input Data'!$B$20:$B$963&amp;"_"&amp;'Input Data'!$C$20:$C$963,0)),_xlpm.prev,INDEX('[2]Input Data'!$L$20:$L$173,MATCH(B124&amp;"_"&amp;C124,'[2]Input Data'!$B$20:$B$173&amp;"_"&amp;'[2]Input Data'!$C$20:$C$173,0)),
IF(OR(ISNA(_xlpm.current),ISNA(_xlpm.prev)),0,_xlpm.current-_xlpm.prev))</f>
        <v>0</v>
      </c>
      <c r="S124" s="186" t="b">
        <f t="shared" si="15"/>
        <v>0</v>
      </c>
      <c r="T124" t="str" cm="1">
        <f t="array" ref="T124">IFERROR(_xlfn._xlws.FILTER('Input Data'!$N$20:$N$963,('Input Data'!$B$20:$B$963=Changes!B124)*('Input Data'!$C$20:$C$963=Changes!C124)),_xlfn._xlws.FILTER('[2]Input Data'!$M$20:$M$173,('[2]Input Data'!$B$20:$B$173=Changes!B124)*('[2]Input Data'!$C$20:$C$173=Changes!C124)))</f>
        <v>BALL AEROSPACE AND TECHNOLOGIES CORP (HQ)</v>
      </c>
      <c r="V124" s="348"/>
      <c r="W124" s="227"/>
      <c r="X124" s="265" t="str">
        <v>Konnect</v>
      </c>
      <c r="Y124" s="266">
        <v>8602524.4033901896</v>
      </c>
      <c r="AB124" s="33"/>
      <c r="AC124" s="33"/>
    </row>
    <row r="125" spans="1:29" x14ac:dyDescent="0.35">
      <c r="A125">
        <f t="shared" si="14"/>
        <v>1</v>
      </c>
      <c r="B125" s="315">
        <v>366022</v>
      </c>
      <c r="C125" s="282">
        <v>503971</v>
      </c>
      <c r="D125" s="282" t="str">
        <v>AL YAH 1</v>
      </c>
      <c r="E125" s="282" t="str">
        <v>FUL</v>
      </c>
      <c r="F125" s="282" t="str">
        <v>GEO-GSO</v>
      </c>
      <c r="G125" s="283" cm="1">
        <f t="array" ref="G125">_xlfn.IFNA(INDEX('Input Data'!$M$20:$M$963,MATCH(Changes!B125&amp;"_"&amp;Changes!C125,'Input Data'!$B$20:$B$963&amp;"_"&amp;'Input Data'!$C$20:$C$963,0)),INDEX('[2]Input Data'!$L$20:$L$158,MATCH(B125&amp;"_"&amp;C125,'[2]Input Data'!$B$20:$B$158&amp;"_"&amp;'[2]Input Data'!$C$20:$C$158,0)))</f>
        <v>46387</v>
      </c>
      <c r="H125" s="313" cm="1">
        <f t="array" ref="H125">_xlfn._xlws.FILTER('Input Data'!$AA$20:$AA$963,('Input Data'!$B$20:$B$963=Changes!B125)*('Input Data'!$C$20:$C$963=Changes!C125),0)</f>
        <v>9281860.1907157991</v>
      </c>
      <c r="I125" s="313" cm="1">
        <f t="array" ref="I125">_xlfn._xlws.FILTER('[2]Input Data'!$AA$20:$AA$173,('[2]Input Data'!$B$20:$B$173=Changes!B125)*('[2]Input Data'!$C$20:$C$173=Changes!C125),0)</f>
        <v>9281860.1907157991</v>
      </c>
      <c r="J125" s="346" t="str" cm="1">
        <f t="array" ref="J125">_xlfn._xlws.FILTER('Input Data'!$E$20:$E$963,('Input Data'!$B$20:$B$963=Changes!B125)*('Input Data'!$C$20:$C$963=Changes!C125),0)</f>
        <v>In-Orbit</v>
      </c>
      <c r="K125" s="347" cm="1">
        <f t="array" ref="K125">_xlfn._xlws.FILTER('Input Data'!$L$20:$L$963,('Input Data'!$B$20:$B$963=Changes!B125)*('Input Data'!$C$20:$C$963=Changes!C125),0)</f>
        <v>46022</v>
      </c>
      <c r="L125" s="356" t="str" cm="1">
        <f t="array" ref="L125">_xlfn._xlws.FILTER('[2]Input Data'!$D$20:$D$173,('[2]Input Data'!$B$20:$B$173=Changes!B125)*('[2]Input Data'!$C$20:$C$173=Changes!C125),0)</f>
        <v>In-Orbit</v>
      </c>
      <c r="M125" s="314">
        <f>IFERROR(INDEX('Input Data'!$P$10:$P$14,MATCH(DATEDIF($M$4,G125,"M"),'Input Data'!$O$10:$O$14,1)),0)</f>
        <v>0.4</v>
      </c>
      <c r="N125" s="227"/>
      <c r="O125" s="227">
        <f>INDEX('Input Data'!$P$10:$P$14,MATCH(DATEDIF($O$4,G125,"M"),'Input Data'!$O$10:$O$14,1))</f>
        <v>0.4</v>
      </c>
      <c r="P125" s="204">
        <f t="shared" si="13"/>
        <v>0</v>
      </c>
      <c r="R125" s="339" cm="1">
        <f t="array" ref="R125">_xlfn.LET(_xlpm.current,INDEX('Input Data'!$M$20:$M$963,MATCH(Changes!B125&amp;"_"&amp;Changes!C125,'Input Data'!$B$20:$B$963&amp;"_"&amp;'Input Data'!$C$20:$C$963,0)),_xlpm.prev,INDEX('[2]Input Data'!$L$20:$L$173,MATCH(B125&amp;"_"&amp;C125,'[2]Input Data'!$B$20:$B$173&amp;"_"&amp;'[2]Input Data'!$C$20:$C$173,0)),
IF(OR(ISNA(_xlpm.current),ISNA(_xlpm.prev)),0,_xlpm.current-_xlpm.prev))</f>
        <v>1</v>
      </c>
      <c r="S125" s="186" t="b">
        <f t="shared" si="15"/>
        <v>0</v>
      </c>
      <c r="T125" t="str" cm="1">
        <f t="array" ref="T125">IFERROR(_xlfn._xlws.FILTER('Input Data'!$N$20:$N$963,('Input Data'!$B$20:$B$963=Changes!B125)*('Input Data'!$C$20:$C$963=Changes!C125)),_xlfn._xlws.FILTER('[2]Input Data'!$M$20:$M$173,('[2]Input Data'!$B$20:$B$173=Changes!B125)*('[2]Input Data'!$C$20:$C$173=Changes!C125)))</f>
        <v>Astrium Limited - Stevenage (Part of EADS)</v>
      </c>
      <c r="V125" s="348" t="s">
        <v>594</v>
      </c>
      <c r="W125" s="227"/>
      <c r="X125" s="265" t="str">
        <v>K-VHTS</v>
      </c>
      <c r="Y125" s="266">
        <v>16937675.495607499</v>
      </c>
      <c r="AB125" s="33"/>
      <c r="AC125" s="33"/>
    </row>
    <row r="126" spans="1:29" x14ac:dyDescent="0.35">
      <c r="A126">
        <f t="shared" si="14"/>
        <v>1</v>
      </c>
      <c r="B126" s="315">
        <v>366022</v>
      </c>
      <c r="C126" s="282">
        <v>503972</v>
      </c>
      <c r="D126" s="282" t="str">
        <v>AL YAH 2</v>
      </c>
      <c r="E126" s="282" t="str">
        <v>FUL</v>
      </c>
      <c r="F126" s="282" t="str">
        <v>GEO-GSO</v>
      </c>
      <c r="G126" s="283" cm="1">
        <f t="array" ref="G126">_xlfn.IFNA(INDEX('Input Data'!$M$20:$M$963,MATCH(Changes!B126&amp;"_"&amp;Changes!C126,'Input Data'!$B$20:$B$963&amp;"_"&amp;'Input Data'!$C$20:$C$963,0)),INDEX('[2]Input Data'!$L$20:$L$158,MATCH(B126&amp;"_"&amp;C126,'[2]Input Data'!$B$20:$B$158&amp;"_"&amp;'[2]Input Data'!$C$20:$C$158,0)))</f>
        <v>46387</v>
      </c>
      <c r="H126" s="313" cm="1">
        <f t="array" ref="H126">_xlfn._xlws.FILTER('Input Data'!$AA$20:$AA$963,('Input Data'!$B$20:$B$963=Changes!B126)*('Input Data'!$C$20:$C$963=Changes!C126),0)</f>
        <v>11407869.8778941</v>
      </c>
      <c r="I126" s="313" cm="1">
        <f t="array" ref="I126">_xlfn._xlws.FILTER('[2]Input Data'!$AA$20:$AA$173,('[2]Input Data'!$B$20:$B$173=Changes!B126)*('[2]Input Data'!$C$20:$C$173=Changes!C126),0)</f>
        <v>11407869.8778941</v>
      </c>
      <c r="J126" s="346" t="str" cm="1">
        <f t="array" ref="J126">_xlfn._xlws.FILTER('Input Data'!$E$20:$E$963,('Input Data'!$B$20:$B$963=Changes!B126)*('Input Data'!$C$20:$C$963=Changes!C126),0)</f>
        <v>In-Orbit</v>
      </c>
      <c r="K126" s="347" cm="1">
        <f t="array" ref="K126">_xlfn._xlws.FILTER('Input Data'!$L$20:$L$963,('Input Data'!$B$20:$B$963=Changes!B126)*('Input Data'!$C$20:$C$963=Changes!C126),0)</f>
        <v>46022</v>
      </c>
      <c r="L126" s="356" t="str" cm="1">
        <f t="array" ref="L126">_xlfn._xlws.FILTER('[2]Input Data'!$D$20:$D$173,('[2]Input Data'!$B$20:$B$173=Changes!B126)*('[2]Input Data'!$C$20:$C$173=Changes!C126),0)</f>
        <v>In-Orbit</v>
      </c>
      <c r="M126" s="314">
        <f>IFERROR(INDEX('Input Data'!$P$10:$P$14,MATCH(DATEDIF($M$4,G126,"M"),'Input Data'!$O$10:$O$14,1)),0)</f>
        <v>0.4</v>
      </c>
      <c r="N126" s="227"/>
      <c r="O126" s="227">
        <f>INDEX('Input Data'!$P$10:$P$14,MATCH(DATEDIF($O$4,G126,"M"),'Input Data'!$O$10:$O$14,1))</f>
        <v>0.4</v>
      </c>
      <c r="P126" s="204">
        <f t="shared" si="13"/>
        <v>0</v>
      </c>
      <c r="R126" s="339" cm="1">
        <f t="array" ref="R126">_xlfn.LET(_xlpm.current,INDEX('Input Data'!$M$20:$M$963,MATCH(Changes!B126&amp;"_"&amp;Changes!C126,'Input Data'!$B$20:$B$963&amp;"_"&amp;'Input Data'!$C$20:$C$963,0)),_xlpm.prev,INDEX('[2]Input Data'!$L$20:$L$173,MATCH(B126&amp;"_"&amp;C126,'[2]Input Data'!$B$20:$B$173&amp;"_"&amp;'[2]Input Data'!$C$20:$C$173,0)),
IF(OR(ISNA(_xlpm.current),ISNA(_xlpm.prev)),0,_xlpm.current-_xlpm.prev))</f>
        <v>1</v>
      </c>
      <c r="S126" s="186" t="b">
        <f t="shared" si="15"/>
        <v>0</v>
      </c>
      <c r="T126" t="str" cm="1">
        <f t="array" ref="T126">IFERROR(_xlfn._xlws.FILTER('Input Data'!$N$20:$N$963,('Input Data'!$B$20:$B$963=Changes!B126)*('Input Data'!$C$20:$C$963=Changes!C126)),_xlfn._xlws.FILTER('[2]Input Data'!$M$20:$M$173,('[2]Input Data'!$B$20:$B$173=Changes!B126)*('[2]Input Data'!$C$20:$C$173=Changes!C126)))</f>
        <v>Astrium Limited - Stevenage (Part of EADS)</v>
      </c>
      <c r="V126" s="348" t="s">
        <v>594</v>
      </c>
      <c r="W126" s="227"/>
      <c r="X126" s="265" t="str">
        <v>E13G</v>
      </c>
      <c r="Y126" s="266">
        <v>19814782.423728701</v>
      </c>
      <c r="AB126" s="33"/>
      <c r="AC126" s="33"/>
    </row>
    <row r="127" spans="1:29" x14ac:dyDescent="0.35">
      <c r="A127">
        <f t="shared" si="14"/>
        <v>1</v>
      </c>
      <c r="B127" s="315">
        <v>366022</v>
      </c>
      <c r="C127" s="282">
        <v>503987</v>
      </c>
      <c r="D127" s="282" t="str">
        <v>THURAYA 4-NGS</v>
      </c>
      <c r="E127" s="282" t="str">
        <v>FUL</v>
      </c>
      <c r="F127" s="282" t="str">
        <v>GEO-GSO</v>
      </c>
      <c r="G127" s="283" cm="1">
        <f t="array" ref="G127">_xlfn.IFNA(INDEX('Input Data'!$M$20:$M$963,MATCH(Changes!B127&amp;"_"&amp;Changes!C127,'Input Data'!$B$20:$B$963&amp;"_"&amp;'Input Data'!$C$20:$C$963,0)),INDEX('[2]Input Data'!$L$20:$L$158,MATCH(B127&amp;"_"&amp;C127,'[2]Input Data'!$B$20:$B$158&amp;"_"&amp;'[2]Input Data'!$C$20:$C$158,0)))</f>
        <v>46387</v>
      </c>
      <c r="H127" s="313" cm="1">
        <f t="array" ref="H127">_xlfn._xlws.FILTER('Input Data'!$AA$20:$AA$963,('Input Data'!$B$20:$B$963=Changes!B127)*('Input Data'!$C$20:$C$963=Changes!C127),0)</f>
        <v>14323349.8799999</v>
      </c>
      <c r="I127" s="313" cm="1">
        <f t="array" ref="I127">_xlfn._xlws.FILTER('[2]Input Data'!$AA$20:$AA$173,('[2]Input Data'!$B$20:$B$173=Changes!B127)*('[2]Input Data'!$C$20:$C$173=Changes!C127),0)</f>
        <v>0</v>
      </c>
      <c r="J127" s="346" t="str" cm="1">
        <f t="array" ref="J127">_xlfn._xlws.FILTER('Input Data'!$E$20:$E$963,('Input Data'!$B$20:$B$963=Changes!B127)*('Input Data'!$C$20:$C$963=Changes!C127),0)</f>
        <v>In-Orbit</v>
      </c>
      <c r="K127" s="347" cm="1">
        <f t="array" ref="K127">_xlfn._xlws.FILTER('Input Data'!$L$20:$L$963,('Input Data'!$B$20:$B$963=Changes!B127)*('Input Data'!$C$20:$C$963=Changes!C127),0)</f>
        <v>46027</v>
      </c>
      <c r="L127" s="356" cm="1">
        <f t="array" ref="L127">_xlfn._xlws.FILTER('[2]Input Data'!$D$20:$D$173,('[2]Input Data'!$B$20:$B$173=Changes!B127)*('[2]Input Data'!$C$20:$C$173=Changes!C127),0)</f>
        <v>0</v>
      </c>
      <c r="M127" s="314">
        <f>IFERROR(INDEX('Input Data'!$P$10:$P$14,MATCH(DATEDIF($M$4,G127,"M"),'Input Data'!$O$10:$O$14,1)),0)</f>
        <v>0.4</v>
      </c>
      <c r="N127" s="227"/>
      <c r="O127" s="227">
        <f>INDEX('Input Data'!$P$10:$P$14,MATCH(DATEDIF($O$4,G127,"M"),'Input Data'!$O$10:$O$14,1))</f>
        <v>0.4</v>
      </c>
      <c r="P127" s="204">
        <f>H127-I127</f>
        <v>14323349.8799999</v>
      </c>
      <c r="Q127" s="339" t="s">
        <v>358</v>
      </c>
      <c r="R127" cm="1">
        <f t="array" ref="R127">_xlfn.LET(_xlpm.current,INDEX('Input Data'!$M$20:$M$963,MATCH(Changes!B127&amp;"_"&amp;Changes!C127,'Input Data'!$B$20:$B$963&amp;"_"&amp;'Input Data'!$C$20:$C$963,0)),_xlpm.prev,INDEX('[2]Input Data'!$L$20:$L$173,MATCH(B127&amp;"_"&amp;C127,'[2]Input Data'!$B$20:$B$173&amp;"_"&amp;'[2]Input Data'!$C$20:$C$173,0)),
IF(OR(ISNA(_xlpm.current),ISNA(_xlpm.prev)),0,_xlpm.current-_xlpm.prev))</f>
        <v>0</v>
      </c>
      <c r="S127" s="186" t="b">
        <f t="shared" si="15"/>
        <v>0</v>
      </c>
      <c r="T127" t="str" cm="1">
        <f t="array" ref="T127">IFERROR(_xlfn._xlws.FILTER('Input Data'!$N$20:$N$963,('Input Data'!$B$20:$B$963=Changes!B127)*('Input Data'!$C$20:$C$963=Changes!C127)),_xlfn._xlws.FILTER('[2]Input Data'!$M$20:$M$173,('[2]Input Data'!$B$20:$B$173=Changes!B127)*('[2]Input Data'!$C$20:$C$173=Changes!C127)))</f>
        <v>Airbus Defence and Space (Toulouse)</v>
      </c>
      <c r="V127" s="348" t="s">
        <v>590</v>
      </c>
      <c r="W127" s="227"/>
      <c r="X127" s="265" t="str">
        <v>E10B</v>
      </c>
      <c r="Y127" s="266">
        <v>19814782.423728701</v>
      </c>
      <c r="AB127" s="33"/>
      <c r="AC127" s="33"/>
    </row>
    <row r="128" spans="1:29" x14ac:dyDescent="0.35">
      <c r="A128">
        <f t="shared" si="14"/>
        <v>1</v>
      </c>
      <c r="B128" s="315">
        <v>366029</v>
      </c>
      <c r="C128" s="282">
        <v>503996</v>
      </c>
      <c r="D128" s="282" t="str">
        <v>AL YAH 1</v>
      </c>
      <c r="E128" s="282" t="str">
        <v>FUL</v>
      </c>
      <c r="F128" s="282" t="str">
        <v>GEO-GSO</v>
      </c>
      <c r="G128" s="283" cm="1">
        <f t="array" ref="G128">_xlfn.IFNA(INDEX('Input Data'!$M$20:$M$963,MATCH(Changes!B128&amp;"_"&amp;Changes!C128,'Input Data'!$B$20:$B$963&amp;"_"&amp;'Input Data'!$C$20:$C$963,0)),INDEX('[2]Input Data'!$L$20:$L$158,MATCH(B128&amp;"_"&amp;C128,'[2]Input Data'!$B$20:$B$158&amp;"_"&amp;'[2]Input Data'!$C$20:$C$158,0)))</f>
        <v>46386</v>
      </c>
      <c r="H128" s="313" cm="1">
        <f t="array" ref="H128">_xlfn._xlws.FILTER('Input Data'!$AA$20:$AA$963,('Input Data'!$B$20:$B$963=Changes!B128)*('Input Data'!$C$20:$C$963=Changes!C128),0)</f>
        <v>2727599.9954539998</v>
      </c>
      <c r="I128" s="313" cm="1">
        <f t="array" ref="I128">_xlfn._xlws.FILTER('[2]Input Data'!$AA$20:$AA$173,('[2]Input Data'!$B$20:$B$173=Changes!B128)*('[2]Input Data'!$C$20:$C$173=Changes!C128),0)</f>
        <v>2727599.9954539998</v>
      </c>
      <c r="J128" s="346" t="str" cm="1">
        <f t="array" ref="J128">_xlfn._xlws.FILTER('Input Data'!$E$20:$E$963,('Input Data'!$B$20:$B$963=Changes!B128)*('Input Data'!$C$20:$C$963=Changes!C128),0)</f>
        <v>In-Orbit</v>
      </c>
      <c r="K128" s="347" cm="1">
        <f t="array" ref="K128">_xlfn._xlws.FILTER('Input Data'!$L$20:$L$963,('Input Data'!$B$20:$B$963=Changes!B128)*('Input Data'!$C$20:$C$963=Changes!C128),0)</f>
        <v>46022</v>
      </c>
      <c r="L128" s="356" t="str" cm="1">
        <f t="array" ref="L128">_xlfn._xlws.FILTER('[2]Input Data'!$D$20:$D$173,('[2]Input Data'!$B$20:$B$173=Changes!B128)*('[2]Input Data'!$C$20:$C$173=Changes!C128),0)</f>
        <v>In-Orbit</v>
      </c>
      <c r="M128" s="314">
        <f>IFERROR(INDEX('Input Data'!$P$10:$P$14,MATCH(DATEDIF($M$4,G128,"M"),'Input Data'!$O$10:$O$14,1)),0)</f>
        <v>0.4</v>
      </c>
      <c r="N128" s="227"/>
      <c r="O128" s="227">
        <f>INDEX('Input Data'!$P$10:$P$14,MATCH(DATEDIF($O$4,G128,"M"),'Input Data'!$O$10:$O$14,1))</f>
        <v>0.4</v>
      </c>
      <c r="P128" s="204">
        <f t="shared" si="13"/>
        <v>0</v>
      </c>
      <c r="R128" cm="1">
        <f t="array" ref="R128">_xlfn.LET(_xlpm.current,INDEX('Input Data'!$M$20:$M$963,MATCH(Changes!B128&amp;"_"&amp;Changes!C128,'Input Data'!$B$20:$B$963&amp;"_"&amp;'Input Data'!$C$20:$C$963,0)),_xlpm.prev,INDEX('[2]Input Data'!$L$20:$L$173,MATCH(B128&amp;"_"&amp;C128,'[2]Input Data'!$B$20:$B$173&amp;"_"&amp;'[2]Input Data'!$C$20:$C$173,0)),
IF(OR(ISNA(_xlpm.current),ISNA(_xlpm.prev)),0,_xlpm.current-_xlpm.prev))</f>
        <v>0</v>
      </c>
      <c r="S128" s="186" t="b">
        <f t="shared" si="15"/>
        <v>0</v>
      </c>
      <c r="T128" t="str" cm="1">
        <f t="array" ref="T128">IFERROR(_xlfn._xlws.FILTER('Input Data'!$N$20:$N$963,('Input Data'!$B$20:$B$963=Changes!B128)*('Input Data'!$C$20:$C$963=Changes!C128)),_xlfn._xlws.FILTER('[2]Input Data'!$M$20:$M$173,('[2]Input Data'!$B$20:$B$173=Changes!B128)*('[2]Input Data'!$C$20:$C$173=Changes!C128)))</f>
        <v>Astrium Limited - Stevenage (Part of EADS)</v>
      </c>
      <c r="V128" s="348"/>
      <c r="W128" s="227"/>
      <c r="X128" s="265" t="str">
        <v>E13F</v>
      </c>
      <c r="Y128" s="266">
        <v>19814782.423728701</v>
      </c>
      <c r="AB128" s="33"/>
      <c r="AC128" s="33"/>
    </row>
    <row r="129" spans="1:29" x14ac:dyDescent="0.35">
      <c r="A129">
        <f t="shared" si="14"/>
        <v>1</v>
      </c>
      <c r="B129" s="315">
        <v>366029</v>
      </c>
      <c r="C129" s="282">
        <v>503997</v>
      </c>
      <c r="D129" s="282" t="str">
        <v>AL YAH 2</v>
      </c>
      <c r="E129" s="282" t="str">
        <v>FUL</v>
      </c>
      <c r="F129" s="282" t="str">
        <v>GEO-GSO</v>
      </c>
      <c r="G129" s="283" cm="1">
        <f t="array" ref="G129">_xlfn.IFNA(INDEX('Input Data'!$M$20:$M$963,MATCH(Changes!B129&amp;"_"&amp;Changes!C129,'Input Data'!$B$20:$B$963&amp;"_"&amp;'Input Data'!$C$20:$C$963,0)),INDEX('[2]Input Data'!$L$20:$L$158,MATCH(B129&amp;"_"&amp;C129,'[2]Input Data'!$B$20:$B$158&amp;"_"&amp;'[2]Input Data'!$C$20:$C$158,0)))</f>
        <v>46386</v>
      </c>
      <c r="H129" s="313" cm="1">
        <f t="array" ref="H129">_xlfn._xlws.FILTER('Input Data'!$AA$20:$AA$963,('Input Data'!$B$20:$B$963=Changes!B129)*('Input Data'!$C$20:$C$963=Changes!C129),0)</f>
        <v>3352357.7263714899</v>
      </c>
      <c r="I129" s="313" cm="1">
        <f t="array" ref="I129">_xlfn._xlws.FILTER('[2]Input Data'!$AA$20:$AA$173,('[2]Input Data'!$B$20:$B$173=Changes!B129)*('[2]Input Data'!$C$20:$C$173=Changes!C129),0)</f>
        <v>3352357.7263714899</v>
      </c>
      <c r="J129" s="346" t="str" cm="1">
        <f t="array" ref="J129">_xlfn._xlws.FILTER('Input Data'!$E$20:$E$963,('Input Data'!$B$20:$B$963=Changes!B129)*('Input Data'!$C$20:$C$963=Changes!C129),0)</f>
        <v>In-Orbit</v>
      </c>
      <c r="K129" s="347" cm="1">
        <f t="array" ref="K129">_xlfn._xlws.FILTER('Input Data'!$L$20:$L$963,('Input Data'!$B$20:$B$963=Changes!B129)*('Input Data'!$C$20:$C$963=Changes!C129),0)</f>
        <v>46022</v>
      </c>
      <c r="L129" s="356" t="str" cm="1">
        <f t="array" ref="L129">_xlfn._xlws.FILTER('[2]Input Data'!$D$20:$D$173,('[2]Input Data'!$B$20:$B$173=Changes!B129)*('[2]Input Data'!$C$20:$C$173=Changes!C129),0)</f>
        <v>In-Orbit</v>
      </c>
      <c r="M129" s="314">
        <f>IFERROR(INDEX('Input Data'!$P$10:$P$14,MATCH(DATEDIF($M$4,G129,"M"),'Input Data'!$O$10:$O$14,1)),0)</f>
        <v>0.4</v>
      </c>
      <c r="N129" s="227"/>
      <c r="O129" s="227">
        <f>INDEX('Input Data'!$P$10:$P$14,MATCH(DATEDIF($O$4,G129,"M"),'Input Data'!$O$10:$O$14,1))</f>
        <v>0.4</v>
      </c>
      <c r="P129" s="204">
        <f t="shared" si="13"/>
        <v>0</v>
      </c>
      <c r="R129" cm="1">
        <f t="array" ref="R129">_xlfn.LET(_xlpm.current,INDEX('Input Data'!$M$20:$M$963,MATCH(Changes!B129&amp;"_"&amp;Changes!C129,'Input Data'!$B$20:$B$963&amp;"_"&amp;'Input Data'!$C$20:$C$963,0)),_xlpm.prev,INDEX('[2]Input Data'!$L$20:$L$173,MATCH(B129&amp;"_"&amp;C129,'[2]Input Data'!$B$20:$B$173&amp;"_"&amp;'[2]Input Data'!$C$20:$C$173,0)),
IF(OR(ISNA(_xlpm.current),ISNA(_xlpm.prev)),0,_xlpm.current-_xlpm.prev))</f>
        <v>0</v>
      </c>
      <c r="S129" s="186" t="b">
        <f t="shared" si="15"/>
        <v>0</v>
      </c>
      <c r="T129" t="str" cm="1">
        <f t="array" ref="T129">IFERROR(_xlfn._xlws.FILTER('Input Data'!$N$20:$N$963,('Input Data'!$B$20:$B$963=Changes!B129)*('Input Data'!$C$20:$C$963=Changes!C129)),_xlfn._xlws.FILTER('[2]Input Data'!$M$20:$M$173,('[2]Input Data'!$B$20:$B$173=Changes!B129)*('[2]Input Data'!$C$20:$C$173=Changes!C129)))</f>
        <v>Astrium Limited - Stevenage (Part of EADS)</v>
      </c>
      <c r="V129" s="348"/>
      <c r="W129" s="227"/>
      <c r="X129" s="265" t="str">
        <v>SPAINSAT NG-1</v>
      </c>
      <c r="Y129" s="266">
        <v>28857627.37544075</v>
      </c>
      <c r="AB129" s="33"/>
      <c r="AC129" s="33"/>
    </row>
    <row r="130" spans="1:29" x14ac:dyDescent="0.35">
      <c r="A130">
        <f t="shared" si="14"/>
        <v>1</v>
      </c>
      <c r="B130" s="315">
        <v>366029</v>
      </c>
      <c r="C130" s="282">
        <v>503999</v>
      </c>
      <c r="D130" s="282" t="str">
        <v>THURAYA 4-NGS</v>
      </c>
      <c r="E130" s="282" t="str">
        <v>FUL</v>
      </c>
      <c r="F130" s="282" t="str">
        <v>GEO-GSO</v>
      </c>
      <c r="G130" s="283" cm="1">
        <f t="array" ref="G130">_xlfn.IFNA(INDEX('Input Data'!$M$20:$M$963,MATCH(Changes!B130&amp;"_"&amp;Changes!C130,'Input Data'!$B$20:$B$963&amp;"_"&amp;'Input Data'!$C$20:$C$963,0)),INDEX('[2]Input Data'!$L$20:$L$158,MATCH(B130&amp;"_"&amp;C130,'[2]Input Data'!$B$20:$B$158&amp;"_"&amp;'[2]Input Data'!$C$20:$C$158,0)))</f>
        <v>46386</v>
      </c>
      <c r="H130" s="313" cm="1">
        <f t="array" ref="H130">_xlfn._xlws.FILTER('Input Data'!$AA$20:$AA$963,('Input Data'!$B$20:$B$963=Changes!B130)*('Input Data'!$C$20:$C$963=Changes!C130),0)</f>
        <v>4206210.12</v>
      </c>
      <c r="I130" s="313" cm="1">
        <f t="array" ref="I130">_xlfn._xlws.FILTER('[2]Input Data'!$AA$20:$AA$173,('[2]Input Data'!$B$20:$B$173=Changes!B130)*('[2]Input Data'!$C$20:$C$173=Changes!C130),0)</f>
        <v>0</v>
      </c>
      <c r="J130" s="346" t="str" cm="1">
        <f t="array" ref="J130">_xlfn._xlws.FILTER('Input Data'!$E$20:$E$963,('Input Data'!$B$20:$B$963=Changes!B130)*('Input Data'!$C$20:$C$963=Changes!C130),0)</f>
        <v>In-Orbit</v>
      </c>
      <c r="K130" s="347" cm="1">
        <f t="array" ref="K130">_xlfn._xlws.FILTER('Input Data'!$L$20:$L$963,('Input Data'!$B$20:$B$963=Changes!B130)*('Input Data'!$C$20:$C$963=Changes!C130),0)</f>
        <v>46026</v>
      </c>
      <c r="L130" s="356" cm="1">
        <f t="array" ref="L130">_xlfn._xlws.FILTER('[2]Input Data'!$D$20:$D$173,('[2]Input Data'!$B$20:$B$173=Changes!B130)*('[2]Input Data'!$C$20:$C$173=Changes!C130),0)</f>
        <v>0</v>
      </c>
      <c r="M130" s="314">
        <f>IFERROR(INDEX('Input Data'!$P$10:$P$14,MATCH(DATEDIF($M$4,G130,"M"),'Input Data'!$O$10:$O$14,1)),0)</f>
        <v>0.4</v>
      </c>
      <c r="N130" s="227"/>
      <c r="O130" s="227">
        <f>INDEX('Input Data'!$P$10:$P$14,MATCH(DATEDIF($O$4,G130,"M"),'Input Data'!$O$10:$O$14,1))</f>
        <v>0.4</v>
      </c>
      <c r="P130" s="204">
        <f>H130-I130</f>
        <v>4206210.12</v>
      </c>
      <c r="Q130" s="339" t="s">
        <v>358</v>
      </c>
      <c r="R130" cm="1">
        <f t="array" ref="R130">_xlfn.LET(_xlpm.current,INDEX('Input Data'!$M$20:$M$963,MATCH(Changes!B130&amp;"_"&amp;Changes!C130,'Input Data'!$B$20:$B$963&amp;"_"&amp;'Input Data'!$C$20:$C$963,0)),_xlpm.prev,INDEX('[2]Input Data'!$L$20:$L$173,MATCH(B130&amp;"_"&amp;C130,'[2]Input Data'!$B$20:$B$173&amp;"_"&amp;'[2]Input Data'!$C$20:$C$173,0)),
IF(OR(ISNA(_xlpm.current),ISNA(_xlpm.prev)),0,_xlpm.current-_xlpm.prev))</f>
        <v>0</v>
      </c>
      <c r="S130" s="186" t="b">
        <f t="shared" si="15"/>
        <v>0</v>
      </c>
      <c r="T130" t="str" cm="1">
        <f t="array" ref="T130">IFERROR(_xlfn._xlws.FILTER('Input Data'!$N$20:$N$963,('Input Data'!$B$20:$B$963=Changes!B130)*('Input Data'!$C$20:$C$963=Changes!C130)),_xlfn._xlws.FILTER('[2]Input Data'!$M$20:$M$173,('[2]Input Data'!$B$20:$B$173=Changes!B130)*('[2]Input Data'!$C$20:$C$173=Changes!C130)))</f>
        <v>Airbus Defence and Space (Toulouse)</v>
      </c>
      <c r="V130" s="348" t="s">
        <v>590</v>
      </c>
      <c r="W130" s="227"/>
      <c r="X130" s="265" t="str">
        <v>SPAINSAT NG-2</v>
      </c>
      <c r="Y130" s="266">
        <v>26601157.9806302</v>
      </c>
      <c r="AB130" s="33"/>
      <c r="AC130" s="33"/>
    </row>
    <row r="131" spans="1:29" x14ac:dyDescent="0.35">
      <c r="A131">
        <f t="shared" si="14"/>
        <v>1</v>
      </c>
      <c r="B131" s="315">
        <v>367899</v>
      </c>
      <c r="C131" s="282">
        <v>508203</v>
      </c>
      <c r="D131" s="282" t="str">
        <v>TELKOMSAT 113BT</v>
      </c>
      <c r="E131" s="282" t="str">
        <v>FUL</v>
      </c>
      <c r="F131" s="282" t="str">
        <v>GEO-GSO</v>
      </c>
      <c r="G131" s="283" cm="1">
        <f t="array" ref="G131">_xlfn.IFNA(INDEX('Input Data'!$M$20:$M$963,MATCH(Changes!B131&amp;"_"&amp;Changes!C131,'Input Data'!$B$20:$B$963&amp;"_"&amp;'Input Data'!$C$20:$C$963,0)),INDEX('[2]Input Data'!$L$20:$L$158,MATCH(B131&amp;"_"&amp;C131,'[2]Input Data'!$B$20:$B$158&amp;"_"&amp;'[2]Input Data'!$C$20:$C$158,0)))</f>
        <v>46438</v>
      </c>
      <c r="H131" s="313" cm="1">
        <f t="array" ref="H131">_xlfn._xlws.FILTER('Input Data'!$AA$20:$AA$963,('Input Data'!$B$20:$B$963=Changes!B131)*('Input Data'!$C$20:$C$963=Changes!C131),0)</f>
        <v>6425215.4311806597</v>
      </c>
      <c r="I131" s="313" cm="1">
        <f t="array" ref="I131">_xlfn._xlws.FILTER('[2]Input Data'!$AA$20:$AA$173,('[2]Input Data'!$B$20:$B$173=Changes!B131)*('[2]Input Data'!$C$20:$C$173=Changes!C131),0)</f>
        <v>0</v>
      </c>
      <c r="J131" s="346" t="str" cm="1">
        <f t="array" ref="J131">_xlfn._xlws.FILTER('Input Data'!$E$20:$E$963,('Input Data'!$B$20:$B$963=Changes!B131)*('Input Data'!$C$20:$C$963=Changes!C131),0)</f>
        <v>In-Orbit</v>
      </c>
      <c r="K131" s="347" cm="1">
        <f t="array" ref="K131">_xlfn._xlws.FILTER('Input Data'!$L$20:$L$963,('Input Data'!$B$20:$B$963=Changes!B131)*('Input Data'!$C$20:$C$963=Changes!C131),0)</f>
        <v>46074</v>
      </c>
      <c r="L131" s="356" cm="1">
        <f t="array" ref="L131">_xlfn._xlws.FILTER('[2]Input Data'!$D$20:$D$173,('[2]Input Data'!$B$20:$B$173=Changes!B131)*('[2]Input Data'!$C$20:$C$173=Changes!C131),0)</f>
        <v>0</v>
      </c>
      <c r="M131" s="314">
        <f>IFERROR(INDEX('Input Data'!$P$10:$P$14,MATCH(DATEDIF($M$4,G131,"M"),'Input Data'!$O$10:$O$14,1)),0)</f>
        <v>0.4</v>
      </c>
      <c r="N131" s="227"/>
      <c r="O131" s="227">
        <f>INDEX('Input Data'!$P$10:$P$14,MATCH(DATEDIF($O$4,G131,"M"),'Input Data'!$O$10:$O$14,1))</f>
        <v>0.6</v>
      </c>
      <c r="P131" s="368">
        <f t="shared" si="13"/>
        <v>6425215.4311806597</v>
      </c>
      <c r="Q131" s="291" t="s">
        <v>359</v>
      </c>
      <c r="R131" cm="1">
        <f t="array" ref="R131">_xlfn.LET(_xlpm.current,INDEX('Input Data'!$M$20:$M$963,MATCH(Changes!B131&amp;"_"&amp;Changes!C131,'Input Data'!$B$20:$B$963&amp;"_"&amp;'Input Data'!$C$20:$C$963,0)),_xlpm.prev,INDEX('[2]Input Data'!$L$20:$L$173,MATCH(B131&amp;"_"&amp;C131,'[2]Input Data'!$B$20:$B$173&amp;"_"&amp;'[2]Input Data'!$C$20:$C$173,0)),
IF(OR(ISNA(_xlpm.current),ISNA(_xlpm.prev)),0,_xlpm.current-_xlpm.prev))</f>
        <v>0</v>
      </c>
      <c r="S131" s="186" t="b">
        <f t="shared" si="15"/>
        <v>1</v>
      </c>
      <c r="T131" t="str" cm="1">
        <f t="array" ref="T131">IFERROR(_xlfn._xlws.FILTER('Input Data'!$N$20:$N$963,('Input Data'!$B$20:$B$963=Changes!B131)*('Input Data'!$C$20:$C$963=Changes!C131)),_xlfn._xlws.FILTER('[2]Input Data'!$M$20:$M$173,('[2]Input Data'!$B$20:$B$173=Changes!B131)*('[2]Input Data'!$C$20:$C$173=Changes!C131)))</f>
        <v>Thales Alenia Space France (Cannes)</v>
      </c>
      <c r="V131" s="366" t="s">
        <v>590</v>
      </c>
      <c r="W131" s="227"/>
      <c r="X131" s="265" t="str">
        <v>OVZON-3</v>
      </c>
      <c r="Y131" s="266">
        <v>10824710.7036082</v>
      </c>
      <c r="AB131" s="33"/>
      <c r="AC131" s="33"/>
    </row>
    <row r="132" spans="1:29" x14ac:dyDescent="0.35">
      <c r="A132">
        <f t="shared" si="14"/>
        <v>1</v>
      </c>
      <c r="B132" s="315">
        <v>368892</v>
      </c>
      <c r="C132" s="282">
        <v>509838</v>
      </c>
      <c r="D132" s="282" t="str">
        <v>TUPAC KATARI</v>
      </c>
      <c r="E132" s="282" t="str">
        <v>FUL</v>
      </c>
      <c r="F132" s="282" t="str">
        <v>GEO-GSO</v>
      </c>
      <c r="G132" s="283" cm="1">
        <f t="array" ref="G132">_xlfn.IFNA(INDEX('Input Data'!$M$20:$M$963,MATCH(Changes!B132&amp;"_"&amp;Changes!C132,'Input Data'!$B$20:$B$963&amp;"_"&amp;'Input Data'!$C$20:$C$963,0)),INDEX('[2]Input Data'!$L$20:$L$158,MATCH(B132&amp;"_"&amp;C132,'[2]Input Data'!$B$20:$B$158&amp;"_"&amp;'[2]Input Data'!$C$20:$C$158,0)))</f>
        <v>46386</v>
      </c>
      <c r="H132" s="313" cm="1">
        <f t="array" ref="H132">_xlfn._xlws.FILTER('Input Data'!$AA$20:$AA$963,('Input Data'!$B$20:$B$963=Changes!B132)*('Input Data'!$C$20:$C$963=Changes!C132),0)</f>
        <v>3092783.5</v>
      </c>
      <c r="I132" s="313" cm="1">
        <f t="array" ref="I132">_xlfn._xlws.FILTER('[2]Input Data'!$AA$20:$AA$173,('[2]Input Data'!$B$20:$B$173=Changes!B132)*('[2]Input Data'!$C$20:$C$173=Changes!C132),0)</f>
        <v>3092783.5</v>
      </c>
      <c r="J132" s="346" t="str" cm="1">
        <f t="array" ref="J132">_xlfn._xlws.FILTER('Input Data'!$E$20:$E$963,('Input Data'!$B$20:$B$963=Changes!B132)*('Input Data'!$C$20:$C$963=Changes!C132),0)</f>
        <v>In-Orbit</v>
      </c>
      <c r="K132" s="347" cm="1">
        <f t="array" ref="K132">_xlfn._xlws.FILTER('Input Data'!$L$20:$L$963,('Input Data'!$B$20:$B$963=Changes!B132)*('Input Data'!$C$20:$C$963=Changes!C132),0)</f>
        <v>46012</v>
      </c>
      <c r="L132" s="356" t="str" cm="1">
        <f t="array" ref="L132">_xlfn._xlws.FILTER('[2]Input Data'!$D$20:$D$173,('[2]Input Data'!$B$20:$B$173=Changes!B132)*('[2]Input Data'!$C$20:$C$173=Changes!C132),0)</f>
        <v>In-Orbit</v>
      </c>
      <c r="M132" s="314">
        <f>IFERROR(INDEX('Input Data'!$P$10:$P$14,MATCH(DATEDIF($M$4,G132,"M"),'Input Data'!$O$10:$O$14,1)),0)</f>
        <v>0.4</v>
      </c>
      <c r="N132" s="227"/>
      <c r="O132" s="227">
        <f>INDEX('Input Data'!$P$10:$P$14,MATCH(DATEDIF($O$4,G132,"M"),'Input Data'!$O$10:$O$14,1))</f>
        <v>0.4</v>
      </c>
      <c r="P132" s="204">
        <f t="shared" si="13"/>
        <v>0</v>
      </c>
      <c r="R132" cm="1">
        <f t="array" ref="R132">_xlfn.LET(_xlpm.current,INDEX('Input Data'!$M$20:$M$963,MATCH(Changes!B132&amp;"_"&amp;Changes!C132,'Input Data'!$B$20:$B$963&amp;"_"&amp;'Input Data'!$C$20:$C$963,0)),_xlpm.prev,INDEX('[2]Input Data'!$L$20:$L$173,MATCH(B132&amp;"_"&amp;C132,'[2]Input Data'!$B$20:$B$173&amp;"_"&amp;'[2]Input Data'!$C$20:$C$173,0)),
IF(OR(ISNA(_xlpm.current),ISNA(_xlpm.prev)),0,_xlpm.current-_xlpm.prev))</f>
        <v>0</v>
      </c>
      <c r="S132" s="186" t="b">
        <f t="shared" si="15"/>
        <v>0</v>
      </c>
      <c r="T132" t="str" cm="1">
        <f t="array" ref="T132">IFERROR(_xlfn._xlws.FILTER('Input Data'!$N$20:$N$963,('Input Data'!$B$20:$B$963=Changes!B132)*('Input Data'!$C$20:$C$963=Changes!C132)),_xlfn._xlws.FILTER('[2]Input Data'!$M$20:$M$173,('[2]Input Data'!$B$20:$B$173=Changes!B132)*('[2]Input Data'!$C$20:$C$173=Changes!C132)))</f>
        <v>ITS - Institute of Telecommunication Satellites (Part of CAST)</v>
      </c>
      <c r="V132" s="348"/>
      <c r="W132" s="227"/>
      <c r="X132" s="265" t="str">
        <v>PAKSAT-MULTI MISSION 1 (PAKSAT-MM1)</v>
      </c>
      <c r="Y132" s="266">
        <v>21649484.5</v>
      </c>
      <c r="AB132" s="33"/>
      <c r="AC132" s="33"/>
    </row>
    <row r="133" spans="1:29" x14ac:dyDescent="0.35">
      <c r="A133">
        <f t="shared" si="14"/>
        <v>1</v>
      </c>
      <c r="B133" s="315">
        <v>369418</v>
      </c>
      <c r="C133" s="282">
        <v>510955</v>
      </c>
      <c r="D133" s="282" t="str">
        <v>WORLDVIEW LEGION-1</v>
      </c>
      <c r="E133" s="282" t="str">
        <v>FUL</v>
      </c>
      <c r="F133" s="282" t="str">
        <v>LEO</v>
      </c>
      <c r="G133" s="283" cm="1">
        <f t="array" ref="G133">_xlfn.IFNA(INDEX('Input Data'!$M$20:$M$963,MATCH(Changes!B133&amp;"_"&amp;Changes!C133,'Input Data'!$B$20:$B$963&amp;"_"&amp;'Input Data'!$C$20:$C$963,0)),INDEX('[2]Input Data'!$L$20:$L$158,MATCH(B133&amp;"_"&amp;C133,'[2]Input Data'!$B$20:$B$158&amp;"_"&amp;'[2]Input Data'!$C$20:$C$158,0)))</f>
        <v>46422</v>
      </c>
      <c r="H133" s="313" cm="1">
        <f t="array" ref="H133">_xlfn._xlws.FILTER('Input Data'!$AA$20:$AA$963,('Input Data'!$B$20:$B$963=Changes!B133)*('Input Data'!$C$20:$C$963=Changes!C133),0)</f>
        <v>4411800</v>
      </c>
      <c r="I133" s="313" cm="1">
        <f t="array" ref="I133">_xlfn._xlws.FILTER('[2]Input Data'!$AA$20:$AA$173,('[2]Input Data'!$B$20:$B$173=Changes!B133)*('[2]Input Data'!$C$20:$C$173=Changes!C133),0)</f>
        <v>0</v>
      </c>
      <c r="J133" s="346" t="str" cm="1">
        <f t="array" ref="J133">_xlfn._xlws.FILTER('Input Data'!$E$20:$E$963,('Input Data'!$B$20:$B$963=Changes!B133)*('Input Data'!$C$20:$C$963=Changes!C133),0)</f>
        <v>In-Orbit</v>
      </c>
      <c r="K133" s="347" cm="1">
        <f t="array" ref="K133">_xlfn._xlws.FILTER('Input Data'!$L$20:$L$963,('Input Data'!$B$20:$B$963=Changes!B133)*('Input Data'!$C$20:$C$963=Changes!C133),0)</f>
        <v>46058</v>
      </c>
      <c r="L133" s="356" cm="1">
        <f t="array" ref="L133">_xlfn._xlws.FILTER('[2]Input Data'!$D$20:$D$173,('[2]Input Data'!$B$20:$B$173=Changes!B133)*('[2]Input Data'!$C$20:$C$173=Changes!C133),0)</f>
        <v>0</v>
      </c>
      <c r="M133" s="314">
        <f>IFERROR(INDEX('Input Data'!$P$10:$P$14,MATCH(DATEDIF($M$4,G133,"M"),'Input Data'!$O$10:$O$14,1)),0)</f>
        <v>0.4</v>
      </c>
      <c r="N133" s="227"/>
      <c r="O133" s="227">
        <f>INDEX('Input Data'!$P$10:$P$14,MATCH(DATEDIF($O$4,G133,"M"),'Input Data'!$O$10:$O$14,1))</f>
        <v>0.6</v>
      </c>
      <c r="P133" s="204">
        <f t="shared" si="13"/>
        <v>4411800</v>
      </c>
      <c r="Q133" s="361" t="s">
        <v>358</v>
      </c>
      <c r="R133" cm="1">
        <f t="array" ref="R133">_xlfn.LET(_xlpm.current,INDEX('Input Data'!$M$20:$M$963,MATCH(Changes!B133&amp;"_"&amp;Changes!C133,'Input Data'!$B$20:$B$963&amp;"_"&amp;'Input Data'!$C$20:$C$963,0)),_xlpm.prev,INDEX('[2]Input Data'!$L$20:$L$173,MATCH(B133&amp;"_"&amp;C133,'[2]Input Data'!$B$20:$B$173&amp;"_"&amp;'[2]Input Data'!$C$20:$C$173,0)),
IF(OR(ISNA(_xlpm.current),ISNA(_xlpm.prev)),0,_xlpm.current-_xlpm.prev))</f>
        <v>0</v>
      </c>
      <c r="S133" s="186" t="b">
        <f t="shared" si="15"/>
        <v>1</v>
      </c>
      <c r="T133" t="str" cm="1">
        <f t="array" ref="T133">IFERROR(_xlfn._xlws.FILTER('Input Data'!$N$20:$N$963,('Input Data'!$B$20:$B$963=Changes!B133)*('Input Data'!$C$20:$C$963=Changes!C133)),_xlfn._xlws.FILTER('[2]Input Data'!$M$20:$M$173,('[2]Input Data'!$B$20:$B$173=Changes!B133)*('[2]Input Data'!$C$20:$C$173=Changes!C133)))</f>
        <v>Maxar Space Systems</v>
      </c>
      <c r="V133" s="348" t="s">
        <v>590</v>
      </c>
      <c r="W133" s="227"/>
      <c r="X133" s="265" t="str">
        <v>THAICOM 8</v>
      </c>
      <c r="Y133" s="266">
        <v>11134020.6</v>
      </c>
      <c r="AB133" s="33"/>
      <c r="AC133" s="33"/>
    </row>
    <row r="134" spans="1:29" x14ac:dyDescent="0.35">
      <c r="A134">
        <f t="shared" si="14"/>
        <v>1</v>
      </c>
      <c r="B134" s="315">
        <v>369418</v>
      </c>
      <c r="C134" s="282">
        <v>510966</v>
      </c>
      <c r="D134" s="282" t="str">
        <v>WORLDVIEW LEGION-6</v>
      </c>
      <c r="E134" s="282" t="str">
        <v>FUL</v>
      </c>
      <c r="F134" s="282" t="str">
        <v>LEO</v>
      </c>
      <c r="G134" s="283" cm="1">
        <f t="array" ref="G134">_xlfn.IFNA(INDEX('Input Data'!$M$20:$M$963,MATCH(Changes!B134&amp;"_"&amp;Changes!C134,'Input Data'!$B$20:$B$963&amp;"_"&amp;'Input Data'!$C$20:$C$963,0)),INDEX('[2]Input Data'!$L$20:$L$158,MATCH(B134&amp;"_"&amp;C134,'[2]Input Data'!$B$20:$B$158&amp;"_"&amp;'[2]Input Data'!$C$20:$C$158,0)))</f>
        <v>46422</v>
      </c>
      <c r="H134" s="313" cm="1">
        <f t="array" ref="H134">_xlfn._xlws.FILTER('Input Data'!$AA$20:$AA$963,('Input Data'!$B$20:$B$963=Changes!B134)*('Input Data'!$C$20:$C$963=Changes!C134),0)</f>
        <v>4411800</v>
      </c>
      <c r="I134" s="313" cm="1">
        <f t="array" ref="I134">_xlfn._xlws.FILTER('[2]Input Data'!$AA$20:$AA$173,('[2]Input Data'!$B$20:$B$173=Changes!B134)*('[2]Input Data'!$C$20:$C$173=Changes!C134),0)</f>
        <v>0</v>
      </c>
      <c r="J134" s="346" t="str" cm="1">
        <f t="array" ref="J134">_xlfn._xlws.FILTER('Input Data'!$E$20:$E$963,('Input Data'!$B$20:$B$963=Changes!B134)*('Input Data'!$C$20:$C$963=Changes!C134),0)</f>
        <v>In-Orbit</v>
      </c>
      <c r="K134" s="347" cm="1">
        <f t="array" ref="K134">_xlfn._xlws.FILTER('Input Data'!$L$20:$L$963,('Input Data'!$B$20:$B$963=Changes!B134)*('Input Data'!$C$20:$C$963=Changes!C134),0)</f>
        <v>46058</v>
      </c>
      <c r="L134" s="356" cm="1">
        <f t="array" ref="L134">_xlfn._xlws.FILTER('[2]Input Data'!$D$20:$D$173,('[2]Input Data'!$B$20:$B$173=Changes!B134)*('[2]Input Data'!$C$20:$C$173=Changes!C134),0)</f>
        <v>0</v>
      </c>
      <c r="M134" s="314">
        <f>IFERROR(INDEX('Input Data'!$P$10:$P$14,MATCH(DATEDIF($M$4,G134,"M"),'Input Data'!$O$10:$O$14,1)),0)</f>
        <v>0.4</v>
      </c>
      <c r="N134" s="227"/>
      <c r="O134" s="227">
        <f>INDEX('Input Data'!$P$10:$P$14,MATCH(DATEDIF($O$4,G134,"M"),'Input Data'!$O$10:$O$14,1))</f>
        <v>0.6</v>
      </c>
      <c r="P134" s="204">
        <f t="shared" si="13"/>
        <v>4411800</v>
      </c>
      <c r="Q134" s="339" t="s">
        <v>358</v>
      </c>
      <c r="R134" cm="1">
        <f t="array" ref="R134">_xlfn.LET(_xlpm.current,INDEX('Input Data'!$M$20:$M$963,MATCH(Changes!B134&amp;"_"&amp;Changes!C134,'Input Data'!$B$20:$B$963&amp;"_"&amp;'Input Data'!$C$20:$C$963,0)),_xlpm.prev,INDEX('[2]Input Data'!$L$20:$L$173,MATCH(B134&amp;"_"&amp;C134,'[2]Input Data'!$B$20:$B$173&amp;"_"&amp;'[2]Input Data'!$C$20:$C$173,0)),
IF(OR(ISNA(_xlpm.current),ISNA(_xlpm.prev)),0,_xlpm.current-_xlpm.prev))</f>
        <v>0</v>
      </c>
      <c r="S134" s="186" t="b">
        <f t="shared" si="15"/>
        <v>1</v>
      </c>
      <c r="T134" t="str" cm="1">
        <f t="array" ref="T134">IFERROR(_xlfn._xlws.FILTER('Input Data'!$N$20:$N$963,('Input Data'!$B$20:$B$963=Changes!B134)*('Input Data'!$C$20:$C$963=Changes!C134)),_xlfn._xlws.FILTER('[2]Input Data'!$M$20:$M$173,('[2]Input Data'!$B$20:$B$173=Changes!B134)*('[2]Input Data'!$C$20:$C$173=Changes!C134)))</f>
        <v>Maxar Space Systems</v>
      </c>
      <c r="V134" s="348" t="s">
        <v>590</v>
      </c>
      <c r="W134" s="227"/>
      <c r="X134" s="265" t="str">
        <v>INMARSAT 6-F1</v>
      </c>
      <c r="Y134" s="266">
        <v>30041791.496321999</v>
      </c>
      <c r="AB134" s="33"/>
      <c r="AC134" s="33"/>
    </row>
    <row r="135" spans="1:29" x14ac:dyDescent="0.35">
      <c r="A135">
        <f t="shared" si="14"/>
        <v>1</v>
      </c>
      <c r="B135" s="315">
        <v>369418</v>
      </c>
      <c r="C135" s="282">
        <v>510967</v>
      </c>
      <c r="D135" s="282" t="str">
        <v>WORLDVIEW LEGION-5</v>
      </c>
      <c r="E135" s="282" t="str">
        <v>FUL</v>
      </c>
      <c r="F135" s="282" t="str">
        <v>LEO</v>
      </c>
      <c r="G135" s="283" cm="1">
        <f t="array" ref="G135">_xlfn.IFNA(INDEX('Input Data'!$M$20:$M$963,MATCH(Changes!B135&amp;"_"&amp;Changes!C135,'Input Data'!$B$20:$B$963&amp;"_"&amp;'Input Data'!$C$20:$C$963,0)),INDEX('[2]Input Data'!$L$20:$L$158,MATCH(B135&amp;"_"&amp;C135,'[2]Input Data'!$B$20:$B$158&amp;"_"&amp;'[2]Input Data'!$C$20:$C$158,0)))</f>
        <v>46422</v>
      </c>
      <c r="H135" s="313" cm="1">
        <f t="array" ref="H135">_xlfn._xlws.FILTER('Input Data'!$AA$20:$AA$963,('Input Data'!$B$20:$B$963=Changes!B135)*('Input Data'!$C$20:$C$963=Changes!C135),0)</f>
        <v>4411800</v>
      </c>
      <c r="I135" s="313" cm="1">
        <f t="array" ref="I135">_xlfn._xlws.FILTER('[2]Input Data'!$AA$20:$AA$173,('[2]Input Data'!$B$20:$B$173=Changes!B135)*('[2]Input Data'!$C$20:$C$173=Changes!C135),0)</f>
        <v>0</v>
      </c>
      <c r="J135" s="346" t="str" cm="1">
        <f t="array" ref="J135">_xlfn._xlws.FILTER('Input Data'!$E$20:$E$963,('Input Data'!$B$20:$B$963=Changes!B135)*('Input Data'!$C$20:$C$963=Changes!C135),0)</f>
        <v>In-Orbit</v>
      </c>
      <c r="K135" s="347" cm="1">
        <f t="array" ref="K135">_xlfn._xlws.FILTER('Input Data'!$L$20:$L$963,('Input Data'!$B$20:$B$963=Changes!B135)*('Input Data'!$C$20:$C$963=Changes!C135),0)</f>
        <v>46058</v>
      </c>
      <c r="L135" s="356" cm="1">
        <f t="array" ref="L135">_xlfn._xlws.FILTER('[2]Input Data'!$D$20:$D$173,('[2]Input Data'!$B$20:$B$173=Changes!B135)*('[2]Input Data'!$C$20:$C$173=Changes!C135),0)</f>
        <v>0</v>
      </c>
      <c r="M135" s="314">
        <f>IFERROR(INDEX('Input Data'!$P$10:$P$14,MATCH(DATEDIF($M$4,G135,"M"),'Input Data'!$O$10:$O$14,1)),0)</f>
        <v>0.4</v>
      </c>
      <c r="N135" s="227"/>
      <c r="O135" s="227">
        <f>INDEX('Input Data'!$P$10:$P$14,MATCH(DATEDIF($O$4,G135,"M"),'Input Data'!$O$10:$O$14,1))</f>
        <v>0.6</v>
      </c>
      <c r="P135" s="204">
        <f t="shared" ref="P135:P171" si="16">H135-I135</f>
        <v>4411800</v>
      </c>
      <c r="Q135" s="339" t="s">
        <v>358</v>
      </c>
      <c r="R135" cm="1">
        <f t="array" ref="R135">_xlfn.LET(_xlpm.current,INDEX('Input Data'!$M$20:$M$963,MATCH(Changes!B135&amp;"_"&amp;Changes!C135,'Input Data'!$B$20:$B$963&amp;"_"&amp;'Input Data'!$C$20:$C$963,0)),_xlpm.prev,INDEX('[2]Input Data'!$L$20:$L$173,MATCH(B135&amp;"_"&amp;C135,'[2]Input Data'!$B$20:$B$173&amp;"_"&amp;'[2]Input Data'!$C$20:$C$173,0)),
IF(OR(ISNA(_xlpm.current),ISNA(_xlpm.prev)),0,_xlpm.current-_xlpm.prev))</f>
        <v>0</v>
      </c>
      <c r="S135" s="186" t="b">
        <f t="shared" si="15"/>
        <v>1</v>
      </c>
      <c r="T135" t="str" cm="1">
        <f t="array" ref="T135">IFERROR(_xlfn._xlws.FILTER('Input Data'!$N$20:$N$963,('Input Data'!$B$20:$B$963=Changes!B135)*('Input Data'!$C$20:$C$963=Changes!C135)),_xlfn._xlws.FILTER('[2]Input Data'!$M$20:$M$173,('[2]Input Data'!$B$20:$B$173=Changes!B135)*('[2]Input Data'!$C$20:$C$173=Changes!C135)))</f>
        <v>Maxar Space Systems</v>
      </c>
      <c r="V135" s="348" t="s">
        <v>590</v>
      </c>
      <c r="W135" s="227"/>
      <c r="X135" s="265" t="str">
        <v>HYLAS 4</v>
      </c>
      <c r="Y135" s="266">
        <v>12061855.65</v>
      </c>
      <c r="AB135" s="33"/>
      <c r="AC135" s="33"/>
    </row>
    <row r="136" spans="1:29" x14ac:dyDescent="0.35">
      <c r="A136">
        <f t="shared" ref="A136:A199" si="17">IF(B136="",0,COUNTIFS($B$7:$B$999,B136,$C$7:$C$999,C136))</f>
        <v>1</v>
      </c>
      <c r="B136" s="315">
        <v>369418</v>
      </c>
      <c r="C136" s="282">
        <v>510968</v>
      </c>
      <c r="D136" s="282" t="str">
        <v>WORLDVIEW LEGION-4</v>
      </c>
      <c r="E136" s="282" t="str">
        <v>FUL</v>
      </c>
      <c r="F136" s="282" t="str">
        <v>LEO</v>
      </c>
      <c r="G136" s="283" cm="1">
        <f t="array" ref="G136">_xlfn.IFNA(INDEX('Input Data'!$M$20:$M$963,MATCH(Changes!B136&amp;"_"&amp;Changes!C136,'Input Data'!$B$20:$B$963&amp;"_"&amp;'Input Data'!$C$20:$C$963,0)),INDEX('[2]Input Data'!$L$20:$L$158,MATCH(B136&amp;"_"&amp;C136,'[2]Input Data'!$B$20:$B$158&amp;"_"&amp;'[2]Input Data'!$C$20:$C$158,0)))</f>
        <v>46422</v>
      </c>
      <c r="H136" s="313" cm="1">
        <f t="array" ref="H136">_xlfn._xlws.FILTER('Input Data'!$AA$20:$AA$963,('Input Data'!$B$20:$B$963=Changes!B136)*('Input Data'!$C$20:$C$963=Changes!C136),0)</f>
        <v>4411800</v>
      </c>
      <c r="I136" s="313" cm="1">
        <f t="array" ref="I136">_xlfn._xlws.FILTER('[2]Input Data'!$AA$20:$AA$173,('[2]Input Data'!$B$20:$B$173=Changes!B136)*('[2]Input Data'!$C$20:$C$173=Changes!C136),0)</f>
        <v>0</v>
      </c>
      <c r="J136" s="346" t="str" cm="1">
        <f t="array" ref="J136">_xlfn._xlws.FILTER('Input Data'!$E$20:$E$963,('Input Data'!$B$20:$B$963=Changes!B136)*('Input Data'!$C$20:$C$963=Changes!C136),0)</f>
        <v>In-Orbit</v>
      </c>
      <c r="K136" s="347" cm="1">
        <f t="array" ref="K136">_xlfn._xlws.FILTER('Input Data'!$L$20:$L$963,('Input Data'!$B$20:$B$963=Changes!B136)*('Input Data'!$C$20:$C$963=Changes!C136),0)</f>
        <v>46058</v>
      </c>
      <c r="L136" s="356" cm="1">
        <f t="array" ref="L136">_xlfn._xlws.FILTER('[2]Input Data'!$D$20:$D$173,('[2]Input Data'!$B$20:$B$173=Changes!B136)*('[2]Input Data'!$C$20:$C$173=Changes!C136),0)</f>
        <v>0</v>
      </c>
      <c r="M136" s="314">
        <f>IFERROR(INDEX('Input Data'!$P$10:$P$14,MATCH(DATEDIF($M$4,G136,"M"),'Input Data'!$O$10:$O$14,1)),0)</f>
        <v>0.4</v>
      </c>
      <c r="N136" s="227"/>
      <c r="O136" s="227">
        <f>INDEX('Input Data'!$P$10:$P$14,MATCH(DATEDIF($O$4,G136,"M"),'Input Data'!$O$10:$O$14,1))</f>
        <v>0.6</v>
      </c>
      <c r="P136" s="204">
        <f t="shared" si="16"/>
        <v>4411800</v>
      </c>
      <c r="Q136" s="339" t="s">
        <v>358</v>
      </c>
      <c r="R136" cm="1">
        <f t="array" ref="R136">_xlfn.LET(_xlpm.current,INDEX('Input Data'!$M$20:$M$963,MATCH(Changes!B136&amp;"_"&amp;Changes!C136,'Input Data'!$B$20:$B$963&amp;"_"&amp;'Input Data'!$C$20:$C$963,0)),_xlpm.prev,INDEX('[2]Input Data'!$L$20:$L$173,MATCH(B136&amp;"_"&amp;C136,'[2]Input Data'!$B$20:$B$173&amp;"_"&amp;'[2]Input Data'!$C$20:$C$173,0)),
IF(OR(ISNA(_xlpm.current),ISNA(_xlpm.prev)),0,_xlpm.current-_xlpm.prev))</f>
        <v>0</v>
      </c>
      <c r="S136" s="186" t="b">
        <f t="shared" ref="S136:S171" si="18">O136&gt;M136</f>
        <v>1</v>
      </c>
      <c r="T136" t="str" cm="1">
        <f t="array" ref="T136">IFERROR(_xlfn._xlws.FILTER('Input Data'!$N$20:$N$963,('Input Data'!$B$20:$B$963=Changes!B136)*('Input Data'!$C$20:$C$963=Changes!C136)),_xlfn._xlws.FILTER('[2]Input Data'!$M$20:$M$173,('[2]Input Data'!$B$20:$B$173=Changes!B136)*('[2]Input Data'!$C$20:$C$173=Changes!C136)))</f>
        <v>Maxar Space Systems</v>
      </c>
      <c r="V136" s="348" t="s">
        <v>590</v>
      </c>
      <c r="W136" s="227"/>
      <c r="X136" s="265" t="str">
        <v>TURKSAT 6A</v>
      </c>
      <c r="Y136" s="266">
        <v>7422681.0185566898</v>
      </c>
      <c r="AB136" s="33"/>
      <c r="AC136" s="33"/>
    </row>
    <row r="137" spans="1:29" x14ac:dyDescent="0.35">
      <c r="A137">
        <f t="shared" si="17"/>
        <v>1</v>
      </c>
      <c r="B137" s="315">
        <v>369418</v>
      </c>
      <c r="C137" s="282">
        <v>510969</v>
      </c>
      <c r="D137" s="282" t="str">
        <v>WORLDVIEW LEGION-3</v>
      </c>
      <c r="E137" s="282" t="str">
        <v>FUL</v>
      </c>
      <c r="F137" s="282" t="str">
        <v>LEO</v>
      </c>
      <c r="G137" s="283" cm="1">
        <f t="array" ref="G137">_xlfn.IFNA(INDEX('Input Data'!$M$20:$M$963,MATCH(Changes!B137&amp;"_"&amp;Changes!C137,'Input Data'!$B$20:$B$963&amp;"_"&amp;'Input Data'!$C$20:$C$963,0)),INDEX('[2]Input Data'!$L$20:$L$158,MATCH(B137&amp;"_"&amp;C137,'[2]Input Data'!$B$20:$B$158&amp;"_"&amp;'[2]Input Data'!$C$20:$C$158,0)))</f>
        <v>46422</v>
      </c>
      <c r="H137" s="313" cm="1">
        <f t="array" ref="H137">_xlfn._xlws.FILTER('Input Data'!$AA$20:$AA$963,('Input Data'!$B$20:$B$963=Changes!B137)*('Input Data'!$C$20:$C$963=Changes!C137),0)</f>
        <v>4411800</v>
      </c>
      <c r="I137" s="313" cm="1">
        <f t="array" ref="I137">_xlfn._xlws.FILTER('[2]Input Data'!$AA$20:$AA$173,('[2]Input Data'!$B$20:$B$173=Changes!B137)*('[2]Input Data'!$C$20:$C$173=Changes!C137),0)</f>
        <v>0</v>
      </c>
      <c r="J137" s="346" t="str" cm="1">
        <f t="array" ref="J137">_xlfn._xlws.FILTER('Input Data'!$E$20:$E$963,('Input Data'!$B$20:$B$963=Changes!B137)*('Input Data'!$C$20:$C$963=Changes!C137),0)</f>
        <v>In-Orbit</v>
      </c>
      <c r="K137" s="347" cm="1">
        <f t="array" ref="K137">_xlfn._xlws.FILTER('Input Data'!$L$20:$L$963,('Input Data'!$B$20:$B$963=Changes!B137)*('Input Data'!$C$20:$C$963=Changes!C137),0)</f>
        <v>46058</v>
      </c>
      <c r="L137" s="356" cm="1">
        <f t="array" ref="L137">_xlfn._xlws.FILTER('[2]Input Data'!$D$20:$D$173,('[2]Input Data'!$B$20:$B$173=Changes!B137)*('[2]Input Data'!$C$20:$C$173=Changes!C137),0)</f>
        <v>0</v>
      </c>
      <c r="M137" s="314">
        <f>IFERROR(INDEX('Input Data'!$P$10:$P$14,MATCH(DATEDIF($M$4,G137,"M"),'Input Data'!$O$10:$O$14,1)),0)</f>
        <v>0.4</v>
      </c>
      <c r="N137" s="227"/>
      <c r="O137" s="227">
        <f>INDEX('Input Data'!$P$10:$P$14,MATCH(DATEDIF($O$4,G137,"M"),'Input Data'!$O$10:$O$14,1))</f>
        <v>0.6</v>
      </c>
      <c r="P137" s="204">
        <f t="shared" si="16"/>
        <v>4411800</v>
      </c>
      <c r="Q137" s="339" t="s">
        <v>358</v>
      </c>
      <c r="R137" cm="1">
        <f t="array" ref="R137">_xlfn.LET(_xlpm.current,INDEX('Input Data'!$M$20:$M$963,MATCH(Changes!B137&amp;"_"&amp;Changes!C137,'Input Data'!$B$20:$B$963&amp;"_"&amp;'Input Data'!$C$20:$C$963,0)),_xlpm.prev,INDEX('[2]Input Data'!$L$20:$L$173,MATCH(B137&amp;"_"&amp;C137,'[2]Input Data'!$B$20:$B$173&amp;"_"&amp;'[2]Input Data'!$C$20:$C$173,0)),
IF(OR(ISNA(_xlpm.current),ISNA(_xlpm.prev)),0,_xlpm.current-_xlpm.prev))</f>
        <v>0</v>
      </c>
      <c r="S137" s="186" t="b">
        <f t="shared" si="18"/>
        <v>1</v>
      </c>
      <c r="T137" t="str" cm="1">
        <f t="array" ref="T137">IFERROR(_xlfn._xlws.FILTER('Input Data'!$N$20:$N$963,('Input Data'!$B$20:$B$963=Changes!B137)*('Input Data'!$C$20:$C$963=Changes!C137)),_xlfn._xlws.FILTER('[2]Input Data'!$M$20:$M$173,('[2]Input Data'!$B$20:$B$173=Changes!B137)*('[2]Input Data'!$C$20:$C$173=Changes!C137)))</f>
        <v>Maxar Space Systems</v>
      </c>
      <c r="V137" s="348" t="s">
        <v>590</v>
      </c>
      <c r="W137" s="227"/>
      <c r="X137" s="265" t="str">
        <v>WORLDVIEW LEGION-1</v>
      </c>
      <c r="Y137" s="266">
        <v>16864839.574226782</v>
      </c>
      <c r="AB137" s="33"/>
      <c r="AC137" s="33"/>
    </row>
    <row r="138" spans="1:29" x14ac:dyDescent="0.35">
      <c r="A138">
        <f t="shared" si="17"/>
        <v>1</v>
      </c>
      <c r="B138" s="315">
        <v>369418</v>
      </c>
      <c r="C138" s="282">
        <v>510970</v>
      </c>
      <c r="D138" s="282" t="str">
        <v>WORLDVIEW LEGION-2</v>
      </c>
      <c r="E138" s="282" t="str">
        <v>FUL</v>
      </c>
      <c r="F138" s="282" t="str">
        <v>LEO</v>
      </c>
      <c r="G138" s="283" cm="1">
        <f t="array" ref="G138">_xlfn.IFNA(INDEX('Input Data'!$M$20:$M$963,MATCH(Changes!B138&amp;"_"&amp;Changes!C138,'Input Data'!$B$20:$B$963&amp;"_"&amp;'Input Data'!$C$20:$C$963,0)),INDEX('[2]Input Data'!$L$20:$L$158,MATCH(B138&amp;"_"&amp;C138,'[2]Input Data'!$B$20:$B$158&amp;"_"&amp;'[2]Input Data'!$C$20:$C$158,0)))</f>
        <v>46422</v>
      </c>
      <c r="H138" s="313" cm="1">
        <f t="array" ref="H138">_xlfn._xlws.FILTER('Input Data'!$AA$20:$AA$963,('Input Data'!$B$20:$B$963=Changes!B138)*('Input Data'!$C$20:$C$963=Changes!C138),0)</f>
        <v>4411800</v>
      </c>
      <c r="I138" s="313" cm="1">
        <f t="array" ref="I138">_xlfn._xlws.FILTER('[2]Input Data'!$AA$20:$AA$173,('[2]Input Data'!$B$20:$B$173=Changes!B138)*('[2]Input Data'!$C$20:$C$173=Changes!C138),0)</f>
        <v>0</v>
      </c>
      <c r="J138" s="346" t="str" cm="1">
        <f t="array" ref="J138">_xlfn._xlws.FILTER('Input Data'!$E$20:$E$963,('Input Data'!$B$20:$B$963=Changes!B138)*('Input Data'!$C$20:$C$963=Changes!C138),0)</f>
        <v>In-Orbit</v>
      </c>
      <c r="K138" s="347" cm="1">
        <f t="array" ref="K138">_xlfn._xlws.FILTER('Input Data'!$L$20:$L$963,('Input Data'!$B$20:$B$963=Changes!B138)*('Input Data'!$C$20:$C$963=Changes!C138),0)</f>
        <v>46058</v>
      </c>
      <c r="L138" s="356" cm="1">
        <f t="array" ref="L138">_xlfn._xlws.FILTER('[2]Input Data'!$D$20:$D$173,('[2]Input Data'!$B$20:$B$173=Changes!B138)*('[2]Input Data'!$C$20:$C$173=Changes!C138),0)</f>
        <v>0</v>
      </c>
      <c r="M138" s="314">
        <f>IFERROR(INDEX('Input Data'!$P$10:$P$14,MATCH(DATEDIF($M$4,G138,"M"),'Input Data'!$O$10:$O$14,1)),0)</f>
        <v>0.4</v>
      </c>
      <c r="N138" s="227"/>
      <c r="O138" s="227">
        <f>INDEX('Input Data'!$P$10:$P$14,MATCH(DATEDIF($O$4,G138,"M"),'Input Data'!$O$10:$O$14,1))</f>
        <v>0.6</v>
      </c>
      <c r="P138" s="204">
        <f t="shared" si="16"/>
        <v>4411800</v>
      </c>
      <c r="Q138" s="339" t="s">
        <v>358</v>
      </c>
      <c r="R138" cm="1">
        <f t="array" ref="R138">_xlfn.LET(_xlpm.current,INDEX('Input Data'!$M$20:$M$963,MATCH(Changes!B138&amp;"_"&amp;Changes!C138,'Input Data'!$B$20:$B$963&amp;"_"&amp;'Input Data'!$C$20:$C$963,0)),_xlpm.prev,INDEX('[2]Input Data'!$L$20:$L$173,MATCH(B138&amp;"_"&amp;C138,'[2]Input Data'!$B$20:$B$173&amp;"_"&amp;'[2]Input Data'!$C$20:$C$173,0)),
IF(OR(ISNA(_xlpm.current),ISNA(_xlpm.prev)),0,_xlpm.current-_xlpm.prev))</f>
        <v>0</v>
      </c>
      <c r="S138" s="186" t="b">
        <f t="shared" si="18"/>
        <v>1</v>
      </c>
      <c r="T138" t="str" cm="1">
        <f t="array" ref="T138">IFERROR(_xlfn._xlws.FILTER('Input Data'!$N$20:$N$963,('Input Data'!$B$20:$B$963=Changes!B138)*('Input Data'!$C$20:$C$963=Changes!C138)),_xlfn._xlws.FILTER('[2]Input Data'!$M$20:$M$173,('[2]Input Data'!$B$20:$B$173=Changes!B138)*('[2]Input Data'!$C$20:$C$173=Changes!C138)))</f>
        <v>Maxar Space Systems</v>
      </c>
      <c r="V138" s="348" t="s">
        <v>590</v>
      </c>
      <c r="W138" s="227"/>
      <c r="X138" s="265" t="str">
        <v>WORLDVIEW LEGION-2</v>
      </c>
      <c r="Y138" s="266">
        <v>16864839.574226782</v>
      </c>
      <c r="AB138" s="33"/>
      <c r="AC138" s="33"/>
    </row>
    <row r="139" spans="1:29" x14ac:dyDescent="0.35">
      <c r="A139">
        <f t="shared" si="17"/>
        <v>1</v>
      </c>
      <c r="B139" s="315">
        <v>360737</v>
      </c>
      <c r="C139" s="282">
        <v>516619</v>
      </c>
      <c r="D139" s="282" t="str">
        <v>MEASAT 3A (1R)</v>
      </c>
      <c r="E139" s="282" t="str">
        <v>FUL</v>
      </c>
      <c r="F139" s="282" t="str">
        <v>GEO-GSO</v>
      </c>
      <c r="G139" s="283" cm="1">
        <f t="array" ref="G139">_xlfn.IFNA(INDEX('Input Data'!$M$20:$M$963,MATCH(Changes!B139&amp;"_"&amp;Changes!C139,'Input Data'!$B$20:$B$963&amp;"_"&amp;'Input Data'!$C$20:$C$963,0)),INDEX('[2]Input Data'!$L$20:$L$158,MATCH(B139&amp;"_"&amp;C139,'[2]Input Data'!$B$20:$B$158&amp;"_"&amp;'[2]Input Data'!$C$20:$C$158,0)))</f>
        <v>46386</v>
      </c>
      <c r="H139" s="313" cm="1">
        <f t="array" ref="H139">_xlfn._xlws.FILTER('Input Data'!$AA$20:$AA$963,('Input Data'!$B$20:$B$963=Changes!B139)*('Input Data'!$C$20:$C$963=Changes!C139),0)</f>
        <v>494845.36</v>
      </c>
      <c r="I139" s="313" cm="1">
        <f t="array" ref="I139">_xlfn._xlws.FILTER('[2]Input Data'!$AA$20:$AA$173,('[2]Input Data'!$B$20:$B$173=Changes!B139)*('[2]Input Data'!$C$20:$C$173=Changes!C139),0)</f>
        <v>494845.36</v>
      </c>
      <c r="J139" s="346" t="str" cm="1">
        <f t="array" ref="J139">_xlfn._xlws.FILTER('Input Data'!$E$20:$E$963,('Input Data'!$B$20:$B$963=Changes!B139)*('Input Data'!$C$20:$C$963=Changes!C139),0)</f>
        <v>In-Orbit</v>
      </c>
      <c r="K139" s="347" cm="1">
        <f t="array" ref="K139">_xlfn._xlws.FILTER('Input Data'!$L$20:$L$963,('Input Data'!$B$20:$B$963=Changes!B139)*('Input Data'!$C$20:$C$963=Changes!C139),0)</f>
        <v>46022</v>
      </c>
      <c r="L139" s="356" t="str" cm="1">
        <f t="array" ref="L139">_xlfn._xlws.FILTER('[2]Input Data'!$D$20:$D$173,('[2]Input Data'!$B$20:$B$173=Changes!B139)*('[2]Input Data'!$C$20:$C$173=Changes!C139),0)</f>
        <v>In-Orbit</v>
      </c>
      <c r="M139" s="314">
        <f>IFERROR(INDEX('Input Data'!$P$10:$P$14,MATCH(DATEDIF($M$4,G139,"M"),'Input Data'!$O$10:$O$14,1)),0)</f>
        <v>0.4</v>
      </c>
      <c r="N139" s="227"/>
      <c r="O139" s="227">
        <f>INDEX('Input Data'!$P$10:$P$14,MATCH(DATEDIF($O$4,G139,"M"),'Input Data'!$O$10:$O$14,1))</f>
        <v>0.4</v>
      </c>
      <c r="P139" s="204">
        <f t="shared" si="16"/>
        <v>0</v>
      </c>
      <c r="R139" cm="1">
        <f t="array" ref="R139">_xlfn.LET(_xlpm.current,INDEX('Input Data'!$M$20:$M$963,MATCH(Changes!B139&amp;"_"&amp;Changes!C139,'Input Data'!$B$20:$B$963&amp;"_"&amp;'Input Data'!$C$20:$C$963,0)),_xlpm.prev,INDEX('[2]Input Data'!$L$20:$L$173,MATCH(B139&amp;"_"&amp;C139,'[2]Input Data'!$B$20:$B$173&amp;"_"&amp;'[2]Input Data'!$C$20:$C$173,0)),
IF(OR(ISNA(_xlpm.current),ISNA(_xlpm.prev)),0,_xlpm.current-_xlpm.prev))</f>
        <v>0</v>
      </c>
      <c r="S139" s="186" t="b">
        <f t="shared" si="18"/>
        <v>0</v>
      </c>
      <c r="T139" t="str" cm="1">
        <f t="array" ref="T139">IFERROR(_xlfn._xlws.FILTER('Input Data'!$N$20:$N$963,('Input Data'!$B$20:$B$963=Changes!B139)*('Input Data'!$C$20:$C$963=Changes!C139)),_xlfn._xlws.FILTER('[2]Input Data'!$M$20:$M$173,('[2]Input Data'!$B$20:$B$173=Changes!B139)*('[2]Input Data'!$C$20:$C$173=Changes!C139)))</f>
        <v>Orbital Sciences Corporation</v>
      </c>
      <c r="V139" s="348"/>
      <c r="W139" s="227"/>
      <c r="X139" s="265" t="str">
        <v>WORLDVIEW LEGION-3</v>
      </c>
      <c r="Y139" s="266">
        <v>16864839.574226782</v>
      </c>
      <c r="AB139" s="33"/>
      <c r="AC139" s="33"/>
    </row>
    <row r="140" spans="1:29" x14ac:dyDescent="0.35">
      <c r="A140">
        <f t="shared" si="17"/>
        <v>1</v>
      </c>
      <c r="B140" s="315">
        <v>360737</v>
      </c>
      <c r="C140" s="282">
        <v>516620</v>
      </c>
      <c r="D140" s="282" t="str">
        <v>MEASAT 3B</v>
      </c>
      <c r="E140" s="282" t="str">
        <v>FUL</v>
      </c>
      <c r="F140" s="282" t="str">
        <v>GEO-GSO</v>
      </c>
      <c r="G140" s="283" cm="1">
        <f t="array" ref="G140">_xlfn.IFNA(INDEX('Input Data'!$M$20:$M$963,MATCH(Changes!B140&amp;"_"&amp;Changes!C140,'Input Data'!$B$20:$B$963&amp;"_"&amp;'Input Data'!$C$20:$C$963,0)),INDEX('[2]Input Data'!$L$20:$L$158,MATCH(B140&amp;"_"&amp;C140,'[2]Input Data'!$B$20:$B$158&amp;"_"&amp;'[2]Input Data'!$C$20:$C$158,0)))</f>
        <v>46386</v>
      </c>
      <c r="H140" s="313" cm="1">
        <f t="array" ref="H140">_xlfn._xlws.FILTER('Input Data'!$AA$20:$AA$963,('Input Data'!$B$20:$B$963=Changes!B140)*('Input Data'!$C$20:$C$963=Changes!C140),0)</f>
        <v>2628865.9749999898</v>
      </c>
      <c r="I140" s="313" cm="1">
        <f t="array" ref="I140">_xlfn._xlws.FILTER('[2]Input Data'!$AA$20:$AA$173,('[2]Input Data'!$B$20:$B$173=Changes!B140)*('[2]Input Data'!$C$20:$C$173=Changes!C140),0)</f>
        <v>2628865.9749999898</v>
      </c>
      <c r="J140" s="346" t="str" cm="1">
        <f t="array" ref="J140">_xlfn._xlws.FILTER('Input Data'!$E$20:$E$963,('Input Data'!$B$20:$B$963=Changes!B140)*('Input Data'!$C$20:$C$963=Changes!C140),0)</f>
        <v>In-Orbit</v>
      </c>
      <c r="K140" s="347" cm="1">
        <f t="array" ref="K140">_xlfn._xlws.FILTER('Input Data'!$L$20:$L$963,('Input Data'!$B$20:$B$963=Changes!B140)*('Input Data'!$C$20:$C$963=Changes!C140),0)</f>
        <v>46022</v>
      </c>
      <c r="L140" s="356" t="str" cm="1">
        <f t="array" ref="L140">_xlfn._xlws.FILTER('[2]Input Data'!$D$20:$D$173,('[2]Input Data'!$B$20:$B$173=Changes!B140)*('[2]Input Data'!$C$20:$C$173=Changes!C140),0)</f>
        <v>In-Orbit</v>
      </c>
      <c r="M140" s="314">
        <f>IFERROR(INDEX('Input Data'!$P$10:$P$14,MATCH(DATEDIF($M$4,G140,"M"),'Input Data'!$O$10:$O$14,1)),0)</f>
        <v>0.4</v>
      </c>
      <c r="N140" s="227"/>
      <c r="O140" s="227">
        <f>INDEX('Input Data'!$P$10:$P$14,MATCH(DATEDIF($O$4,G140,"M"),'Input Data'!$O$10:$O$14,1))</f>
        <v>0.4</v>
      </c>
      <c r="P140" s="204">
        <f t="shared" si="16"/>
        <v>0</v>
      </c>
      <c r="R140" cm="1">
        <f t="array" ref="R140">_xlfn.LET(_xlpm.current,INDEX('Input Data'!$M$20:$M$963,MATCH(Changes!B140&amp;"_"&amp;Changes!C140,'Input Data'!$B$20:$B$963&amp;"_"&amp;'Input Data'!$C$20:$C$963,0)),_xlpm.prev,INDEX('[2]Input Data'!$L$20:$L$173,MATCH(B140&amp;"_"&amp;C140,'[2]Input Data'!$B$20:$B$173&amp;"_"&amp;'[2]Input Data'!$C$20:$C$173,0)),
IF(OR(ISNA(_xlpm.current),ISNA(_xlpm.prev)),0,_xlpm.current-_xlpm.prev))</f>
        <v>0</v>
      </c>
      <c r="S140" s="186" t="b">
        <f t="shared" si="18"/>
        <v>0</v>
      </c>
      <c r="T140" t="str" cm="1">
        <f t="array" ref="T140">IFERROR(_xlfn._xlws.FILTER('Input Data'!$N$20:$N$963,('Input Data'!$B$20:$B$963=Changes!B140)*('Input Data'!$C$20:$C$963=Changes!C140)),_xlfn._xlws.FILTER('[2]Input Data'!$M$20:$M$173,('[2]Input Data'!$B$20:$B$173=Changes!B140)*('[2]Input Data'!$C$20:$C$173=Changes!C140)))</f>
        <v>Airbus Defence and Space (Toulouse)</v>
      </c>
      <c r="V140" s="348"/>
      <c r="W140" s="227"/>
      <c r="X140" s="265" t="str">
        <v>WORLDVIEW LEGION-4</v>
      </c>
      <c r="Y140" s="266">
        <v>16864839.574226782</v>
      </c>
      <c r="AB140" s="33"/>
      <c r="AC140" s="33"/>
    </row>
    <row r="141" spans="1:29" x14ac:dyDescent="0.35">
      <c r="A141">
        <f t="shared" si="17"/>
        <v>1</v>
      </c>
      <c r="B141" s="315">
        <v>373994</v>
      </c>
      <c r="C141" s="360">
        <v>519791</v>
      </c>
      <c r="D141" s="282" t="str">
        <v>JCSAT-17</v>
      </c>
      <c r="E141" s="282" t="str">
        <v>FUL</v>
      </c>
      <c r="F141" s="282" t="str">
        <v>GEO-GSO</v>
      </c>
      <c r="G141" s="283" cm="1">
        <f t="array" ref="G141">_xlfn.IFNA(INDEX('Input Data'!$M$20:$M$963,MATCH(Changes!B141&amp;"_"&amp;Changes!C141,'Input Data'!$B$20:$B$963&amp;"_"&amp;'Input Data'!$C$20:$C$963,0)),INDEX('[2]Input Data'!$L$20:$L$158,MATCH(B141&amp;"_"&amp;C141,'[2]Input Data'!$B$20:$B$158&amp;"_"&amp;'[2]Input Data'!$C$20:$C$158,0)))</f>
        <v>46437</v>
      </c>
      <c r="H141" s="313" cm="1">
        <f t="array" ref="H141">_xlfn._xlws.FILTER('Input Data'!$AA$20:$AA$963,('Input Data'!$B$20:$B$963=Changes!B141)*('Input Data'!$C$20:$C$963=Changes!C141),0)</f>
        <v>7234907.1660548197</v>
      </c>
      <c r="I141" s="313" cm="1">
        <f t="array" ref="I141">_xlfn._xlws.FILTER('[2]Input Data'!$AA$20:$AA$173,('[2]Input Data'!$B$20:$B$173=Changes!B141)*('[2]Input Data'!$C$20:$C$173=Changes!C141),0)</f>
        <v>0</v>
      </c>
      <c r="J141" s="346" t="str" cm="1">
        <f t="array" ref="J141">_xlfn._xlws.FILTER('Input Data'!$E$20:$E$963,('Input Data'!$B$20:$B$963=Changes!B141)*('Input Data'!$C$20:$C$963=Changes!C141),0)</f>
        <v>In-Orbit</v>
      </c>
      <c r="K141" s="347" cm="1">
        <f t="array" ref="K141">_xlfn._xlws.FILTER('Input Data'!$L$20:$L$963,('Input Data'!$B$20:$B$963=Changes!B141)*('Input Data'!$C$20:$C$963=Changes!C141),0)</f>
        <v>46073</v>
      </c>
      <c r="L141" s="356" cm="1">
        <f t="array" ref="L141">_xlfn._xlws.FILTER('[2]Input Data'!$D$20:$D$173,('[2]Input Data'!$B$20:$B$173=Changes!B141)*('[2]Input Data'!$C$20:$C$173=Changes!C141),0)</f>
        <v>0</v>
      </c>
      <c r="M141" s="314">
        <f>IFERROR(INDEX('Input Data'!$P$10:$P$14,MATCH(DATEDIF($M$4,G141,"M"),'Input Data'!$O$10:$O$14,1)),0)</f>
        <v>0.4</v>
      </c>
      <c r="N141" s="227"/>
      <c r="O141" s="227">
        <f>INDEX('Input Data'!$P$10:$P$14,MATCH(DATEDIF($O$4,G141,"M"),'Input Data'!$O$10:$O$14,1))</f>
        <v>0.6</v>
      </c>
      <c r="P141" s="204">
        <f t="shared" si="16"/>
        <v>7234907.1660548197</v>
      </c>
      <c r="Q141" s="339" t="s">
        <v>359</v>
      </c>
      <c r="R141" cm="1">
        <f t="array" ref="R141">_xlfn.LET(_xlpm.current,INDEX('Input Data'!$M$20:$M$963,MATCH(Changes!B141&amp;"_"&amp;Changes!C141,'Input Data'!$B$20:$B$963&amp;"_"&amp;'Input Data'!$C$20:$C$963,0)),_xlpm.prev,INDEX('[2]Input Data'!$L$20:$L$173,MATCH(B141&amp;"_"&amp;C141,'[2]Input Data'!$B$20:$B$173&amp;"_"&amp;'[2]Input Data'!$C$20:$C$173,0)),
IF(OR(ISNA(_xlpm.current),ISNA(_xlpm.prev)),0,_xlpm.current-_xlpm.prev))</f>
        <v>0</v>
      </c>
      <c r="S141" s="186" t="b">
        <f t="shared" si="18"/>
        <v>1</v>
      </c>
      <c r="T141" t="str" cm="1">
        <f t="array" ref="T141">IFERROR(_xlfn._xlws.FILTER('Input Data'!$N$20:$N$963,('Input Data'!$B$20:$B$963=Changes!B141)*('Input Data'!$C$20:$C$963=Changes!C141)),_xlfn._xlws.FILTER('[2]Input Data'!$M$20:$M$173,('[2]Input Data'!$B$20:$B$173=Changes!B141)*('[2]Input Data'!$C$20:$C$173=Changes!C141)))</f>
        <v>Lockheed Martin Commercial Space Systems</v>
      </c>
      <c r="V141" s="348" t="s">
        <v>589</v>
      </c>
      <c r="W141" s="227"/>
      <c r="X141" s="265" t="str">
        <v>PLEIADES NEO 3</v>
      </c>
      <c r="Y141" s="266">
        <v>10003270.3710598</v>
      </c>
      <c r="AB141" s="33"/>
      <c r="AC141" s="33"/>
    </row>
    <row r="142" spans="1:29" x14ac:dyDescent="0.35">
      <c r="A142">
        <f t="shared" si="17"/>
        <v>1</v>
      </c>
      <c r="B142" s="315">
        <v>374038</v>
      </c>
      <c r="C142" s="340">
        <v>519865</v>
      </c>
      <c r="D142" s="282" t="str">
        <v>JCSAT-17</v>
      </c>
      <c r="E142" s="282" t="str">
        <v>FUL</v>
      </c>
      <c r="F142" s="282" t="str">
        <v>GEO-GSO</v>
      </c>
      <c r="G142" s="283" cm="1">
        <f t="array" ref="G142">_xlfn.IFNA(INDEX('Input Data'!$M$20:$M$963,MATCH(Changes!B142&amp;"_"&amp;Changes!C142,'Input Data'!$B$20:$B$963&amp;"_"&amp;'Input Data'!$C$20:$C$963,0)),INDEX('[2]Input Data'!$L$20:$L$158,MATCH(B142&amp;"_"&amp;C142,'[2]Input Data'!$B$20:$B$158&amp;"_"&amp;'[2]Input Data'!$C$20:$C$158,0)))</f>
        <v>46437</v>
      </c>
      <c r="H142" s="313" cm="1">
        <f t="array" ref="H142">_xlfn._xlws.FILTER('Input Data'!$AA$20:$AA$963,('Input Data'!$B$20:$B$963=Changes!B142)*('Input Data'!$C$20:$C$963=Changes!C142),0)</f>
        <v>15023710.145138299</v>
      </c>
      <c r="I142" s="313" cm="1">
        <f t="array" ref="I142">_xlfn._xlws.FILTER('[2]Input Data'!$AA$20:$AA$173,('[2]Input Data'!$B$20:$B$173=Changes!B142)*('[2]Input Data'!$C$20:$C$173=Changes!C142),0)</f>
        <v>0</v>
      </c>
      <c r="J142" s="346" t="str" cm="1">
        <f t="array" ref="J142">_xlfn._xlws.FILTER('Input Data'!$E$20:$E$963,('Input Data'!$B$20:$B$963=Changes!B142)*('Input Data'!$C$20:$C$963=Changes!C142),0)</f>
        <v>In-Orbit</v>
      </c>
      <c r="K142" s="347" cm="1">
        <f t="array" ref="K142">_xlfn._xlws.FILTER('Input Data'!$L$20:$L$963,('Input Data'!$B$20:$B$963=Changes!B142)*('Input Data'!$C$20:$C$963=Changes!C142),0)</f>
        <v>46073</v>
      </c>
      <c r="L142" s="356" cm="1">
        <f t="array" ref="L142">_xlfn._xlws.FILTER('[2]Input Data'!$D$20:$D$173,('[2]Input Data'!$B$20:$B$173=Changes!B142)*('[2]Input Data'!$C$20:$C$173=Changes!C142),0)</f>
        <v>0</v>
      </c>
      <c r="M142" s="314">
        <f>IFERROR(INDEX('Input Data'!$P$10:$P$14,MATCH(DATEDIF($M$4,G142,"M"),'Input Data'!$O$10:$O$14,1)),0)</f>
        <v>0.4</v>
      </c>
      <c r="N142" s="227"/>
      <c r="O142" s="227">
        <f>INDEX('Input Data'!$P$10:$P$14,MATCH(DATEDIF($O$4,G142,"M"),'Input Data'!$O$10:$O$14,1))</f>
        <v>0.6</v>
      </c>
      <c r="P142" s="204">
        <f t="shared" si="16"/>
        <v>15023710.145138299</v>
      </c>
      <c r="Q142" s="339" t="s">
        <v>359</v>
      </c>
      <c r="R142" cm="1">
        <f t="array" ref="R142">_xlfn.LET(_xlpm.current,INDEX('Input Data'!$M$20:$M$963,MATCH(Changes!B142&amp;"_"&amp;Changes!C142,'Input Data'!$B$20:$B$963&amp;"_"&amp;'Input Data'!$C$20:$C$963,0)),_xlpm.prev,INDEX('[2]Input Data'!$L$20:$L$173,MATCH(B142&amp;"_"&amp;C142,'[2]Input Data'!$B$20:$B$173&amp;"_"&amp;'[2]Input Data'!$C$20:$C$173,0)),
IF(OR(ISNA(_xlpm.current),ISNA(_xlpm.prev)),0,_xlpm.current-_xlpm.prev))</f>
        <v>0</v>
      </c>
      <c r="S142" s="186" t="b">
        <f t="shared" si="18"/>
        <v>1</v>
      </c>
      <c r="T142" t="str" cm="1">
        <f t="array" ref="T142">IFERROR(_xlfn._xlws.FILTER('Input Data'!$N$20:$N$963,('Input Data'!$B$20:$B$963=Changes!B142)*('Input Data'!$C$20:$C$963=Changes!C142)),_xlfn._xlws.FILTER('[2]Input Data'!$M$20:$M$173,('[2]Input Data'!$B$20:$B$173=Changes!B142)*('[2]Input Data'!$C$20:$C$173=Changes!C142)))</f>
        <v>Lockheed Martin Commercial Space Systems</v>
      </c>
      <c r="V142" s="348" t="s">
        <v>589</v>
      </c>
      <c r="W142" s="227"/>
      <c r="X142" s="265" t="str">
        <v>PLEIADES NEO 4</v>
      </c>
      <c r="Y142" s="266">
        <v>10003270.3710598</v>
      </c>
      <c r="AB142" s="33"/>
      <c r="AC142" s="33"/>
    </row>
    <row r="143" spans="1:29" x14ac:dyDescent="0.35">
      <c r="A143">
        <f t="shared" si="17"/>
        <v>1</v>
      </c>
      <c r="B143" s="315">
        <v>333725</v>
      </c>
      <c r="C143" s="282">
        <v>521619</v>
      </c>
      <c r="D143" s="282" t="str">
        <v>NULL</v>
      </c>
      <c r="E143" s="282" t="str">
        <v>FUL</v>
      </c>
      <c r="F143" s="282" t="str">
        <v>NULL</v>
      </c>
      <c r="G143" s="283" cm="1">
        <f t="array" ref="G143">_xlfn.IFNA(INDEX('Input Data'!$M$20:$M$963,MATCH(Changes!B143&amp;"_"&amp;Changes!C143,'Input Data'!$B$20:$B$963&amp;"_"&amp;'Input Data'!$C$20:$C$963,0)),INDEX('[2]Input Data'!$L$20:$L$158,MATCH(B143&amp;"_"&amp;C143,'[2]Input Data'!$B$20:$B$158&amp;"_"&amp;'[2]Input Data'!$C$20:$C$158,0)))</f>
        <v>46387</v>
      </c>
      <c r="H143" s="313" cm="1">
        <f t="array" ref="H143">_xlfn._xlws.FILTER('Input Data'!$AA$20:$AA$963,('Input Data'!$B$20:$B$963=Changes!B143)*('Input Data'!$C$20:$C$963=Changes!C143),0)</f>
        <v>0</v>
      </c>
      <c r="I143" s="313" cm="1">
        <f t="array" ref="I143">_xlfn._xlws.FILTER('[2]Input Data'!$AA$20:$AA$173,('[2]Input Data'!$B$20:$B$173=Changes!B143)*('[2]Input Data'!$C$20:$C$173=Changes!C143),0)</f>
        <v>0</v>
      </c>
      <c r="J143" s="346" t="str" cm="1">
        <f t="array" ref="J143">_xlfn._xlws.FILTER('Input Data'!$E$20:$E$963,('Input Data'!$B$20:$B$963=Changes!B143)*('Input Data'!$C$20:$C$963=Changes!C143),0)</f>
        <v>NULL</v>
      </c>
      <c r="K143" s="347" cm="1">
        <f t="array" ref="K143">_xlfn._xlws.FILTER('Input Data'!$L$20:$L$963,('Input Data'!$B$20:$B$963=Changes!B143)*('Input Data'!$C$20:$C$963=Changes!C143),0)</f>
        <v>46023</v>
      </c>
      <c r="L143" s="356" cm="1">
        <f t="array" ref="L143">_xlfn._xlws.FILTER('[2]Input Data'!$D$20:$D$173,('[2]Input Data'!$B$20:$B$173=Changes!B143)*('[2]Input Data'!$C$20:$C$173=Changes!C143),0)</f>
        <v>0</v>
      </c>
      <c r="M143" s="314">
        <f>IFERROR(INDEX('Input Data'!$P$10:$P$14,MATCH(DATEDIF($M$4,G143,"M"),'Input Data'!$O$10:$O$14,1)),0)</f>
        <v>0.4</v>
      </c>
      <c r="N143" s="227"/>
      <c r="O143" s="227">
        <f>INDEX('Input Data'!$P$10:$P$14,MATCH(DATEDIF($O$4,G143,"M"),'Input Data'!$O$10:$O$14,1))</f>
        <v>0.4</v>
      </c>
      <c r="P143" s="204">
        <f t="shared" si="16"/>
        <v>0</v>
      </c>
      <c r="R143" cm="1">
        <f t="array" ref="R143">_xlfn.LET(_xlpm.current,INDEX('Input Data'!$M$20:$M$963,MATCH(Changes!B143&amp;"_"&amp;Changes!C143,'Input Data'!$B$20:$B$963&amp;"_"&amp;'Input Data'!$C$20:$C$963,0)),_xlpm.prev,INDEX('[2]Input Data'!$L$20:$L$173,MATCH(B143&amp;"_"&amp;C143,'[2]Input Data'!$B$20:$B$173&amp;"_"&amp;'[2]Input Data'!$C$20:$C$173,0)),
IF(OR(ISNA(_xlpm.current),ISNA(_xlpm.prev)),0,_xlpm.current-_xlpm.prev))</f>
        <v>0</v>
      </c>
      <c r="S143" s="186" t="b">
        <f t="shared" si="18"/>
        <v>0</v>
      </c>
      <c r="T143" t="str" cm="1">
        <f t="array" ref="T143">IFERROR(_xlfn._xlws.FILTER('Input Data'!$N$20:$N$963,('Input Data'!$B$20:$B$963=Changes!B143)*('Input Data'!$C$20:$C$963=Changes!C143)),_xlfn._xlws.FILTER('[2]Input Data'!$M$20:$M$173,('[2]Input Data'!$B$20:$B$173=Changes!B143)*('[2]Input Data'!$C$20:$C$173=Changes!C143)))</f>
        <v>NULL</v>
      </c>
      <c r="V143" s="348"/>
      <c r="W143" s="227"/>
      <c r="X143" s="265" t="str">
        <v>AMAZONAS NEXUS</v>
      </c>
      <c r="Y143" s="266">
        <v>28126299.2221421</v>
      </c>
      <c r="AB143" s="33"/>
      <c r="AC143" s="33"/>
    </row>
    <row r="144" spans="1:29" x14ac:dyDescent="0.35">
      <c r="A144">
        <f t="shared" si="17"/>
        <v>1</v>
      </c>
      <c r="B144" s="315">
        <v>351333</v>
      </c>
      <c r="C144" s="282">
        <v>526693</v>
      </c>
      <c r="D144" s="282" t="str">
        <v>NULL</v>
      </c>
      <c r="E144" s="282" t="str">
        <v>FUL</v>
      </c>
      <c r="F144" s="282" t="str">
        <v>NULL</v>
      </c>
      <c r="G144" s="283" cm="1">
        <f t="array" ref="G144">_xlfn.IFNA(INDEX('Input Data'!$M$20:$M$963,MATCH(Changes!B144&amp;"_"&amp;Changes!C144,'Input Data'!$B$20:$B$963&amp;"_"&amp;'Input Data'!$C$20:$C$963,0)),INDEX('[2]Input Data'!$L$20:$L$158,MATCH(B144&amp;"_"&amp;C144,'[2]Input Data'!$B$20:$B$158&amp;"_"&amp;'[2]Input Data'!$C$20:$C$158,0)))</f>
        <v>47118</v>
      </c>
      <c r="H144" s="313" cm="1">
        <f t="array" ref="H144">_xlfn._xlws.FILTER('Input Data'!$AA$20:$AA$963,('Input Data'!$B$20:$B$963=Changes!B144)*('Input Data'!$C$20:$C$963=Changes!C144),0)</f>
        <v>0</v>
      </c>
      <c r="I144" s="313" cm="1">
        <f t="array" ref="I144">_xlfn._xlws.FILTER('[2]Input Data'!$AA$20:$AA$173,('[2]Input Data'!$B$20:$B$173=Changes!B144)*('[2]Input Data'!$C$20:$C$173=Changes!C144),0)</f>
        <v>0</v>
      </c>
      <c r="J144" s="346" t="str" cm="1">
        <f t="array" ref="J144">_xlfn._xlws.FILTER('Input Data'!$E$20:$E$963,('Input Data'!$B$20:$B$963=Changes!B144)*('Input Data'!$C$20:$C$963=Changes!C144),0)</f>
        <v>NULL</v>
      </c>
      <c r="K144" s="347" cm="1">
        <f t="array" ref="K144">_xlfn._xlws.FILTER('Input Data'!$L$20:$L$963,('Input Data'!$B$20:$B$963=Changes!B144)*('Input Data'!$C$20:$C$963=Changes!C144),0)</f>
        <v>46023</v>
      </c>
      <c r="L144" s="356" cm="1">
        <f t="array" ref="L144">_xlfn._xlws.FILTER('[2]Input Data'!$D$20:$D$173,('[2]Input Data'!$B$20:$B$173=Changes!B144)*('[2]Input Data'!$C$20:$C$173=Changes!C144),0)</f>
        <v>0</v>
      </c>
      <c r="M144" s="314">
        <f>IFERROR(INDEX('Input Data'!$P$10:$P$14,MATCH(DATEDIF($M$4,G144,"M"),'Input Data'!$O$10:$O$14,1)),0)</f>
        <v>0.8</v>
      </c>
      <c r="N144" s="227"/>
      <c r="O144" s="227">
        <f>INDEX('Input Data'!$P$10:$P$14,MATCH(DATEDIF($O$4,G144,"M"),'Input Data'!$O$10:$O$14,1))</f>
        <v>0.8</v>
      </c>
      <c r="P144" s="204">
        <f t="shared" si="16"/>
        <v>0</v>
      </c>
      <c r="R144" cm="1">
        <f t="array" ref="R144">_xlfn.LET(_xlpm.current,INDEX('Input Data'!$M$20:$M$963,MATCH(Changes!B144&amp;"_"&amp;Changes!C144,'Input Data'!$B$20:$B$963&amp;"_"&amp;'Input Data'!$C$20:$C$963,0)),_xlpm.prev,INDEX('[2]Input Data'!$L$20:$L$173,MATCH(B144&amp;"_"&amp;C144,'[2]Input Data'!$B$20:$B$173&amp;"_"&amp;'[2]Input Data'!$C$20:$C$173,0)),
IF(OR(ISNA(_xlpm.current),ISNA(_xlpm.prev)),0,_xlpm.current-_xlpm.prev))</f>
        <v>0</v>
      </c>
      <c r="S144" s="186" t="b">
        <f t="shared" si="18"/>
        <v>0</v>
      </c>
      <c r="T144" t="str" cm="1">
        <f t="array" ref="T144">IFERROR(_xlfn._xlws.FILTER('Input Data'!$N$20:$N$963,('Input Data'!$B$20:$B$963=Changes!B144)*('Input Data'!$C$20:$C$963=Changes!C144)),_xlfn._xlws.FILTER('[2]Input Data'!$M$20:$M$173,('[2]Input Data'!$B$20:$B$173=Changes!B144)*('[2]Input Data'!$C$20:$C$173=Changes!C144)))</f>
        <v>NULL</v>
      </c>
      <c r="V144" s="348"/>
      <c r="W144" s="227"/>
      <c r="X144" s="265" t="str">
        <v>INMARSAT 5-F5 (INMARSAT GX-5)</v>
      </c>
      <c r="Y144" s="266">
        <v>10816672.5592917</v>
      </c>
      <c r="AB144" s="33"/>
      <c r="AC144" s="33"/>
    </row>
    <row r="145" spans="1:29" x14ac:dyDescent="0.35">
      <c r="A145">
        <f t="shared" si="17"/>
        <v>1</v>
      </c>
      <c r="B145" s="315">
        <v>369418</v>
      </c>
      <c r="C145" s="282">
        <v>527399</v>
      </c>
      <c r="D145" s="282" t="str">
        <v>WORLDVIEW LEGION-6</v>
      </c>
      <c r="E145" s="282" t="str">
        <v>FUL</v>
      </c>
      <c r="F145" s="282" t="str">
        <v>LEO</v>
      </c>
      <c r="G145" s="283" cm="1">
        <f t="array" ref="G145">_xlfn.IFNA(INDEX('Input Data'!$M$20:$M$963,MATCH(Changes!B145&amp;"_"&amp;Changes!C145,'Input Data'!$B$20:$B$963&amp;"_"&amp;'Input Data'!$C$20:$C$963,0)),INDEX('[2]Input Data'!$L$20:$L$158,MATCH(B145&amp;"_"&amp;C145,'[2]Input Data'!$B$20:$B$158&amp;"_"&amp;'[2]Input Data'!$C$20:$C$158,0)))</f>
        <v>46422</v>
      </c>
      <c r="H145" s="313" cm="1">
        <f t="array" ref="H145">_xlfn._xlws.FILTER('Input Data'!$AA$20:$AA$963,('Input Data'!$B$20:$B$963=Changes!B145)*('Input Data'!$C$20:$C$963=Changes!C145),0)</f>
        <v>4411800</v>
      </c>
      <c r="I145" s="313" cm="1">
        <f t="array" ref="I145">_xlfn._xlws.FILTER('[2]Input Data'!$AA$20:$AA$173,('[2]Input Data'!$B$20:$B$173=Changes!B145)*('[2]Input Data'!$C$20:$C$173=Changes!C145),0)</f>
        <v>0</v>
      </c>
      <c r="J145" s="346" t="str" cm="1">
        <f t="array" ref="J145">_xlfn._xlws.FILTER('Input Data'!$E$20:$E$963,('Input Data'!$B$20:$B$963=Changes!B145)*('Input Data'!$C$20:$C$963=Changes!C145),0)</f>
        <v>In-Orbit</v>
      </c>
      <c r="K145" s="347" cm="1">
        <f t="array" ref="K145">_xlfn._xlws.FILTER('Input Data'!$L$20:$L$963,('Input Data'!$B$20:$B$963=Changes!B145)*('Input Data'!$C$20:$C$963=Changes!C145),0)</f>
        <v>46058</v>
      </c>
      <c r="L145" s="356" cm="1">
        <f t="array" ref="L145">_xlfn._xlws.FILTER('[2]Input Data'!$D$20:$D$173,('[2]Input Data'!$B$20:$B$173=Changes!B145)*('[2]Input Data'!$C$20:$C$173=Changes!C145),0)</f>
        <v>0</v>
      </c>
      <c r="M145" s="314">
        <f>IFERROR(INDEX('Input Data'!$P$10:$P$14,MATCH(DATEDIF($M$4,G145,"M"),'Input Data'!$O$10:$O$14,1)),0)</f>
        <v>0.4</v>
      </c>
      <c r="N145" s="227"/>
      <c r="O145" s="227">
        <f>INDEX('Input Data'!$P$10:$P$14,MATCH(DATEDIF($O$4,G145,"M"),'Input Data'!$O$10:$O$14,1))</f>
        <v>0.6</v>
      </c>
      <c r="P145" s="204">
        <f t="shared" si="16"/>
        <v>4411800</v>
      </c>
      <c r="Q145" s="339" t="s">
        <v>358</v>
      </c>
      <c r="R145" cm="1">
        <f t="array" ref="R145">_xlfn.LET(_xlpm.current,INDEX('Input Data'!$M$20:$M$963,MATCH(Changes!B145&amp;"_"&amp;Changes!C145,'Input Data'!$B$20:$B$963&amp;"_"&amp;'Input Data'!$C$20:$C$963,0)),_xlpm.prev,INDEX('[2]Input Data'!$L$20:$L$173,MATCH(B145&amp;"_"&amp;C145,'[2]Input Data'!$B$20:$B$173&amp;"_"&amp;'[2]Input Data'!$C$20:$C$173,0)),
IF(OR(ISNA(_xlpm.current),ISNA(_xlpm.prev)),0,_xlpm.current-_xlpm.prev))</f>
        <v>0</v>
      </c>
      <c r="S145" s="186" t="b">
        <f t="shared" si="18"/>
        <v>1</v>
      </c>
      <c r="T145" t="str" cm="1">
        <f t="array" ref="T145">IFERROR(_xlfn._xlws.FILTER('Input Data'!$N$20:$N$963,('Input Data'!$B$20:$B$963=Changes!B145)*('Input Data'!$C$20:$C$963=Changes!C145)),_xlfn._xlws.FILTER('[2]Input Data'!$M$20:$M$173,('[2]Input Data'!$B$20:$B$173=Changes!B145)*('[2]Input Data'!$C$20:$C$173=Changes!C145)))</f>
        <v>Maxar Space Systems</v>
      </c>
      <c r="V145" s="348" t="s">
        <v>590</v>
      </c>
      <c r="W145" s="227"/>
      <c r="X145" s="265" t="str">
        <v>HELLAS-SAT 3/INMARSAT-S-EAN</v>
      </c>
      <c r="Y145" s="266">
        <v>7621566.7914210996</v>
      </c>
      <c r="AB145" s="33"/>
      <c r="AC145" s="33"/>
    </row>
    <row r="146" spans="1:29" x14ac:dyDescent="0.35">
      <c r="A146">
        <f t="shared" si="17"/>
        <v>1</v>
      </c>
      <c r="B146" s="315">
        <v>369418</v>
      </c>
      <c r="C146" s="282">
        <v>527400</v>
      </c>
      <c r="D146" s="282" t="str">
        <v>WORLDVIEW LEGION-5</v>
      </c>
      <c r="E146" s="282" t="str">
        <v>FUL</v>
      </c>
      <c r="F146" s="282" t="str">
        <v>LEO</v>
      </c>
      <c r="G146" s="283" cm="1">
        <f t="array" ref="G146">_xlfn.IFNA(INDEX('Input Data'!$M$20:$M$963,MATCH(Changes!B146&amp;"_"&amp;Changes!C146,'Input Data'!$B$20:$B$963&amp;"_"&amp;'Input Data'!$C$20:$C$963,0)),INDEX('[2]Input Data'!$L$20:$L$158,MATCH(B146&amp;"_"&amp;C146,'[2]Input Data'!$B$20:$B$158&amp;"_"&amp;'[2]Input Data'!$C$20:$C$158,0)))</f>
        <v>46422</v>
      </c>
      <c r="H146" s="313" cm="1">
        <f t="array" ref="H146">_xlfn._xlws.FILTER('Input Data'!$AA$20:$AA$963,('Input Data'!$B$20:$B$963=Changes!B146)*('Input Data'!$C$20:$C$963=Changes!C146),0)</f>
        <v>4411800</v>
      </c>
      <c r="I146" s="313" cm="1">
        <f t="array" ref="I146">_xlfn._xlws.FILTER('[2]Input Data'!$AA$20:$AA$173,('[2]Input Data'!$B$20:$B$173=Changes!B146)*('[2]Input Data'!$C$20:$C$173=Changes!C146),0)</f>
        <v>0</v>
      </c>
      <c r="J146" s="346" t="str" cm="1">
        <f t="array" ref="J146">_xlfn._xlws.FILTER('Input Data'!$E$20:$E$963,('Input Data'!$B$20:$B$963=Changes!B146)*('Input Data'!$C$20:$C$963=Changes!C146),0)</f>
        <v>In-Orbit</v>
      </c>
      <c r="K146" s="347" cm="1">
        <f t="array" ref="K146">_xlfn._xlws.FILTER('Input Data'!$L$20:$L$963,('Input Data'!$B$20:$B$963=Changes!B146)*('Input Data'!$C$20:$C$963=Changes!C146),0)</f>
        <v>46058</v>
      </c>
      <c r="L146" s="356" cm="1">
        <f t="array" ref="L146">_xlfn._xlws.FILTER('[2]Input Data'!$D$20:$D$173,('[2]Input Data'!$B$20:$B$173=Changes!B146)*('[2]Input Data'!$C$20:$C$173=Changes!C146),0)</f>
        <v>0</v>
      </c>
      <c r="M146" s="314">
        <f>IFERROR(INDEX('Input Data'!$P$10:$P$14,MATCH(DATEDIF($M$4,G146,"M"),'Input Data'!$O$10:$O$14,1)),0)</f>
        <v>0.4</v>
      </c>
      <c r="N146" s="227"/>
      <c r="O146" s="227">
        <f>INDEX('Input Data'!$P$10:$P$14,MATCH(DATEDIF($O$4,G146,"M"),'Input Data'!$O$10:$O$14,1))</f>
        <v>0.6</v>
      </c>
      <c r="P146" s="204">
        <f t="shared" si="16"/>
        <v>4411800</v>
      </c>
      <c r="Q146" s="339" t="s">
        <v>358</v>
      </c>
      <c r="R146" cm="1">
        <f t="array" ref="R146">_xlfn.LET(_xlpm.current,INDEX('Input Data'!$M$20:$M$963,MATCH(Changes!B146&amp;"_"&amp;Changes!C146,'Input Data'!$B$20:$B$963&amp;"_"&amp;'Input Data'!$C$20:$C$963,0)),_xlpm.prev,INDEX('[2]Input Data'!$L$20:$L$173,MATCH(B146&amp;"_"&amp;C146,'[2]Input Data'!$B$20:$B$173&amp;"_"&amp;'[2]Input Data'!$C$20:$C$173,0)),
IF(OR(ISNA(_xlpm.current),ISNA(_xlpm.prev)),0,_xlpm.current-_xlpm.prev))</f>
        <v>0</v>
      </c>
      <c r="S146" s="186" t="b">
        <f t="shared" si="18"/>
        <v>1</v>
      </c>
      <c r="T146" t="str" cm="1">
        <f t="array" ref="T146">IFERROR(_xlfn._xlws.FILTER('Input Data'!$N$20:$N$963,('Input Data'!$B$20:$B$963=Changes!B146)*('Input Data'!$C$20:$C$963=Changes!C146)),_xlfn._xlws.FILTER('[2]Input Data'!$M$20:$M$173,('[2]Input Data'!$B$20:$B$173=Changes!B146)*('[2]Input Data'!$C$20:$C$173=Changes!C146)))</f>
        <v>Maxar Space Systems</v>
      </c>
      <c r="V146" s="348" t="s">
        <v>590</v>
      </c>
      <c r="W146" s="227"/>
      <c r="X146" s="265" t="str">
        <v>ALPHASAT I-XL</v>
      </c>
      <c r="Y146" s="266">
        <v>6529238.3396333996</v>
      </c>
      <c r="AB146" s="33"/>
      <c r="AC146" s="33"/>
    </row>
    <row r="147" spans="1:29" x14ac:dyDescent="0.35">
      <c r="A147">
        <f t="shared" si="17"/>
        <v>1</v>
      </c>
      <c r="B147" s="315">
        <v>369418</v>
      </c>
      <c r="C147" s="282">
        <v>527401</v>
      </c>
      <c r="D147" s="282" t="str">
        <v>WORLDVIEW LEGION-4</v>
      </c>
      <c r="E147" s="282" t="str">
        <v>FUL</v>
      </c>
      <c r="F147" s="282" t="str">
        <v>LEO</v>
      </c>
      <c r="G147" s="283" cm="1">
        <f t="array" ref="G147">_xlfn.IFNA(INDEX('Input Data'!$M$20:$M$963,MATCH(Changes!B147&amp;"_"&amp;Changes!C147,'Input Data'!$B$20:$B$963&amp;"_"&amp;'Input Data'!$C$20:$C$963,0)),INDEX('[2]Input Data'!$L$20:$L$158,MATCH(B147&amp;"_"&amp;C147,'[2]Input Data'!$B$20:$B$158&amp;"_"&amp;'[2]Input Data'!$C$20:$C$158,0)))</f>
        <v>46422</v>
      </c>
      <c r="H147" s="313" cm="1">
        <f t="array" ref="H147">_xlfn._xlws.FILTER('Input Data'!$AA$20:$AA$963,('Input Data'!$B$20:$B$963=Changes!B147)*('Input Data'!$C$20:$C$963=Changes!C147),0)</f>
        <v>4411800</v>
      </c>
      <c r="I147" s="313" cm="1">
        <f t="array" ref="I147">_xlfn._xlws.FILTER('[2]Input Data'!$AA$20:$AA$173,('[2]Input Data'!$B$20:$B$173=Changes!B147)*('[2]Input Data'!$C$20:$C$173=Changes!C147),0)</f>
        <v>0</v>
      </c>
      <c r="J147" s="346" t="str" cm="1">
        <f t="array" ref="J147">_xlfn._xlws.FILTER('Input Data'!$E$20:$E$963,('Input Data'!$B$20:$B$963=Changes!B147)*('Input Data'!$C$20:$C$963=Changes!C147),0)</f>
        <v>In-Orbit</v>
      </c>
      <c r="K147" s="347" cm="1">
        <f t="array" ref="K147">_xlfn._xlws.FILTER('Input Data'!$L$20:$L$963,('Input Data'!$B$20:$B$963=Changes!B147)*('Input Data'!$C$20:$C$963=Changes!C147),0)</f>
        <v>46058</v>
      </c>
      <c r="L147" s="356" cm="1">
        <f t="array" ref="L147">_xlfn._xlws.FILTER('[2]Input Data'!$D$20:$D$173,('[2]Input Data'!$B$20:$B$173=Changes!B147)*('[2]Input Data'!$C$20:$C$173=Changes!C147),0)</f>
        <v>0</v>
      </c>
      <c r="M147" s="314">
        <f>IFERROR(INDEX('Input Data'!$P$10:$P$14,MATCH(DATEDIF($M$4,G147,"M"),'Input Data'!$O$10:$O$14,1)),0)</f>
        <v>0.4</v>
      </c>
      <c r="N147" s="227"/>
      <c r="O147" s="227">
        <f>INDEX('Input Data'!$P$10:$P$14,MATCH(DATEDIF($O$4,G147,"M"),'Input Data'!$O$10:$O$14,1))</f>
        <v>0.6</v>
      </c>
      <c r="P147" s="204">
        <f t="shared" si="16"/>
        <v>4411800</v>
      </c>
      <c r="Q147" s="339" t="s">
        <v>358</v>
      </c>
      <c r="R147" cm="1">
        <f t="array" ref="R147">_xlfn.LET(_xlpm.current,INDEX('Input Data'!$M$20:$M$963,MATCH(Changes!B147&amp;"_"&amp;Changes!C147,'Input Data'!$B$20:$B$963&amp;"_"&amp;'Input Data'!$C$20:$C$963,0)),_xlpm.prev,INDEX('[2]Input Data'!$L$20:$L$173,MATCH(B147&amp;"_"&amp;C147,'[2]Input Data'!$B$20:$B$173&amp;"_"&amp;'[2]Input Data'!$C$20:$C$173,0)),
IF(OR(ISNA(_xlpm.current),ISNA(_xlpm.prev)),0,_xlpm.current-_xlpm.prev))</f>
        <v>0</v>
      </c>
      <c r="S147" s="186" t="b">
        <f t="shared" si="18"/>
        <v>1</v>
      </c>
      <c r="T147" t="str" cm="1">
        <f t="array" ref="T147">IFERROR(_xlfn._xlws.FILTER('Input Data'!$N$20:$N$963,('Input Data'!$B$20:$B$963=Changes!B147)*('Input Data'!$C$20:$C$963=Changes!C147)),_xlfn._xlws.FILTER('[2]Input Data'!$M$20:$M$173,('[2]Input Data'!$B$20:$B$173=Changes!B147)*('[2]Input Data'!$C$20:$C$173=Changes!C147)))</f>
        <v>Maxar Space Systems</v>
      </c>
      <c r="V147" s="348" t="s">
        <v>590</v>
      </c>
      <c r="W147" s="227"/>
      <c r="X147" s="265" t="str">
        <v>INMARSAT 5-F4 (INMARSAT GX-4)</v>
      </c>
      <c r="Y147" s="266">
        <v>13126283.4832775</v>
      </c>
      <c r="AB147" s="33"/>
      <c r="AC147" s="33"/>
    </row>
    <row r="148" spans="1:29" x14ac:dyDescent="0.35">
      <c r="A148">
        <f t="shared" si="17"/>
        <v>1</v>
      </c>
      <c r="B148" s="315">
        <v>369418</v>
      </c>
      <c r="C148" s="282">
        <v>527402</v>
      </c>
      <c r="D148" s="282" t="str">
        <v>WORLDVIEW LEGION-3</v>
      </c>
      <c r="E148" s="282" t="str">
        <v>FUL</v>
      </c>
      <c r="F148" s="282" t="str">
        <v>LEO</v>
      </c>
      <c r="G148" s="283" cm="1">
        <f t="array" ref="G148">_xlfn.IFNA(INDEX('Input Data'!$M$20:$M$963,MATCH(Changes!B148&amp;"_"&amp;Changes!C148,'Input Data'!$B$20:$B$963&amp;"_"&amp;'Input Data'!$C$20:$C$963,0)),INDEX('[2]Input Data'!$L$20:$L$158,MATCH(B148&amp;"_"&amp;C148,'[2]Input Data'!$B$20:$B$158&amp;"_"&amp;'[2]Input Data'!$C$20:$C$158,0)))</f>
        <v>46422</v>
      </c>
      <c r="H148" s="313" cm="1">
        <f t="array" ref="H148">_xlfn._xlws.FILTER('Input Data'!$AA$20:$AA$963,('Input Data'!$B$20:$B$963=Changes!B148)*('Input Data'!$C$20:$C$963=Changes!C148),0)</f>
        <v>4411800</v>
      </c>
      <c r="I148" s="313" cm="1">
        <f t="array" ref="I148">_xlfn._xlws.FILTER('[2]Input Data'!$AA$20:$AA$173,('[2]Input Data'!$B$20:$B$173=Changes!B148)*('[2]Input Data'!$C$20:$C$173=Changes!C148),0)</f>
        <v>0</v>
      </c>
      <c r="J148" s="346" t="str" cm="1">
        <f t="array" ref="J148">_xlfn._xlws.FILTER('Input Data'!$E$20:$E$963,('Input Data'!$B$20:$B$963=Changes!B148)*('Input Data'!$C$20:$C$963=Changes!C148),0)</f>
        <v>In-Orbit</v>
      </c>
      <c r="K148" s="347" cm="1">
        <f t="array" ref="K148">_xlfn._xlws.FILTER('Input Data'!$L$20:$L$963,('Input Data'!$B$20:$B$963=Changes!B148)*('Input Data'!$C$20:$C$963=Changes!C148),0)</f>
        <v>46058</v>
      </c>
      <c r="L148" s="356" cm="1">
        <f t="array" ref="L148">_xlfn._xlws.FILTER('[2]Input Data'!$D$20:$D$173,('[2]Input Data'!$B$20:$B$173=Changes!B148)*('[2]Input Data'!$C$20:$C$173=Changes!C148),0)</f>
        <v>0</v>
      </c>
      <c r="M148" s="314">
        <f>IFERROR(INDEX('Input Data'!$P$10:$P$14,MATCH(DATEDIF($M$4,G148,"M"),'Input Data'!$O$10:$O$14,1)),0)</f>
        <v>0.4</v>
      </c>
      <c r="N148" s="227"/>
      <c r="O148" s="227">
        <f>INDEX('Input Data'!$P$10:$P$14,MATCH(DATEDIF($O$4,G148,"M"),'Input Data'!$O$10:$O$14,1))</f>
        <v>0.6</v>
      </c>
      <c r="P148" s="204">
        <f t="shared" si="16"/>
        <v>4411800</v>
      </c>
      <c r="Q148" s="339" t="s">
        <v>358</v>
      </c>
      <c r="R148" cm="1">
        <f t="array" ref="R148">_xlfn.LET(_xlpm.current,INDEX('Input Data'!$M$20:$M$963,MATCH(Changes!B148&amp;"_"&amp;Changes!C148,'Input Data'!$B$20:$B$963&amp;"_"&amp;'Input Data'!$C$20:$C$963,0)),_xlpm.prev,INDEX('[2]Input Data'!$L$20:$L$173,MATCH(B148&amp;"_"&amp;C148,'[2]Input Data'!$B$20:$B$173&amp;"_"&amp;'[2]Input Data'!$C$20:$C$173,0)),
IF(OR(ISNA(_xlpm.current),ISNA(_xlpm.prev)),0,_xlpm.current-_xlpm.prev))</f>
        <v>0</v>
      </c>
      <c r="S148" s="186" t="b">
        <f t="shared" si="18"/>
        <v>1</v>
      </c>
      <c r="T148" t="str" cm="1">
        <f t="array" ref="T148">IFERROR(_xlfn._xlws.FILTER('Input Data'!$N$20:$N$963,('Input Data'!$B$20:$B$963=Changes!B148)*('Input Data'!$C$20:$C$963=Changes!C148)),_xlfn._xlws.FILTER('[2]Input Data'!$M$20:$M$173,('[2]Input Data'!$B$20:$B$173=Changes!B148)*('[2]Input Data'!$C$20:$C$173=Changes!C148)))</f>
        <v>Maxar Space Systems</v>
      </c>
      <c r="V148" s="348" t="s">
        <v>590</v>
      </c>
      <c r="W148" s="227"/>
      <c r="X148" s="265" t="str">
        <v>INMARSAT 5-F3 (INMARSAT GX-3)</v>
      </c>
      <c r="Y148" s="266">
        <v>9550287.2005776893</v>
      </c>
      <c r="AB148" s="33"/>
      <c r="AC148" s="33"/>
    </row>
    <row r="149" spans="1:29" x14ac:dyDescent="0.35">
      <c r="A149">
        <f t="shared" si="17"/>
        <v>1</v>
      </c>
      <c r="B149" s="315">
        <v>369418</v>
      </c>
      <c r="C149" s="282">
        <v>527403</v>
      </c>
      <c r="D149" s="282" t="str">
        <v>WORLDVIEW LEGION-2</v>
      </c>
      <c r="E149" s="282" t="str">
        <v>FUL</v>
      </c>
      <c r="F149" s="282" t="str">
        <v>LEO</v>
      </c>
      <c r="G149" s="283" cm="1">
        <f t="array" ref="G149">_xlfn.IFNA(INDEX('Input Data'!$M$20:$M$963,MATCH(Changes!B149&amp;"_"&amp;Changes!C149,'Input Data'!$B$20:$B$963&amp;"_"&amp;'Input Data'!$C$20:$C$963,0)),INDEX('[2]Input Data'!$L$20:$L$158,MATCH(B149&amp;"_"&amp;C149,'[2]Input Data'!$B$20:$B$158&amp;"_"&amp;'[2]Input Data'!$C$20:$C$158,0)))</f>
        <v>46422</v>
      </c>
      <c r="H149" s="313" cm="1">
        <f t="array" ref="H149">_xlfn._xlws.FILTER('Input Data'!$AA$20:$AA$963,('Input Data'!$B$20:$B$963=Changes!B149)*('Input Data'!$C$20:$C$963=Changes!C149),0)</f>
        <v>4411800</v>
      </c>
      <c r="I149" s="313" cm="1">
        <f t="array" ref="I149">_xlfn._xlws.FILTER('[2]Input Data'!$AA$20:$AA$173,('[2]Input Data'!$B$20:$B$173=Changes!B149)*('[2]Input Data'!$C$20:$C$173=Changes!C149),0)</f>
        <v>0</v>
      </c>
      <c r="J149" s="346" t="str" cm="1">
        <f t="array" ref="J149">_xlfn._xlws.FILTER('Input Data'!$E$20:$E$963,('Input Data'!$B$20:$B$963=Changes!B149)*('Input Data'!$C$20:$C$963=Changes!C149),0)</f>
        <v>In-Orbit</v>
      </c>
      <c r="K149" s="347" cm="1">
        <f t="array" ref="K149">_xlfn._xlws.FILTER('Input Data'!$L$20:$L$963,('Input Data'!$B$20:$B$963=Changes!B149)*('Input Data'!$C$20:$C$963=Changes!C149),0)</f>
        <v>46058</v>
      </c>
      <c r="L149" s="356" cm="1">
        <f t="array" ref="L149">_xlfn._xlws.FILTER('[2]Input Data'!$D$20:$D$173,('[2]Input Data'!$B$20:$B$173=Changes!B149)*('[2]Input Data'!$C$20:$C$173=Changes!C149),0)</f>
        <v>0</v>
      </c>
      <c r="M149" s="314">
        <f>IFERROR(INDEX('Input Data'!$P$10:$P$14,MATCH(DATEDIF($M$4,G149,"M"),'Input Data'!$O$10:$O$14,1)),0)</f>
        <v>0.4</v>
      </c>
      <c r="N149" s="227"/>
      <c r="O149" s="227">
        <f>INDEX('Input Data'!$P$10:$P$14,MATCH(DATEDIF($O$4,G149,"M"),'Input Data'!$O$10:$O$14,1))</f>
        <v>0.6</v>
      </c>
      <c r="P149" s="204">
        <f t="shared" si="16"/>
        <v>4411800</v>
      </c>
      <c r="Q149" s="339" t="s">
        <v>358</v>
      </c>
      <c r="R149" cm="1">
        <f t="array" ref="R149">_xlfn.LET(_xlpm.current,INDEX('Input Data'!$M$20:$M$963,MATCH(Changes!B149&amp;"_"&amp;Changes!C149,'Input Data'!$B$20:$B$963&amp;"_"&amp;'Input Data'!$C$20:$C$963,0)),_xlpm.prev,INDEX('[2]Input Data'!$L$20:$L$173,MATCH(B149&amp;"_"&amp;C149,'[2]Input Data'!$B$20:$B$173&amp;"_"&amp;'[2]Input Data'!$C$20:$C$173,0)),
IF(OR(ISNA(_xlpm.current),ISNA(_xlpm.prev)),0,_xlpm.current-_xlpm.prev))</f>
        <v>0</v>
      </c>
      <c r="S149" s="186" t="b">
        <f t="shared" si="18"/>
        <v>1</v>
      </c>
      <c r="T149" t="str" cm="1">
        <f t="array" ref="T149">IFERROR(_xlfn._xlws.FILTER('Input Data'!$N$20:$N$963,('Input Data'!$B$20:$B$963=Changes!B149)*('Input Data'!$C$20:$C$963=Changes!C149)),_xlfn._xlws.FILTER('[2]Input Data'!$M$20:$M$173,('[2]Input Data'!$B$20:$B$173=Changes!B149)*('[2]Input Data'!$C$20:$C$173=Changes!C149)))</f>
        <v>Maxar Space Systems</v>
      </c>
      <c r="V149" s="348" t="s">
        <v>590</v>
      </c>
      <c r="W149" s="227"/>
      <c r="X149" s="265" t="str">
        <v>INMARSAT 5-F2 (INMARSAT GX-2)</v>
      </c>
      <c r="Y149" s="266">
        <v>9334080.6029998995</v>
      </c>
      <c r="AB149" s="33"/>
      <c r="AC149" s="33"/>
    </row>
    <row r="150" spans="1:29" x14ac:dyDescent="0.35">
      <c r="A150">
        <f t="shared" si="17"/>
        <v>1</v>
      </c>
      <c r="B150" s="315">
        <v>369418</v>
      </c>
      <c r="C150" s="282">
        <v>527404</v>
      </c>
      <c r="D150" s="282" t="str">
        <v>WORLDVIEW LEGION-1</v>
      </c>
      <c r="E150" s="282" t="str">
        <v>FUL</v>
      </c>
      <c r="F150" s="282" t="str">
        <v>LEO</v>
      </c>
      <c r="G150" s="283" cm="1">
        <f t="array" ref="G150">_xlfn.IFNA(INDEX('Input Data'!$M$20:$M$963,MATCH(Changes!B150&amp;"_"&amp;Changes!C150,'Input Data'!$B$20:$B$963&amp;"_"&amp;'Input Data'!$C$20:$C$963,0)),INDEX('[2]Input Data'!$L$20:$L$158,MATCH(B150&amp;"_"&amp;C150,'[2]Input Data'!$B$20:$B$158&amp;"_"&amp;'[2]Input Data'!$C$20:$C$158,0)))</f>
        <v>46422</v>
      </c>
      <c r="H150" s="313" cm="1">
        <f t="array" ref="H150">_xlfn._xlws.FILTER('Input Data'!$AA$20:$AA$963,('Input Data'!$B$20:$B$963=Changes!B150)*('Input Data'!$C$20:$C$963=Changes!C150),0)</f>
        <v>4411800</v>
      </c>
      <c r="I150" s="313" cm="1">
        <f t="array" ref="I150">_xlfn._xlws.FILTER('[2]Input Data'!$AA$20:$AA$173,('[2]Input Data'!$B$20:$B$173=Changes!B150)*('[2]Input Data'!$C$20:$C$173=Changes!C150),0)</f>
        <v>0</v>
      </c>
      <c r="J150" s="346" t="str" cm="1">
        <f t="array" ref="J150">_xlfn._xlws.FILTER('Input Data'!$E$20:$E$963,('Input Data'!$B$20:$B$963=Changes!B150)*('Input Data'!$C$20:$C$963=Changes!C150),0)</f>
        <v>In-Orbit</v>
      </c>
      <c r="K150" s="347" cm="1">
        <f t="array" ref="K150">_xlfn._xlws.FILTER('Input Data'!$L$20:$L$963,('Input Data'!$B$20:$B$963=Changes!B150)*('Input Data'!$C$20:$C$963=Changes!C150),0)</f>
        <v>46058</v>
      </c>
      <c r="L150" s="356" cm="1">
        <f t="array" ref="L150">_xlfn._xlws.FILTER('[2]Input Data'!$D$20:$D$173,('[2]Input Data'!$B$20:$B$173=Changes!B150)*('[2]Input Data'!$C$20:$C$173=Changes!C150),0)</f>
        <v>0</v>
      </c>
      <c r="M150" s="314">
        <f>IFERROR(INDEX('Input Data'!$P$10:$P$14,MATCH(DATEDIF($M$4,G150,"M"),'Input Data'!$O$10:$O$14,1)),0)</f>
        <v>0.4</v>
      </c>
      <c r="N150" s="227"/>
      <c r="O150" s="227">
        <f>INDEX('Input Data'!$P$10:$P$14,MATCH(DATEDIF($O$4,G150,"M"),'Input Data'!$O$10:$O$14,1))</f>
        <v>0.6</v>
      </c>
      <c r="P150" s="204">
        <f t="shared" si="16"/>
        <v>4411800</v>
      </c>
      <c r="Q150" s="339" t="s">
        <v>358</v>
      </c>
      <c r="R150" cm="1">
        <f t="array" ref="R150">_xlfn.LET(_xlpm.current,INDEX('Input Data'!$M$20:$M$963,MATCH(Changes!B150&amp;"_"&amp;Changes!C150,'Input Data'!$B$20:$B$963&amp;"_"&amp;'Input Data'!$C$20:$C$963,0)),_xlpm.prev,INDEX('[2]Input Data'!$L$20:$L$173,MATCH(B150&amp;"_"&amp;C150,'[2]Input Data'!$B$20:$B$173&amp;"_"&amp;'[2]Input Data'!$C$20:$C$173,0)),
IF(OR(ISNA(_xlpm.current),ISNA(_xlpm.prev)),0,_xlpm.current-_xlpm.prev))</f>
        <v>0</v>
      </c>
      <c r="S150" s="186" t="b">
        <f t="shared" si="18"/>
        <v>1</v>
      </c>
      <c r="T150" t="str" cm="1">
        <f t="array" ref="T150">IFERROR(_xlfn._xlws.FILTER('Input Data'!$N$20:$N$963,('Input Data'!$B$20:$B$963=Changes!B150)*('Input Data'!$C$20:$C$963=Changes!C150)),_xlfn._xlws.FILTER('[2]Input Data'!$M$20:$M$173,('[2]Input Data'!$B$20:$B$173=Changes!B150)*('[2]Input Data'!$C$20:$C$173=Changes!C150)))</f>
        <v>Maxar Space Systems</v>
      </c>
      <c r="V150" s="348" t="s">
        <v>590</v>
      </c>
      <c r="W150" s="227"/>
      <c r="X150" s="265" t="str">
        <v>INMARSAT 5-F1 (INMARSAT GX-1)</v>
      </c>
      <c r="Y150" s="266">
        <v>8205132.9760154998</v>
      </c>
      <c r="AB150" s="33"/>
      <c r="AC150" s="33"/>
    </row>
    <row r="151" spans="1:29" x14ac:dyDescent="0.35">
      <c r="A151">
        <f t="shared" si="17"/>
        <v>1</v>
      </c>
      <c r="B151" s="315">
        <v>367899</v>
      </c>
      <c r="C151" s="362">
        <v>529439</v>
      </c>
      <c r="D151" s="282" t="str">
        <v>TELKOMSAT 113BT</v>
      </c>
      <c r="E151" s="282" t="str">
        <v>FUL</v>
      </c>
      <c r="F151" s="282" t="str">
        <v>GEO-GSO</v>
      </c>
      <c r="G151" s="283" cm="1">
        <f t="array" ref="G151">_xlfn.IFNA(INDEX('Input Data'!$M$20:$M$963,MATCH(Changes!B151&amp;"_"&amp;Changes!C151,'Input Data'!$B$20:$B$963&amp;"_"&amp;'Input Data'!$C$20:$C$963,0)),INDEX('[2]Input Data'!$L$20:$L$158,MATCH(B151&amp;"_"&amp;C151,'[2]Input Data'!$B$20:$B$158&amp;"_"&amp;'[2]Input Data'!$C$20:$C$158,0)))</f>
        <v>46438</v>
      </c>
      <c r="H151" s="313" cm="1">
        <f t="array" ref="H151">_xlfn._xlws.FILTER('Input Data'!$AA$20:$AA$963,('Input Data'!$B$20:$B$963=Changes!B151)*('Input Data'!$C$20:$C$963=Changes!C151),0)</f>
        <v>6425262.08096305</v>
      </c>
      <c r="I151" s="313" cm="1">
        <f t="array" ref="I151">_xlfn._xlws.FILTER('[2]Input Data'!$AA$20:$AA$173,('[2]Input Data'!$B$20:$B$173=Changes!B151)*('[2]Input Data'!$C$20:$C$173=Changes!C151),0)</f>
        <v>0</v>
      </c>
      <c r="J151" s="346" t="str" cm="1">
        <f t="array" ref="J151">_xlfn._xlws.FILTER('Input Data'!$E$20:$E$963,('Input Data'!$B$20:$B$963=Changes!B151)*('Input Data'!$C$20:$C$963=Changes!C151),0)</f>
        <v>In-Orbit</v>
      </c>
      <c r="K151" s="347" cm="1">
        <f t="array" ref="K151">_xlfn._xlws.FILTER('Input Data'!$L$20:$L$963,('Input Data'!$B$20:$B$963=Changes!B151)*('Input Data'!$C$20:$C$963=Changes!C151),0)</f>
        <v>46074</v>
      </c>
      <c r="L151" s="356" cm="1">
        <f t="array" ref="L151">_xlfn._xlws.FILTER('[2]Input Data'!$D$20:$D$173,('[2]Input Data'!$B$20:$B$173=Changes!B151)*('[2]Input Data'!$C$20:$C$173=Changes!C151),0)</f>
        <v>0</v>
      </c>
      <c r="M151" s="314">
        <f>IFERROR(INDEX('Input Data'!$P$10:$P$14,MATCH(DATEDIF($M$4,G151,"M"),'Input Data'!$O$10:$O$14,1)),0)</f>
        <v>0.4</v>
      </c>
      <c r="N151" s="227"/>
      <c r="O151" s="227">
        <f>INDEX('Input Data'!$P$10:$P$14,MATCH(DATEDIF($O$4,G151,"M"),'Input Data'!$O$10:$O$14,1))</f>
        <v>0.6</v>
      </c>
      <c r="P151" s="368">
        <f t="shared" si="16"/>
        <v>6425262.08096305</v>
      </c>
      <c r="Q151" s="291" t="s">
        <v>359</v>
      </c>
      <c r="R151" cm="1">
        <f t="array" ref="R151">_xlfn.LET(_xlpm.current,INDEX('Input Data'!$M$20:$M$963,MATCH(Changes!B151&amp;"_"&amp;Changes!C151,'Input Data'!$B$20:$B$963&amp;"_"&amp;'Input Data'!$C$20:$C$963,0)),_xlpm.prev,INDEX('[2]Input Data'!$L$20:$L$173,MATCH(B151&amp;"_"&amp;C151,'[2]Input Data'!$B$20:$B$173&amp;"_"&amp;'[2]Input Data'!$C$20:$C$173,0)),
IF(OR(ISNA(_xlpm.current),ISNA(_xlpm.prev)),0,_xlpm.current-_xlpm.prev))</f>
        <v>0</v>
      </c>
      <c r="S151" s="186" t="b">
        <f t="shared" si="18"/>
        <v>1</v>
      </c>
      <c r="T151" t="str" cm="1">
        <f t="array" ref="T151">IFERROR(_xlfn._xlws.FILTER('Input Data'!$N$20:$N$963,('Input Data'!$B$20:$B$963=Changes!B151)*('Input Data'!$C$20:$C$963=Changes!C151)),_xlfn._xlws.FILTER('[2]Input Data'!$M$20:$M$173,('[2]Input Data'!$B$20:$B$173=Changes!B151)*('[2]Input Data'!$C$20:$C$173=Changes!C151)))</f>
        <v>Thales Alenia Space France (Cannes)</v>
      </c>
      <c r="V151" s="366" t="s">
        <v>589</v>
      </c>
      <c r="W151" s="227"/>
      <c r="X151" s="265" t="str">
        <v>ASBM 1 (NORWAY)</v>
      </c>
      <c r="Y151" s="266">
        <v>3092820.6134019899</v>
      </c>
      <c r="AB151" s="33"/>
      <c r="AC151" s="33"/>
    </row>
    <row r="152" spans="1:29" x14ac:dyDescent="0.35">
      <c r="A152">
        <f t="shared" si="17"/>
        <v>1</v>
      </c>
      <c r="B152" s="315">
        <v>277977</v>
      </c>
      <c r="C152" s="282">
        <v>340161</v>
      </c>
      <c r="D152" s="282" t="str">
        <v>SXM-10</v>
      </c>
      <c r="E152" s="282" t="str">
        <v>FUL</v>
      </c>
      <c r="F152" s="282" t="str">
        <v>GEO-GSO</v>
      </c>
      <c r="G152" s="283" cm="1">
        <f t="array" ref="G152">_xlfn.IFNA(INDEX('Input Data'!$M$20:$M$963,MATCH(Changes!B152&amp;"_"&amp;Changes!C152,'Input Data'!$B$20:$B$963&amp;"_"&amp;'Input Data'!$C$20:$C$963,0)),INDEX('[2]Input Data'!$L$20:$L$158,MATCH(B152&amp;"_"&amp;C152,'[2]Input Data'!$B$20:$B$158&amp;"_"&amp;'[2]Input Data'!$C$20:$C$158,0)))</f>
        <v>46180</v>
      </c>
      <c r="H152" s="313" cm="1">
        <f t="array" ref="H152">_xlfn._xlws.FILTER('Input Data'!$AA$20:$AA$963,('Input Data'!$B$20:$B$963=Changes!B152)*('Input Data'!$C$20:$C$963=Changes!C152),0)</f>
        <v>19999980</v>
      </c>
      <c r="I152" s="313" cm="1">
        <f t="array" ref="I152">_xlfn._xlws.FILTER('[2]Input Data'!$AA$20:$AA$173,('[2]Input Data'!$B$20:$B$173=Changes!B152)*('[2]Input Data'!$C$20:$C$173=Changes!C152),0)</f>
        <v>19999980</v>
      </c>
      <c r="J152" s="346" t="str" cm="1">
        <f t="array" ref="J152">_xlfn._xlws.FILTER('Input Data'!$E$20:$E$963,('Input Data'!$B$20:$B$963=Changes!B152)*('Input Data'!$C$20:$C$963=Changes!C152),0)</f>
        <v>L + 12 Months</v>
      </c>
      <c r="K152" s="347" cm="1">
        <f t="array" ref="K152">_xlfn._xlws.FILTER('Input Data'!$L$20:$L$963,('Input Data'!$B$20:$B$963=Changes!B152)*('Input Data'!$C$20:$C$963=Changes!C152),0)</f>
        <v>45815</v>
      </c>
      <c r="L152" s="356" t="str" cm="1">
        <f t="array" ref="L152">_xlfn._xlws.FILTER('[2]Input Data'!$D$20:$D$173,('[2]Input Data'!$B$20:$B$173=Changes!B152)*('[2]Input Data'!$C$20:$C$173=Changes!C152),0)</f>
        <v>L + 12 Months</v>
      </c>
      <c r="M152" s="314">
        <f>IFERROR(INDEX('Input Data'!$P$10:$P$14,MATCH(DATEDIF($M$4,G152,"M"),'Input Data'!$O$10:$O$14,1)),0)</f>
        <v>0.2</v>
      </c>
      <c r="N152" s="227"/>
      <c r="O152" s="227">
        <f>INDEX('Input Data'!$P$10:$P$14,MATCH(DATEDIF($O$4,G152,"M"),'Input Data'!$O$10:$O$14,1))</f>
        <v>0.2</v>
      </c>
      <c r="P152" s="204">
        <f t="shared" si="16"/>
        <v>0</v>
      </c>
      <c r="R152" cm="1">
        <f t="array" ref="R152">_xlfn.LET(_xlpm.current,INDEX('Input Data'!$M$20:$M$963,MATCH(Changes!B152&amp;"_"&amp;Changes!C152,'Input Data'!$B$20:$B$963&amp;"_"&amp;'Input Data'!$C$20:$C$963,0)),_xlpm.prev,INDEX('[2]Input Data'!$L$20:$L$173,MATCH(B152&amp;"_"&amp;C152,'[2]Input Data'!$B$20:$B$173&amp;"_"&amp;'[2]Input Data'!$C$20:$C$173,0)),
IF(OR(ISNA(_xlpm.current),ISNA(_xlpm.prev)),0,_xlpm.current-_xlpm.prev))</f>
        <v>0</v>
      </c>
      <c r="S152" s="186" t="b">
        <f t="shared" si="18"/>
        <v>0</v>
      </c>
      <c r="T152" t="str" cm="1">
        <f t="array" ref="T152">IFERROR(_xlfn._xlws.FILTER('Input Data'!$N$20:$N$963,('Input Data'!$B$20:$B$963=Changes!B152)*('Input Data'!$C$20:$C$963=Changes!C152)),_xlfn._xlws.FILTER('[2]Input Data'!$M$20:$M$173,('[2]Input Data'!$B$20:$B$173=Changes!B152)*('[2]Input Data'!$C$20:$C$173=Changes!C152)))</f>
        <v>SSL (Space Systems/Loral)</v>
      </c>
      <c r="V152" s="348"/>
      <c r="W152" s="227"/>
      <c r="X152" s="265" t="str">
        <v>EDRS C (HYLAS 3)</v>
      </c>
      <c r="Y152" s="266">
        <v>5257732.5685566999</v>
      </c>
      <c r="AB152" s="33"/>
      <c r="AC152" s="33"/>
    </row>
    <row r="153" spans="1:29" x14ac:dyDescent="0.35">
      <c r="A153">
        <f t="shared" si="17"/>
        <v>1</v>
      </c>
      <c r="B153" s="315">
        <v>278759</v>
      </c>
      <c r="C153" s="282">
        <v>341459</v>
      </c>
      <c r="D153" s="282" t="str">
        <v>SXM-10</v>
      </c>
      <c r="E153" s="282" t="str">
        <v>FUL</v>
      </c>
      <c r="F153" s="282" t="str">
        <v>GEO-GSO</v>
      </c>
      <c r="G153" s="283" cm="1">
        <f t="array" ref="G153">_xlfn.IFNA(INDEX('Input Data'!$M$20:$M$963,MATCH(Changes!B153&amp;"_"&amp;Changes!C153,'Input Data'!$B$20:$B$963&amp;"_"&amp;'Input Data'!$C$20:$C$963,0)),INDEX('[2]Input Data'!$L$20:$L$158,MATCH(B153&amp;"_"&amp;C153,'[2]Input Data'!$B$20:$B$158&amp;"_"&amp;'[2]Input Data'!$C$20:$C$158,0)))</f>
        <v>46180</v>
      </c>
      <c r="H153" s="313" cm="1">
        <f t="array" ref="H153">_xlfn._xlws.FILTER('Input Data'!$AA$20:$AA$963,('Input Data'!$B$20:$B$963=Changes!B153)*('Input Data'!$C$20:$C$963=Changes!C153),0)</f>
        <v>19999980</v>
      </c>
      <c r="I153" s="313" cm="1">
        <f t="array" ref="I153">_xlfn._xlws.FILTER('[2]Input Data'!$AA$20:$AA$173,('[2]Input Data'!$B$20:$B$173=Changes!B153)*('[2]Input Data'!$C$20:$C$173=Changes!C153),0)</f>
        <v>19999980</v>
      </c>
      <c r="J153" s="346" t="str" cm="1">
        <f t="array" ref="J153">_xlfn._xlws.FILTER('Input Data'!$E$20:$E$963,('Input Data'!$B$20:$B$963=Changes!B153)*('Input Data'!$C$20:$C$963=Changes!C153),0)</f>
        <v>L + 12 Months</v>
      </c>
      <c r="K153" s="347" cm="1">
        <f t="array" ref="K153">_xlfn._xlws.FILTER('Input Data'!$L$20:$L$963,('Input Data'!$B$20:$B$963=Changes!B153)*('Input Data'!$C$20:$C$963=Changes!C153),0)</f>
        <v>45815</v>
      </c>
      <c r="L153" s="356" t="str" cm="1">
        <f t="array" ref="L153">_xlfn._xlws.FILTER('[2]Input Data'!$D$20:$D$173,('[2]Input Data'!$B$20:$B$173=Changes!B153)*('[2]Input Data'!$C$20:$C$173=Changes!C153),0)</f>
        <v>L + 12 Months</v>
      </c>
      <c r="M153" s="314">
        <f>IFERROR(INDEX('Input Data'!$P$10:$P$14,MATCH(DATEDIF($M$4,G153,"M"),'Input Data'!$O$10:$O$14,1)),0)</f>
        <v>0.2</v>
      </c>
      <c r="N153" s="227"/>
      <c r="O153" s="227">
        <f>INDEX('Input Data'!$P$10:$P$14,MATCH(DATEDIF($O$4,G153,"M"),'Input Data'!$O$10:$O$14,1))</f>
        <v>0.2</v>
      </c>
      <c r="P153" s="204">
        <f t="shared" si="16"/>
        <v>0</v>
      </c>
      <c r="R153" cm="1">
        <f t="array" ref="R153">_xlfn.LET(_xlpm.current,INDEX('Input Data'!$M$20:$M$963,MATCH(Changes!B153&amp;"_"&amp;Changes!C153,'Input Data'!$B$20:$B$963&amp;"_"&amp;'Input Data'!$C$20:$C$963,0)),_xlpm.prev,INDEX('[2]Input Data'!$L$20:$L$173,MATCH(B153&amp;"_"&amp;C153,'[2]Input Data'!$B$20:$B$173&amp;"_"&amp;'[2]Input Data'!$C$20:$C$173,0)),
IF(OR(ISNA(_xlpm.current),ISNA(_xlpm.prev)),0,_xlpm.current-_xlpm.prev))</f>
        <v>0</v>
      </c>
      <c r="S153" s="186" t="b">
        <f t="shared" si="18"/>
        <v>0</v>
      </c>
      <c r="T153" t="str" cm="1">
        <f t="array" ref="T153">IFERROR(_xlfn._xlws.FILTER('Input Data'!$N$20:$N$963,('Input Data'!$B$20:$B$963=Changes!B153)*('Input Data'!$C$20:$C$963=Changes!C153)),_xlfn._xlws.FILTER('[2]Input Data'!$M$20:$M$173,('[2]Input Data'!$B$20:$B$173=Changes!B153)*('[2]Input Data'!$C$20:$C$173=Changes!C153)))</f>
        <v>SSL (Space Systems/Loral)</v>
      </c>
      <c r="V153" s="348"/>
      <c r="W153" s="227"/>
      <c r="X153" s="265" t="str">
        <v>VIASAT-1</v>
      </c>
      <c r="Y153" s="266">
        <v>5608052.1556016998</v>
      </c>
      <c r="AB153" s="33"/>
      <c r="AC153" s="33"/>
    </row>
    <row r="154" spans="1:29" x14ac:dyDescent="0.35">
      <c r="A154">
        <f t="shared" si="17"/>
        <v>1</v>
      </c>
      <c r="B154" s="315">
        <v>301630</v>
      </c>
      <c r="C154" s="282">
        <v>388552</v>
      </c>
      <c r="D154" s="282" t="str">
        <v>NULL</v>
      </c>
      <c r="E154" s="282" t="str">
        <v>FUL</v>
      </c>
      <c r="F154" s="282" t="str">
        <v>NULL</v>
      </c>
      <c r="G154" s="283" cm="1">
        <f t="array" ref="G154">_xlfn.IFNA(INDEX('Input Data'!$M$20:$M$963,MATCH(Changes!B154&amp;"_"&amp;Changes!C154,'Input Data'!$B$20:$B$963&amp;"_"&amp;'Input Data'!$C$20:$C$963,0)),INDEX('[2]Input Data'!$L$20:$L$158,MATCH(B154&amp;"_"&amp;C154,'[2]Input Data'!$B$20:$B$158&amp;"_"&amp;'[2]Input Data'!$C$20:$C$158,0)))</f>
        <v>46386</v>
      </c>
      <c r="H154" s="313" cm="1">
        <f t="array" ref="H154">_xlfn._xlws.FILTER('Input Data'!$AA$20:$AA$963,('Input Data'!$B$20:$B$963=Changes!B154)*('Input Data'!$C$20:$C$963=Changes!C154),0)</f>
        <v>0</v>
      </c>
      <c r="I154" s="313" cm="1">
        <f t="array" ref="I154">_xlfn._xlws.FILTER('[2]Input Data'!$AA$20:$AA$173,('[2]Input Data'!$B$20:$B$173=Changes!B154)*('[2]Input Data'!$C$20:$C$173=Changes!C154),0)</f>
        <v>0</v>
      </c>
      <c r="J154" s="346" t="str" cm="1">
        <f t="array" ref="J154">_xlfn._xlws.FILTER('Input Data'!$E$20:$E$963,('Input Data'!$B$20:$B$963=Changes!B154)*('Input Data'!$C$20:$C$963=Changes!C154),0)</f>
        <v>NULL</v>
      </c>
      <c r="K154" s="347" cm="1">
        <f t="array" ref="K154">_xlfn._xlws.FILTER('Input Data'!$L$20:$L$963,('Input Data'!$B$20:$B$963=Changes!B154)*('Input Data'!$C$20:$C$963=Changes!C154),0)</f>
        <v>45291</v>
      </c>
      <c r="L154" s="356" cm="1">
        <f t="array" ref="L154">_xlfn._xlws.FILTER('[2]Input Data'!$D$20:$D$173,('[2]Input Data'!$B$20:$B$173=Changes!B154)*('[2]Input Data'!$C$20:$C$173=Changes!C154),0)</f>
        <v>0</v>
      </c>
      <c r="M154" s="314">
        <f>IFERROR(INDEX('Input Data'!$P$10:$P$14,MATCH(DATEDIF($M$4,G154,"M"),'Input Data'!$O$10:$O$14,1)),0)</f>
        <v>0.4</v>
      </c>
      <c r="N154" s="227"/>
      <c r="O154" s="227">
        <f>INDEX('Input Data'!$P$10:$P$14,MATCH(DATEDIF($O$4,G154,"M"),'Input Data'!$O$10:$O$14,1))</f>
        <v>0.4</v>
      </c>
      <c r="P154" s="204">
        <f t="shared" si="16"/>
        <v>0</v>
      </c>
      <c r="R154" cm="1">
        <f t="array" ref="R154">_xlfn.LET(_xlpm.current,INDEX('Input Data'!$M$20:$M$963,MATCH(Changes!B154&amp;"_"&amp;Changes!C154,'Input Data'!$B$20:$B$963&amp;"_"&amp;'Input Data'!$C$20:$C$963,0)),_xlpm.prev,INDEX('[2]Input Data'!$L$20:$L$173,MATCH(B154&amp;"_"&amp;C154,'[2]Input Data'!$B$20:$B$173&amp;"_"&amp;'[2]Input Data'!$C$20:$C$173,0)),
IF(OR(ISNA(_xlpm.current),ISNA(_xlpm.prev)),0,_xlpm.current-_xlpm.prev))</f>
        <v>0</v>
      </c>
      <c r="S154" s="186" t="b">
        <f t="shared" si="18"/>
        <v>0</v>
      </c>
      <c r="T154" t="str" cm="1">
        <f t="array" ref="T154">IFERROR(_xlfn._xlws.FILTER('Input Data'!$N$20:$N$963,('Input Data'!$B$20:$B$963=Changes!B154)*('Input Data'!$C$20:$C$963=Changes!C154)),_xlfn._xlws.FILTER('[2]Input Data'!$M$20:$M$173,('[2]Input Data'!$B$20:$B$173=Changes!B154)*('[2]Input Data'!$C$20:$C$173=Changes!C154)))</f>
        <v>NULL</v>
      </c>
      <c r="V154" s="348"/>
      <c r="W154" s="227"/>
      <c r="X154" s="265" t="str">
        <v>KA-SAT</v>
      </c>
      <c r="Y154" s="266">
        <v>4521747.2089585997</v>
      </c>
      <c r="AB154" s="33"/>
      <c r="AC154" s="33"/>
    </row>
    <row r="155" spans="1:29" x14ac:dyDescent="0.35">
      <c r="A155">
        <f t="shared" si="17"/>
        <v>1</v>
      </c>
      <c r="B155" s="315">
        <v>301630</v>
      </c>
      <c r="C155" s="282">
        <v>388553</v>
      </c>
      <c r="D155" s="282" t="str">
        <v>NULL</v>
      </c>
      <c r="E155" s="282" t="str">
        <v>FUL</v>
      </c>
      <c r="F155" s="282" t="str">
        <v>NULL</v>
      </c>
      <c r="G155" s="283" cm="1">
        <f t="array" ref="G155">_xlfn.IFNA(INDEX('Input Data'!$M$20:$M$963,MATCH(Changes!B155&amp;"_"&amp;Changes!C155,'Input Data'!$B$20:$B$963&amp;"_"&amp;'Input Data'!$C$20:$C$963,0)),INDEX('[2]Input Data'!$L$20:$L$158,MATCH(B155&amp;"_"&amp;C155,'[2]Input Data'!$B$20:$B$158&amp;"_"&amp;'[2]Input Data'!$C$20:$C$158,0)))</f>
        <v>46386</v>
      </c>
      <c r="H155" s="313" cm="1">
        <f t="array" ref="H155">_xlfn._xlws.FILTER('Input Data'!$AA$20:$AA$963,('Input Data'!$B$20:$B$963=Changes!B155)*('Input Data'!$C$20:$C$963=Changes!C155),0)</f>
        <v>0</v>
      </c>
      <c r="I155" s="313" cm="1">
        <f t="array" ref="I155">_xlfn._xlws.FILTER('[2]Input Data'!$AA$20:$AA$173,('[2]Input Data'!$B$20:$B$173=Changes!B155)*('[2]Input Data'!$C$20:$C$173=Changes!C155),0)</f>
        <v>0</v>
      </c>
      <c r="J155" s="346" t="str" cm="1">
        <f t="array" ref="J155">_xlfn._xlws.FILTER('Input Data'!$E$20:$E$963,('Input Data'!$B$20:$B$963=Changes!B155)*('Input Data'!$C$20:$C$963=Changes!C155),0)</f>
        <v>NULL</v>
      </c>
      <c r="K155" s="347" cm="1">
        <f t="array" ref="K155">_xlfn._xlws.FILTER('Input Data'!$L$20:$L$963,('Input Data'!$B$20:$B$963=Changes!B155)*('Input Data'!$C$20:$C$963=Changes!C155),0)</f>
        <v>45291</v>
      </c>
      <c r="L155" s="356" cm="1">
        <f t="array" ref="L155">_xlfn._xlws.FILTER('[2]Input Data'!$D$20:$D$173,('[2]Input Data'!$B$20:$B$173=Changes!B155)*('[2]Input Data'!$C$20:$C$173=Changes!C155),0)</f>
        <v>0</v>
      </c>
      <c r="M155" s="314">
        <f>IFERROR(INDEX('Input Data'!$P$10:$P$14,MATCH(DATEDIF($M$4,G155,"M"),'Input Data'!$O$10:$O$14,1)),0)</f>
        <v>0.4</v>
      </c>
      <c r="N155" s="227"/>
      <c r="O155" s="227">
        <f>INDEX('Input Data'!$P$10:$P$14,MATCH(DATEDIF($O$4,G155,"M"),'Input Data'!$O$10:$O$14,1))</f>
        <v>0.4</v>
      </c>
      <c r="P155" s="204">
        <f t="shared" si="16"/>
        <v>0</v>
      </c>
      <c r="R155" cm="1">
        <f t="array" ref="R155">_xlfn.LET(_xlpm.current,INDEX('Input Data'!$M$20:$M$963,MATCH(Changes!B155&amp;"_"&amp;Changes!C155,'Input Data'!$B$20:$B$963&amp;"_"&amp;'Input Data'!$C$20:$C$963,0)),_xlpm.prev,INDEX('[2]Input Data'!$L$20:$L$173,MATCH(B155&amp;"_"&amp;C155,'[2]Input Data'!$B$20:$B$173&amp;"_"&amp;'[2]Input Data'!$C$20:$C$173,0)),
IF(OR(ISNA(_xlpm.current),ISNA(_xlpm.prev)),0,_xlpm.current-_xlpm.prev))</f>
        <v>0</v>
      </c>
      <c r="S155" s="186" t="b">
        <f t="shared" si="18"/>
        <v>0</v>
      </c>
      <c r="T155" t="str" cm="1">
        <f t="array" ref="T155">IFERROR(_xlfn._xlws.FILTER('Input Data'!$N$20:$N$963,('Input Data'!$B$20:$B$963=Changes!B155)*('Input Data'!$C$20:$C$963=Changes!C155)),_xlfn._xlws.FILTER('[2]Input Data'!$M$20:$M$173,('[2]Input Data'!$B$20:$B$173=Changes!B155)*('[2]Input Data'!$C$20:$C$173=Changes!C155)))</f>
        <v>NULL</v>
      </c>
      <c r="V155" s="348"/>
      <c r="W155" s="227"/>
      <c r="X155" s="265" t="str">
        <v>VIASAT-2</v>
      </c>
      <c r="Y155" s="266">
        <v>9278349.8814432994</v>
      </c>
      <c r="AB155" s="33"/>
      <c r="AC155" s="33"/>
    </row>
    <row r="156" spans="1:29" x14ac:dyDescent="0.35">
      <c r="A156">
        <f t="shared" si="17"/>
        <v>1</v>
      </c>
      <c r="B156" s="315">
        <v>301630</v>
      </c>
      <c r="C156" s="282">
        <v>388554</v>
      </c>
      <c r="D156" s="282" t="str">
        <v>NULL</v>
      </c>
      <c r="E156" s="282" t="str">
        <v>FUL</v>
      </c>
      <c r="F156" s="282" t="str">
        <v>NULL</v>
      </c>
      <c r="G156" s="283" cm="1">
        <f t="array" ref="G156">_xlfn.IFNA(INDEX('Input Data'!$M$20:$M$963,MATCH(Changes!B156&amp;"_"&amp;Changes!C156,'Input Data'!$B$20:$B$963&amp;"_"&amp;'Input Data'!$C$20:$C$963,0)),INDEX('[2]Input Data'!$L$20:$L$158,MATCH(B156&amp;"_"&amp;C156,'[2]Input Data'!$B$20:$B$158&amp;"_"&amp;'[2]Input Data'!$C$20:$C$158,0)))</f>
        <v>46386</v>
      </c>
      <c r="H156" s="313" cm="1">
        <f t="array" ref="H156">_xlfn._xlws.FILTER('Input Data'!$AA$20:$AA$963,('Input Data'!$B$20:$B$963=Changes!B156)*('Input Data'!$C$20:$C$963=Changes!C156),0)</f>
        <v>0</v>
      </c>
      <c r="I156" s="313" cm="1">
        <f t="array" ref="I156">_xlfn._xlws.FILTER('[2]Input Data'!$AA$20:$AA$173,('[2]Input Data'!$B$20:$B$173=Changes!B156)*('[2]Input Data'!$C$20:$C$173=Changes!C156),0)</f>
        <v>0</v>
      </c>
      <c r="J156" s="346" t="str" cm="1">
        <f t="array" ref="J156">_xlfn._xlws.FILTER('Input Data'!$E$20:$E$963,('Input Data'!$B$20:$B$963=Changes!B156)*('Input Data'!$C$20:$C$963=Changes!C156),0)</f>
        <v>NULL</v>
      </c>
      <c r="K156" s="347" cm="1">
        <f t="array" ref="K156">_xlfn._xlws.FILTER('Input Data'!$L$20:$L$963,('Input Data'!$B$20:$B$963=Changes!B156)*('Input Data'!$C$20:$C$963=Changes!C156),0)</f>
        <v>45291</v>
      </c>
      <c r="L156" s="356" cm="1">
        <f t="array" ref="L156">_xlfn._xlws.FILTER('[2]Input Data'!$D$20:$D$173,('[2]Input Data'!$B$20:$B$173=Changes!B156)*('[2]Input Data'!$C$20:$C$173=Changes!C156),0)</f>
        <v>0</v>
      </c>
      <c r="M156" s="314">
        <f>IFERROR(INDEX('Input Data'!$P$10:$P$14,MATCH(DATEDIF($M$4,G156,"M"),'Input Data'!$O$10:$O$14,1)),0)</f>
        <v>0.4</v>
      </c>
      <c r="N156" s="227"/>
      <c r="O156" s="227">
        <f>INDEX('Input Data'!$P$10:$P$14,MATCH(DATEDIF($O$4,G156,"M"),'Input Data'!$O$10:$O$14,1))</f>
        <v>0.4</v>
      </c>
      <c r="P156" s="204">
        <f t="shared" si="16"/>
        <v>0</v>
      </c>
      <c r="R156" cm="1">
        <f t="array" ref="R156">_xlfn.LET(_xlpm.current,INDEX('Input Data'!$M$20:$M$963,MATCH(Changes!B156&amp;"_"&amp;Changes!C156,'Input Data'!$B$20:$B$963&amp;"_"&amp;'Input Data'!$C$20:$C$963,0)),_xlpm.prev,INDEX('[2]Input Data'!$L$20:$L$173,MATCH(B156&amp;"_"&amp;C156,'[2]Input Data'!$B$20:$B$173&amp;"_"&amp;'[2]Input Data'!$C$20:$C$173,0)),
IF(OR(ISNA(_xlpm.current),ISNA(_xlpm.prev)),0,_xlpm.current-_xlpm.prev))</f>
        <v>0</v>
      </c>
      <c r="S156" s="186" t="b">
        <f t="shared" si="18"/>
        <v>0</v>
      </c>
      <c r="T156" t="str" cm="1">
        <f t="array" ref="T156">IFERROR(_xlfn._xlws.FILTER('Input Data'!$N$20:$N$963,('Input Data'!$B$20:$B$963=Changes!B156)*('Input Data'!$C$20:$C$963=Changes!C156)),_xlfn._xlws.FILTER('[2]Input Data'!$M$20:$M$173,('[2]Input Data'!$B$20:$B$173=Changes!B156)*('[2]Input Data'!$C$20:$C$173=Changes!C156)))</f>
        <v>NULL</v>
      </c>
      <c r="V156" s="348"/>
      <c r="W156" s="227"/>
      <c r="X156" s="265" t="str">
        <v>BSAT 4A</v>
      </c>
      <c r="Y156" s="266">
        <v>2544859.32882442</v>
      </c>
      <c r="AB156" s="33"/>
      <c r="AC156" s="33"/>
    </row>
    <row r="157" spans="1:29" x14ac:dyDescent="0.35">
      <c r="A157">
        <f t="shared" si="17"/>
        <v>1</v>
      </c>
      <c r="B157" s="315">
        <v>301630</v>
      </c>
      <c r="C157" s="282">
        <v>388555</v>
      </c>
      <c r="D157" s="282" t="str">
        <v>NULL</v>
      </c>
      <c r="E157" s="282" t="str">
        <v>FUL</v>
      </c>
      <c r="F157" s="282" t="str">
        <v>NULL</v>
      </c>
      <c r="G157" s="283" cm="1">
        <f t="array" ref="G157">_xlfn.IFNA(INDEX('Input Data'!$M$20:$M$963,MATCH(Changes!B157&amp;"_"&amp;Changes!C157,'Input Data'!$B$20:$B$963&amp;"_"&amp;'Input Data'!$C$20:$C$963,0)),INDEX('[2]Input Data'!$L$20:$L$158,MATCH(B157&amp;"_"&amp;C157,'[2]Input Data'!$B$20:$B$158&amp;"_"&amp;'[2]Input Data'!$C$20:$C$158,0)))</f>
        <v>46386</v>
      </c>
      <c r="H157" s="313" cm="1">
        <f t="array" ref="H157">_xlfn._xlws.FILTER('Input Data'!$AA$20:$AA$963,('Input Data'!$B$20:$B$963=Changes!B157)*('Input Data'!$C$20:$C$963=Changes!C157),0)</f>
        <v>0</v>
      </c>
      <c r="I157" s="313" cm="1">
        <f t="array" ref="I157">_xlfn._xlws.FILTER('[2]Input Data'!$AA$20:$AA$173,('[2]Input Data'!$B$20:$B$173=Changes!B157)*('[2]Input Data'!$C$20:$C$173=Changes!C157),0)</f>
        <v>0</v>
      </c>
      <c r="J157" s="346" t="str" cm="1">
        <f t="array" ref="J157">_xlfn._xlws.FILTER('Input Data'!$E$20:$E$963,('Input Data'!$B$20:$B$963=Changes!B157)*('Input Data'!$C$20:$C$963=Changes!C157),0)</f>
        <v>NULL</v>
      </c>
      <c r="K157" s="347" cm="1">
        <f t="array" ref="K157">_xlfn._xlws.FILTER('Input Data'!$L$20:$L$963,('Input Data'!$B$20:$B$963=Changes!B157)*('Input Data'!$C$20:$C$963=Changes!C157),0)</f>
        <v>45291</v>
      </c>
      <c r="L157" s="356" cm="1">
        <f t="array" ref="L157">_xlfn._xlws.FILTER('[2]Input Data'!$D$20:$D$173,('[2]Input Data'!$B$20:$B$173=Changes!B157)*('[2]Input Data'!$C$20:$C$173=Changes!C157),0)</f>
        <v>0</v>
      </c>
      <c r="M157" s="314">
        <f>IFERROR(INDEX('Input Data'!$P$10:$P$14,MATCH(DATEDIF($M$4,G157,"M"),'Input Data'!$O$10:$O$14,1)),0)</f>
        <v>0.4</v>
      </c>
      <c r="N157" s="227"/>
      <c r="O157" s="227">
        <f>INDEX('Input Data'!$P$10:$P$14,MATCH(DATEDIF($O$4,G157,"M"),'Input Data'!$O$10:$O$14,1))</f>
        <v>0.4</v>
      </c>
      <c r="P157" s="204">
        <f t="shared" si="16"/>
        <v>0</v>
      </c>
      <c r="R157" cm="1">
        <f t="array" ref="R157">_xlfn.LET(_xlpm.current,INDEX('Input Data'!$M$20:$M$963,MATCH(Changes!B157&amp;"_"&amp;Changes!C157,'Input Data'!$B$20:$B$963&amp;"_"&amp;'Input Data'!$C$20:$C$963,0)),_xlpm.prev,INDEX('[2]Input Data'!$L$20:$L$173,MATCH(B157&amp;"_"&amp;C157,'[2]Input Data'!$B$20:$B$173&amp;"_"&amp;'[2]Input Data'!$C$20:$C$173,0)),
IF(OR(ISNA(_xlpm.current),ISNA(_xlpm.prev)),0,_xlpm.current-_xlpm.prev))</f>
        <v>0</v>
      </c>
      <c r="S157" s="186" t="b">
        <f t="shared" si="18"/>
        <v>0</v>
      </c>
      <c r="T157" t="str" cm="1">
        <f t="array" ref="T157">IFERROR(_xlfn._xlws.FILTER('Input Data'!$N$20:$N$963,('Input Data'!$B$20:$B$963=Changes!B157)*('Input Data'!$C$20:$C$963=Changes!C157)),_xlfn._xlws.FILTER('[2]Input Data'!$M$20:$M$173,('[2]Input Data'!$B$20:$B$173=Changes!B157)*('[2]Input Data'!$C$20:$C$173=Changes!C157)))</f>
        <v>NULL</v>
      </c>
      <c r="V157" s="348"/>
      <c r="W157" s="227"/>
      <c r="X157" s="265" t="str">
        <v>BSAT 4B</v>
      </c>
      <c r="Y157" s="266">
        <v>2939010.0213085599</v>
      </c>
      <c r="AB157" s="33"/>
      <c r="AC157" s="33"/>
    </row>
    <row r="158" spans="1:29" x14ac:dyDescent="0.35">
      <c r="A158">
        <f t="shared" si="17"/>
        <v>1</v>
      </c>
      <c r="B158" s="315">
        <v>301630</v>
      </c>
      <c r="C158" s="282">
        <v>388556</v>
      </c>
      <c r="D158" s="282" t="str">
        <v>NULL</v>
      </c>
      <c r="E158" s="282" t="str">
        <v>FUL</v>
      </c>
      <c r="F158" s="282" t="str">
        <v>NULL</v>
      </c>
      <c r="G158" s="283" cm="1">
        <f t="array" ref="G158">_xlfn.IFNA(INDEX('Input Data'!$M$20:$M$963,MATCH(Changes!B158&amp;"_"&amp;Changes!C158,'Input Data'!$B$20:$B$963&amp;"_"&amp;'Input Data'!$C$20:$C$963,0)),INDEX('[2]Input Data'!$L$20:$L$158,MATCH(B158&amp;"_"&amp;C158,'[2]Input Data'!$B$20:$B$158&amp;"_"&amp;'[2]Input Data'!$C$20:$C$158,0)))</f>
        <v>46386</v>
      </c>
      <c r="H158" s="313" cm="1">
        <f t="array" ref="H158">_xlfn._xlws.FILTER('Input Data'!$AA$20:$AA$963,('Input Data'!$B$20:$B$963=Changes!B158)*('Input Data'!$C$20:$C$963=Changes!C158),0)</f>
        <v>0</v>
      </c>
      <c r="I158" s="313" cm="1">
        <f t="array" ref="I158">_xlfn._xlws.FILTER('[2]Input Data'!$AA$20:$AA$173,('[2]Input Data'!$B$20:$B$173=Changes!B158)*('[2]Input Data'!$C$20:$C$173=Changes!C158),0)</f>
        <v>0</v>
      </c>
      <c r="J158" s="346" t="str" cm="1">
        <f t="array" ref="J158">_xlfn._xlws.FILTER('Input Data'!$E$20:$E$963,('Input Data'!$B$20:$B$963=Changes!B158)*('Input Data'!$C$20:$C$963=Changes!C158),0)</f>
        <v>NULL</v>
      </c>
      <c r="K158" s="347" cm="1">
        <f t="array" ref="K158">_xlfn._xlws.FILTER('Input Data'!$L$20:$L$963,('Input Data'!$B$20:$B$963=Changes!B158)*('Input Data'!$C$20:$C$963=Changes!C158),0)</f>
        <v>45291</v>
      </c>
      <c r="L158" s="356" cm="1">
        <f t="array" ref="L158">_xlfn._xlws.FILTER('[2]Input Data'!$D$20:$D$173,('[2]Input Data'!$B$20:$B$173=Changes!B158)*('[2]Input Data'!$C$20:$C$173=Changes!C158),0)</f>
        <v>0</v>
      </c>
      <c r="M158" s="314">
        <f>IFERROR(INDEX('Input Data'!$P$10:$P$14,MATCH(DATEDIF($M$4,G158,"M"),'Input Data'!$O$10:$O$14,1)),0)</f>
        <v>0.4</v>
      </c>
      <c r="N158" s="227"/>
      <c r="O158" s="227">
        <f>INDEX('Input Data'!$P$10:$P$14,MATCH(DATEDIF($O$4,G158,"M"),'Input Data'!$O$10:$O$14,1))</f>
        <v>0.4</v>
      </c>
      <c r="P158" s="204">
        <f t="shared" si="16"/>
        <v>0</v>
      </c>
      <c r="R158" cm="1">
        <f t="array" ref="R158">_xlfn.LET(_xlpm.current,INDEX('Input Data'!$M$20:$M$963,MATCH(Changes!B158&amp;"_"&amp;Changes!C158,'Input Data'!$B$20:$B$963&amp;"_"&amp;'Input Data'!$C$20:$C$963,0)),_xlpm.prev,INDEX('[2]Input Data'!$L$20:$L$173,MATCH(B158&amp;"_"&amp;C158,'[2]Input Data'!$B$20:$B$173&amp;"_"&amp;'[2]Input Data'!$C$20:$C$173,0)),
IF(OR(ISNA(_xlpm.current),ISNA(_xlpm.prev)),0,_xlpm.current-_xlpm.prev))</f>
        <v>0</v>
      </c>
      <c r="S158" s="186" t="b">
        <f t="shared" si="18"/>
        <v>0</v>
      </c>
      <c r="T158" t="str" cm="1">
        <f t="array" ref="T158">IFERROR(_xlfn._xlws.FILTER('Input Data'!$N$20:$N$963,('Input Data'!$B$20:$B$963=Changes!B158)*('Input Data'!$C$20:$C$963=Changes!C158)),_xlfn._xlws.FILTER('[2]Input Data'!$M$20:$M$173,('[2]Input Data'!$B$20:$B$173=Changes!B158)*('[2]Input Data'!$C$20:$C$173=Changes!C158)))</f>
        <v>NULL</v>
      </c>
      <c r="V158" s="348"/>
      <c r="W158" s="227"/>
      <c r="X158" s="265" t="str">
        <v>WORLDVIEW 1</v>
      </c>
      <c r="Y158" s="266">
        <v>4329895.6628866</v>
      </c>
      <c r="AB158" s="33"/>
      <c r="AC158" s="33"/>
    </row>
    <row r="159" spans="1:29" x14ac:dyDescent="0.35">
      <c r="A159">
        <f t="shared" si="17"/>
        <v>1</v>
      </c>
      <c r="B159" s="315">
        <v>301630</v>
      </c>
      <c r="C159" s="282">
        <v>388557</v>
      </c>
      <c r="D159" s="282" t="str">
        <v>NULL</v>
      </c>
      <c r="E159" s="282" t="str">
        <v>FUL</v>
      </c>
      <c r="F159" s="282" t="str">
        <v>NULL</v>
      </c>
      <c r="G159" s="283" cm="1">
        <f t="array" ref="G159">_xlfn.IFNA(INDEX('Input Data'!$M$20:$M$963,MATCH(Changes!B159&amp;"_"&amp;Changes!C159,'Input Data'!$B$20:$B$963&amp;"_"&amp;'Input Data'!$C$20:$C$963,0)),INDEX('[2]Input Data'!$L$20:$L$158,MATCH(B159&amp;"_"&amp;C159,'[2]Input Data'!$B$20:$B$158&amp;"_"&amp;'[2]Input Data'!$C$20:$C$158,0)))</f>
        <v>46386</v>
      </c>
      <c r="H159" s="313" cm="1">
        <f t="array" ref="H159">_xlfn._xlws.FILTER('Input Data'!$AA$20:$AA$963,('Input Data'!$B$20:$B$963=Changes!B159)*('Input Data'!$C$20:$C$963=Changes!C159),0)</f>
        <v>0</v>
      </c>
      <c r="I159" s="313" cm="1">
        <f t="array" ref="I159">_xlfn._xlws.FILTER('[2]Input Data'!$AA$20:$AA$173,('[2]Input Data'!$B$20:$B$173=Changes!B159)*('[2]Input Data'!$C$20:$C$173=Changes!C159),0)</f>
        <v>0</v>
      </c>
      <c r="J159" s="346" t="str" cm="1">
        <f t="array" ref="J159">_xlfn._xlws.FILTER('Input Data'!$E$20:$E$963,('Input Data'!$B$20:$B$963=Changes!B159)*('Input Data'!$C$20:$C$963=Changes!C159),0)</f>
        <v>NULL</v>
      </c>
      <c r="K159" s="347" cm="1">
        <f t="array" ref="K159">_xlfn._xlws.FILTER('Input Data'!$L$20:$L$963,('Input Data'!$B$20:$B$963=Changes!B159)*('Input Data'!$C$20:$C$963=Changes!C159),0)</f>
        <v>45291</v>
      </c>
      <c r="L159" s="356" cm="1">
        <f t="array" ref="L159">_xlfn._xlws.FILTER('[2]Input Data'!$D$20:$D$173,('[2]Input Data'!$B$20:$B$173=Changes!B159)*('[2]Input Data'!$C$20:$C$173=Changes!C159),0)</f>
        <v>0</v>
      </c>
      <c r="M159" s="314">
        <f>IFERROR(INDEX('Input Data'!$P$10:$P$14,MATCH(DATEDIF($M$4,G159,"M"),'Input Data'!$O$10:$O$14,1)),0)</f>
        <v>0.4</v>
      </c>
      <c r="N159" s="227"/>
      <c r="O159" s="227">
        <f>INDEX('Input Data'!$P$10:$P$14,MATCH(DATEDIF($O$4,G159,"M"),'Input Data'!$O$10:$O$14,1))</f>
        <v>0.4</v>
      </c>
      <c r="P159" s="204">
        <f t="shared" si="16"/>
        <v>0</v>
      </c>
      <c r="R159" cm="1">
        <f t="array" ref="R159">_xlfn.LET(_xlpm.current,INDEX('Input Data'!$M$20:$M$963,MATCH(Changes!B159&amp;"_"&amp;Changes!C159,'Input Data'!$B$20:$B$963&amp;"_"&amp;'Input Data'!$C$20:$C$963,0)),_xlpm.prev,INDEX('[2]Input Data'!$L$20:$L$173,MATCH(B159&amp;"_"&amp;C159,'[2]Input Data'!$B$20:$B$173&amp;"_"&amp;'[2]Input Data'!$C$20:$C$173,0)),
IF(OR(ISNA(_xlpm.current),ISNA(_xlpm.prev)),0,_xlpm.current-_xlpm.prev))</f>
        <v>0</v>
      </c>
      <c r="S159" s="186" t="b">
        <f t="shared" si="18"/>
        <v>0</v>
      </c>
      <c r="T159" t="str" cm="1">
        <f t="array" ref="T159">IFERROR(_xlfn._xlws.FILTER('Input Data'!$N$20:$N$963,('Input Data'!$B$20:$B$963=Changes!B159)*('Input Data'!$C$20:$C$963=Changes!C159)),_xlfn._xlws.FILTER('[2]Input Data'!$M$20:$M$173,('[2]Input Data'!$B$20:$B$173=Changes!B159)*('[2]Input Data'!$C$20:$C$173=Changes!C159)))</f>
        <v>NULL</v>
      </c>
      <c r="V159" s="348"/>
      <c r="W159" s="227"/>
      <c r="X159" s="265" t="str">
        <v>WORLDVIEW 3</v>
      </c>
      <c r="Y159" s="266">
        <v>7731957.5128865996</v>
      </c>
      <c r="AB159" s="33"/>
      <c r="AC159" s="33"/>
    </row>
    <row r="160" spans="1:29" x14ac:dyDescent="0.35">
      <c r="A160">
        <f t="shared" si="17"/>
        <v>1</v>
      </c>
      <c r="B160" s="315">
        <v>301630</v>
      </c>
      <c r="C160" s="282">
        <v>388558</v>
      </c>
      <c r="D160" s="282" t="str">
        <v>NULL</v>
      </c>
      <c r="E160" s="282" t="str">
        <v>FUL</v>
      </c>
      <c r="F160" s="282" t="str">
        <v>NULL</v>
      </c>
      <c r="G160" s="283" cm="1">
        <f t="array" ref="G160">_xlfn.IFNA(INDEX('Input Data'!$M$20:$M$963,MATCH(Changes!B160&amp;"_"&amp;Changes!C160,'Input Data'!$B$20:$B$963&amp;"_"&amp;'Input Data'!$C$20:$C$963,0)),INDEX('[2]Input Data'!$L$20:$L$158,MATCH(B160&amp;"_"&amp;C160,'[2]Input Data'!$B$20:$B$158&amp;"_"&amp;'[2]Input Data'!$C$20:$C$158,0)))</f>
        <v>46386</v>
      </c>
      <c r="H160" s="313" cm="1">
        <f t="array" ref="H160">_xlfn._xlws.FILTER('Input Data'!$AA$20:$AA$963,('Input Data'!$B$20:$B$963=Changes!B160)*('Input Data'!$C$20:$C$963=Changes!C160),0)</f>
        <v>0</v>
      </c>
      <c r="I160" s="313" cm="1">
        <f t="array" ref="I160">_xlfn._xlws.FILTER('[2]Input Data'!$AA$20:$AA$173,('[2]Input Data'!$B$20:$B$173=Changes!B160)*('[2]Input Data'!$C$20:$C$173=Changes!C160),0)</f>
        <v>0</v>
      </c>
      <c r="J160" s="346" t="str" cm="1">
        <f t="array" ref="J160">_xlfn._xlws.FILTER('Input Data'!$E$20:$E$963,('Input Data'!$B$20:$B$963=Changes!B160)*('Input Data'!$C$20:$C$963=Changes!C160),0)</f>
        <v>NULL</v>
      </c>
      <c r="K160" s="347" cm="1">
        <f t="array" ref="K160">_xlfn._xlws.FILTER('Input Data'!$L$20:$L$963,('Input Data'!$B$20:$B$963=Changes!B160)*('Input Data'!$C$20:$C$963=Changes!C160),0)</f>
        <v>45291</v>
      </c>
      <c r="L160" s="356" cm="1">
        <f t="array" ref="L160">_xlfn._xlws.FILTER('[2]Input Data'!$D$20:$D$173,('[2]Input Data'!$B$20:$B$173=Changes!B160)*('[2]Input Data'!$C$20:$C$173=Changes!C160),0)</f>
        <v>0</v>
      </c>
      <c r="M160" s="314">
        <f>IFERROR(INDEX('Input Data'!$P$10:$P$14,MATCH(DATEDIF($M$4,G160,"M"),'Input Data'!$O$10:$O$14,1)),0)</f>
        <v>0.4</v>
      </c>
      <c r="N160" s="227"/>
      <c r="O160" s="227">
        <f>INDEX('Input Data'!$P$10:$P$14,MATCH(DATEDIF($O$4,G160,"M"),'Input Data'!$O$10:$O$14,1))</f>
        <v>0.4</v>
      </c>
      <c r="P160" s="204">
        <f t="shared" si="16"/>
        <v>0</v>
      </c>
      <c r="R160" cm="1">
        <f t="array" ref="R160">_xlfn.LET(_xlpm.current,INDEX('Input Data'!$M$20:$M$963,MATCH(Changes!B160&amp;"_"&amp;Changes!C160,'Input Data'!$B$20:$B$963&amp;"_"&amp;'Input Data'!$C$20:$C$963,0)),_xlpm.prev,INDEX('[2]Input Data'!$L$20:$L$173,MATCH(B160&amp;"_"&amp;C160,'[2]Input Data'!$B$20:$B$173&amp;"_"&amp;'[2]Input Data'!$C$20:$C$173,0)),
IF(OR(ISNA(_xlpm.current),ISNA(_xlpm.prev)),0,_xlpm.current-_xlpm.prev))</f>
        <v>0</v>
      </c>
      <c r="S160" s="186" t="b">
        <f t="shared" si="18"/>
        <v>0</v>
      </c>
      <c r="T160" t="str" cm="1">
        <f t="array" ref="T160">IFERROR(_xlfn._xlws.FILTER('Input Data'!$N$20:$N$963,('Input Data'!$B$20:$B$963=Changes!B160)*('Input Data'!$C$20:$C$963=Changes!C160)),_xlfn._xlws.FILTER('[2]Input Data'!$M$20:$M$173,('[2]Input Data'!$B$20:$B$173=Changes!B160)*('[2]Input Data'!$C$20:$C$173=Changes!C160)))</f>
        <v>NULL</v>
      </c>
      <c r="V160" s="348"/>
      <c r="W160" s="227"/>
      <c r="X160" s="265" t="str">
        <v>WORLDVIEW 2</v>
      </c>
      <c r="Y160" s="266">
        <v>4329895.6628866</v>
      </c>
      <c r="AB160" s="33"/>
      <c r="AC160" s="33"/>
    </row>
    <row r="161" spans="1:29" x14ac:dyDescent="0.35">
      <c r="A161">
        <f t="shared" si="17"/>
        <v>1</v>
      </c>
      <c r="B161" s="315">
        <v>301630</v>
      </c>
      <c r="C161" s="282">
        <v>388559</v>
      </c>
      <c r="D161" s="282" t="str">
        <v>NULL</v>
      </c>
      <c r="E161" s="282" t="str">
        <v>FUL</v>
      </c>
      <c r="F161" s="282" t="str">
        <v>NULL</v>
      </c>
      <c r="G161" s="283" cm="1">
        <f t="array" ref="G161">_xlfn.IFNA(INDEX('Input Data'!$M$20:$M$963,MATCH(Changes!B161&amp;"_"&amp;Changes!C161,'Input Data'!$B$20:$B$963&amp;"_"&amp;'Input Data'!$C$20:$C$963,0)),INDEX('[2]Input Data'!$L$20:$L$158,MATCH(B161&amp;"_"&amp;C161,'[2]Input Data'!$B$20:$B$158&amp;"_"&amp;'[2]Input Data'!$C$20:$C$158,0)))</f>
        <v>46386</v>
      </c>
      <c r="H161" s="313" cm="1">
        <f t="array" ref="H161">_xlfn._xlws.FILTER('Input Data'!$AA$20:$AA$963,('Input Data'!$B$20:$B$963=Changes!B161)*('Input Data'!$C$20:$C$963=Changes!C161),0)</f>
        <v>0</v>
      </c>
      <c r="I161" s="313" cm="1">
        <f t="array" ref="I161">_xlfn._xlws.FILTER('[2]Input Data'!$AA$20:$AA$173,('[2]Input Data'!$B$20:$B$173=Changes!B161)*('[2]Input Data'!$C$20:$C$173=Changes!C161),0)</f>
        <v>0</v>
      </c>
      <c r="J161" s="346" t="str" cm="1">
        <f t="array" ref="J161">_xlfn._xlws.FILTER('Input Data'!$E$20:$E$963,('Input Data'!$B$20:$B$963=Changes!B161)*('Input Data'!$C$20:$C$963=Changes!C161),0)</f>
        <v>NULL</v>
      </c>
      <c r="K161" s="347" cm="1">
        <f t="array" ref="K161">_xlfn._xlws.FILTER('Input Data'!$L$20:$L$963,('Input Data'!$B$20:$B$963=Changes!B161)*('Input Data'!$C$20:$C$963=Changes!C161),0)</f>
        <v>45291</v>
      </c>
      <c r="L161" s="356" cm="1">
        <f t="array" ref="L161">_xlfn._xlws.FILTER('[2]Input Data'!$D$20:$D$173,('[2]Input Data'!$B$20:$B$173=Changes!B161)*('[2]Input Data'!$C$20:$C$173=Changes!C161),0)</f>
        <v>0</v>
      </c>
      <c r="M161" s="314">
        <f>IFERROR(INDEX('Input Data'!$P$10:$P$14,MATCH(DATEDIF($M$4,G161,"M"),'Input Data'!$O$10:$O$14,1)),0)</f>
        <v>0.4</v>
      </c>
      <c r="N161" s="227"/>
      <c r="O161" s="227">
        <f>INDEX('Input Data'!$P$10:$P$14,MATCH(DATEDIF($O$4,G161,"M"),'Input Data'!$O$10:$O$14,1))</f>
        <v>0.4</v>
      </c>
      <c r="P161" s="204">
        <f t="shared" si="16"/>
        <v>0</v>
      </c>
      <c r="R161" cm="1">
        <f t="array" ref="R161">_xlfn.LET(_xlpm.current,INDEX('Input Data'!$M$20:$M$963,MATCH(Changes!B161&amp;"_"&amp;Changes!C161,'Input Data'!$B$20:$B$963&amp;"_"&amp;'Input Data'!$C$20:$C$963,0)),_xlpm.prev,INDEX('[2]Input Data'!$L$20:$L$173,MATCH(B161&amp;"_"&amp;C161,'[2]Input Data'!$B$20:$B$173&amp;"_"&amp;'[2]Input Data'!$C$20:$C$173,0)),
IF(OR(ISNA(_xlpm.current),ISNA(_xlpm.prev)),0,_xlpm.current-_xlpm.prev))</f>
        <v>0</v>
      </c>
      <c r="S161" s="186" t="b">
        <f t="shared" si="18"/>
        <v>0</v>
      </c>
      <c r="T161" t="str" cm="1">
        <f t="array" ref="T161">IFERROR(_xlfn._xlws.FILTER('Input Data'!$N$20:$N$963,('Input Data'!$B$20:$B$963=Changes!B161)*('Input Data'!$C$20:$C$963=Changes!C161)),_xlfn._xlws.FILTER('[2]Input Data'!$M$20:$M$173,('[2]Input Data'!$B$20:$B$173=Changes!B161)*('[2]Input Data'!$C$20:$C$173=Changes!C161)))</f>
        <v>NULL</v>
      </c>
      <c r="V161" s="348"/>
      <c r="W161" s="227"/>
      <c r="X161" s="265" t="str">
        <v>VIASAT-3 F2</v>
      </c>
      <c r="Y161" s="266">
        <v>18556701</v>
      </c>
      <c r="AB161" s="33"/>
      <c r="AC161" s="33"/>
    </row>
    <row r="162" spans="1:29" x14ac:dyDescent="0.35">
      <c r="A162">
        <f t="shared" si="17"/>
        <v>1</v>
      </c>
      <c r="B162" s="315">
        <v>301630</v>
      </c>
      <c r="C162" s="282">
        <v>388560</v>
      </c>
      <c r="D162" s="282" t="str">
        <v>NULL</v>
      </c>
      <c r="E162" s="282" t="str">
        <v>FUL</v>
      </c>
      <c r="F162" s="282" t="str">
        <v>NULL</v>
      </c>
      <c r="G162" s="283" cm="1">
        <f t="array" ref="G162">_xlfn.IFNA(INDEX('Input Data'!$M$20:$M$963,MATCH(Changes!B162&amp;"_"&amp;Changes!C162,'Input Data'!$B$20:$B$963&amp;"_"&amp;'Input Data'!$C$20:$C$963,0)),INDEX('[2]Input Data'!$L$20:$L$158,MATCH(B162&amp;"_"&amp;C162,'[2]Input Data'!$B$20:$B$158&amp;"_"&amp;'[2]Input Data'!$C$20:$C$158,0)))</f>
        <v>46386</v>
      </c>
      <c r="H162" s="313" cm="1">
        <f t="array" ref="H162">_xlfn._xlws.FILTER('Input Data'!$AA$20:$AA$963,('Input Data'!$B$20:$B$963=Changes!B162)*('Input Data'!$C$20:$C$963=Changes!C162),0)</f>
        <v>0</v>
      </c>
      <c r="I162" s="313" cm="1">
        <f t="array" ref="I162">_xlfn._xlws.FILTER('[2]Input Data'!$AA$20:$AA$173,('[2]Input Data'!$B$20:$B$173=Changes!B162)*('[2]Input Data'!$C$20:$C$173=Changes!C162),0)</f>
        <v>0</v>
      </c>
      <c r="J162" s="346" t="str" cm="1">
        <f t="array" ref="J162">_xlfn._xlws.FILTER('Input Data'!$E$20:$E$963,('Input Data'!$B$20:$B$963=Changes!B162)*('Input Data'!$C$20:$C$963=Changes!C162),0)</f>
        <v>NULL</v>
      </c>
      <c r="K162" s="347" cm="1">
        <f t="array" ref="K162">_xlfn._xlws.FILTER('Input Data'!$L$20:$L$963,('Input Data'!$B$20:$B$963=Changes!B162)*('Input Data'!$C$20:$C$963=Changes!C162),0)</f>
        <v>45291</v>
      </c>
      <c r="L162" s="356" cm="1">
        <f t="array" ref="L162">_xlfn._xlws.FILTER('[2]Input Data'!$D$20:$D$173,('[2]Input Data'!$B$20:$B$173=Changes!B162)*('[2]Input Data'!$C$20:$C$173=Changes!C162),0)</f>
        <v>0</v>
      </c>
      <c r="M162" s="314">
        <f>IFERROR(INDEX('Input Data'!$P$10:$P$14,MATCH(DATEDIF($M$4,G162,"M"),'Input Data'!$O$10:$O$14,1)),0)</f>
        <v>0.4</v>
      </c>
      <c r="N162" s="227"/>
      <c r="O162" s="227">
        <f>INDEX('Input Data'!$P$10:$P$14,MATCH(DATEDIF($O$4,G162,"M"),'Input Data'!$O$10:$O$14,1))</f>
        <v>0.4</v>
      </c>
      <c r="P162" s="204">
        <f t="shared" si="16"/>
        <v>0</v>
      </c>
      <c r="R162" cm="1">
        <f t="array" ref="R162">_xlfn.LET(_xlpm.current,INDEX('Input Data'!$M$20:$M$963,MATCH(Changes!B162&amp;"_"&amp;Changes!C162,'Input Data'!$B$20:$B$963&amp;"_"&amp;'Input Data'!$C$20:$C$963,0)),_xlpm.prev,INDEX('[2]Input Data'!$L$20:$L$173,MATCH(B162&amp;"_"&amp;C162,'[2]Input Data'!$B$20:$B$173&amp;"_"&amp;'[2]Input Data'!$C$20:$C$173,0)),
IF(OR(ISNA(_xlpm.current),ISNA(_xlpm.prev)),0,_xlpm.current-_xlpm.prev))</f>
        <v>0</v>
      </c>
      <c r="S162" s="186" t="b">
        <f t="shared" si="18"/>
        <v>0</v>
      </c>
      <c r="T162" t="str" cm="1">
        <f t="array" ref="T162">IFERROR(_xlfn._xlws.FILTER('Input Data'!$N$20:$N$963,('Input Data'!$B$20:$B$963=Changes!B162)*('Input Data'!$C$20:$C$963=Changes!C162)),_xlfn._xlws.FILTER('[2]Input Data'!$M$20:$M$173,('[2]Input Data'!$B$20:$B$173=Changes!B162)*('[2]Input Data'!$C$20:$C$173=Changes!C162)))</f>
        <v>NULL</v>
      </c>
      <c r="V162" s="348"/>
      <c r="W162" s="227"/>
      <c r="X162" s="265" t="str">
        <v>ES'HAIL 2</v>
      </c>
      <c r="Y162" s="266">
        <v>9896912.1484535802</v>
      </c>
      <c r="AB162" s="33"/>
      <c r="AC162" s="33"/>
    </row>
    <row r="163" spans="1:29" x14ac:dyDescent="0.35">
      <c r="A163">
        <f t="shared" si="17"/>
        <v>1</v>
      </c>
      <c r="B163" s="315">
        <v>301630</v>
      </c>
      <c r="C163" s="282">
        <v>388561</v>
      </c>
      <c r="D163" s="282" t="str">
        <v>NULL</v>
      </c>
      <c r="E163" s="282" t="str">
        <v>FUL</v>
      </c>
      <c r="F163" s="282" t="str">
        <v>NULL</v>
      </c>
      <c r="G163" s="283" cm="1">
        <f t="array" ref="G163">_xlfn.IFNA(INDEX('Input Data'!$M$20:$M$963,MATCH(Changes!B163&amp;"_"&amp;Changes!C163,'Input Data'!$B$20:$B$963&amp;"_"&amp;'Input Data'!$C$20:$C$963,0)),INDEX('[2]Input Data'!$L$20:$L$158,MATCH(B163&amp;"_"&amp;C163,'[2]Input Data'!$B$20:$B$158&amp;"_"&amp;'[2]Input Data'!$C$20:$C$158,0)))</f>
        <v>46386</v>
      </c>
      <c r="H163" s="313" cm="1">
        <f t="array" ref="H163">_xlfn._xlws.FILTER('Input Data'!$AA$20:$AA$963,('Input Data'!$B$20:$B$963=Changes!B163)*('Input Data'!$C$20:$C$963=Changes!C163),0)</f>
        <v>0</v>
      </c>
      <c r="I163" s="313" cm="1">
        <f t="array" ref="I163">_xlfn._xlws.FILTER('[2]Input Data'!$AA$20:$AA$173,('[2]Input Data'!$B$20:$B$173=Changes!B163)*('[2]Input Data'!$C$20:$C$173=Changes!C163),0)</f>
        <v>0</v>
      </c>
      <c r="J163" s="346" t="str" cm="1">
        <f t="array" ref="J163">_xlfn._xlws.FILTER('Input Data'!$E$20:$E$963,('Input Data'!$B$20:$B$963=Changes!B163)*('Input Data'!$C$20:$C$963=Changes!C163),0)</f>
        <v>NULL</v>
      </c>
      <c r="K163" s="347" cm="1">
        <f t="array" ref="K163">_xlfn._xlws.FILTER('Input Data'!$L$20:$L$963,('Input Data'!$B$20:$B$963=Changes!B163)*('Input Data'!$C$20:$C$963=Changes!C163),0)</f>
        <v>45291</v>
      </c>
      <c r="L163" s="356" cm="1">
        <f t="array" ref="L163">_xlfn._xlws.FILTER('[2]Input Data'!$D$20:$D$173,('[2]Input Data'!$B$20:$B$173=Changes!B163)*('[2]Input Data'!$C$20:$C$173=Changes!C163),0)</f>
        <v>0</v>
      </c>
      <c r="M163" s="314">
        <f>IFERROR(INDEX('Input Data'!$P$10:$P$14,MATCH(DATEDIF($M$4,G163,"M"),'Input Data'!$O$10:$O$14,1)),0)</f>
        <v>0.4</v>
      </c>
      <c r="N163" s="227"/>
      <c r="O163" s="227">
        <f>INDEX('Input Data'!$P$10:$P$14,MATCH(DATEDIF($O$4,G163,"M"),'Input Data'!$O$10:$O$14,1))</f>
        <v>0.4</v>
      </c>
      <c r="P163" s="204">
        <f t="shared" si="16"/>
        <v>0</v>
      </c>
      <c r="R163" cm="1">
        <f t="array" ref="R163">_xlfn.LET(_xlpm.current,INDEX('Input Data'!$M$20:$M$963,MATCH(Changes!B163&amp;"_"&amp;Changes!C163,'Input Data'!$B$20:$B$963&amp;"_"&amp;'Input Data'!$C$20:$C$963,0)),_xlpm.prev,INDEX('[2]Input Data'!$L$20:$L$173,MATCH(B163&amp;"_"&amp;C163,'[2]Input Data'!$B$20:$B$173&amp;"_"&amp;'[2]Input Data'!$C$20:$C$173,0)),
IF(OR(ISNA(_xlpm.current),ISNA(_xlpm.prev)),0,_xlpm.current-_xlpm.prev))</f>
        <v>0</v>
      </c>
      <c r="S163" s="186" t="b">
        <f t="shared" ref="S163" si="19">O163&gt;M163</f>
        <v>0</v>
      </c>
      <c r="T163" t="str" cm="1">
        <f t="array" ref="T163">IFERROR(_xlfn._xlws.FILTER('Input Data'!$N$20:$N$963,('Input Data'!$B$20:$B$963=Changes!B163)*('Input Data'!$C$20:$C$963=Changes!C163)),_xlfn._xlws.FILTER('[2]Input Data'!$M$20:$M$173,('[2]Input Data'!$B$20:$B$173=Changes!B163)*('[2]Input Data'!$C$20:$C$173=Changes!C163)))</f>
        <v>NULL</v>
      </c>
      <c r="V163" s="348"/>
      <c r="W163" s="227"/>
      <c r="X163" s="265" t="str">
        <v>ES'HAIL 1</v>
      </c>
      <c r="Y163" s="266">
        <v>13360819.771546399</v>
      </c>
      <c r="AB163" s="33"/>
      <c r="AC163" s="33"/>
    </row>
    <row r="164" spans="1:29" x14ac:dyDescent="0.35">
      <c r="A164">
        <f t="shared" si="17"/>
        <v>1</v>
      </c>
      <c r="B164" s="315">
        <v>301630</v>
      </c>
      <c r="C164" s="282">
        <v>388562</v>
      </c>
      <c r="D164" s="282" t="str">
        <v>NULL</v>
      </c>
      <c r="E164" s="282" t="str">
        <v>FUL</v>
      </c>
      <c r="F164" s="282" t="str">
        <v>NULL</v>
      </c>
      <c r="G164" s="283" cm="1">
        <f t="array" ref="G164">_xlfn.IFNA(INDEX('Input Data'!$M$20:$M$963,MATCH(Changes!B164&amp;"_"&amp;Changes!C164,'Input Data'!$B$20:$B$963&amp;"_"&amp;'Input Data'!$C$20:$C$963,0)),INDEX('[2]Input Data'!$L$20:$L$158,MATCH(B164&amp;"_"&amp;C164,'[2]Input Data'!$B$20:$B$158&amp;"_"&amp;'[2]Input Data'!$C$20:$C$158,0)))</f>
        <v>46386</v>
      </c>
      <c r="H164" s="313" cm="1">
        <f t="array" ref="H164">_xlfn._xlws.FILTER('Input Data'!$AA$20:$AA$963,('Input Data'!$B$20:$B$963=Changes!B164)*('Input Data'!$C$20:$C$963=Changes!C164),0)</f>
        <v>0</v>
      </c>
      <c r="I164" s="313" cm="1">
        <f t="array" ref="I164">_xlfn._xlws.FILTER('[2]Input Data'!$AA$20:$AA$173,('[2]Input Data'!$B$20:$B$173=Changes!B164)*('[2]Input Data'!$C$20:$C$173=Changes!C164),0)</f>
        <v>0</v>
      </c>
      <c r="J164" s="346" t="str" cm="1">
        <f t="array" ref="J164">_xlfn._xlws.FILTER('Input Data'!$E$20:$E$963,('Input Data'!$B$20:$B$963=Changes!B164)*('Input Data'!$C$20:$C$963=Changes!C164),0)</f>
        <v>NULL</v>
      </c>
      <c r="K164" s="347" cm="1">
        <f t="array" ref="K164">_xlfn._xlws.FILTER('Input Data'!$L$20:$L$963,('Input Data'!$B$20:$B$963=Changes!B164)*('Input Data'!$C$20:$C$963=Changes!C164),0)</f>
        <v>45291</v>
      </c>
      <c r="L164" s="356" cm="1">
        <f t="array" ref="L164">_xlfn._xlws.FILTER('[2]Input Data'!$D$20:$D$173,('[2]Input Data'!$B$20:$B$173=Changes!B164)*('[2]Input Data'!$C$20:$C$173=Changes!C164),0)</f>
        <v>0</v>
      </c>
      <c r="M164" s="314">
        <f>IFERROR(INDEX('Input Data'!$P$10:$P$14,MATCH(DATEDIF($M$4,G164,"M"),'Input Data'!$O$10:$O$14,1)),0)</f>
        <v>0.4</v>
      </c>
      <c r="N164" s="227"/>
      <c r="O164" s="227">
        <f>INDEX('Input Data'!$P$10:$P$14,MATCH(DATEDIF($O$4,G164,"M"),'Input Data'!$O$10:$O$14,1))</f>
        <v>0.4</v>
      </c>
      <c r="P164" s="204">
        <f t="shared" si="16"/>
        <v>0</v>
      </c>
      <c r="R164" cm="1">
        <f t="array" ref="R164">_xlfn.LET(_xlpm.current,INDEX('Input Data'!$M$20:$M$963,MATCH(Changes!B164&amp;"_"&amp;Changes!C164,'Input Data'!$B$20:$B$963&amp;"_"&amp;'Input Data'!$C$20:$C$963,0)),_xlpm.prev,INDEX('[2]Input Data'!$L$20:$L$173,MATCH(B164&amp;"_"&amp;C164,'[2]Input Data'!$B$20:$B$173&amp;"_"&amp;'[2]Input Data'!$C$20:$C$173,0)),
IF(OR(ISNA(_xlpm.current),ISNA(_xlpm.prev)),0,_xlpm.current-_xlpm.prev))</f>
        <v>0</v>
      </c>
      <c r="S164" s="186" t="b">
        <f t="shared" si="18"/>
        <v>0</v>
      </c>
      <c r="T164" t="str" cm="1">
        <f t="array" ref="T164">IFERROR(_xlfn._xlws.FILTER('Input Data'!$N$20:$N$963,('Input Data'!$B$20:$B$963=Changes!B164)*('Input Data'!$C$20:$C$963=Changes!C164)),_xlfn._xlws.FILTER('[2]Input Data'!$M$20:$M$173,('[2]Input Data'!$B$20:$B$173=Changes!B164)*('[2]Input Data'!$C$20:$C$173=Changes!C164)))</f>
        <v>NULL</v>
      </c>
      <c r="V164" s="348"/>
      <c r="W164" s="227"/>
      <c r="X164" s="265" t="str">
        <v>KOMPSAT 7</v>
      </c>
      <c r="Y164" s="266">
        <v>2003355.3188081901</v>
      </c>
      <c r="AB164" s="33"/>
      <c r="AC164" s="33"/>
    </row>
    <row r="165" spans="1:29" x14ac:dyDescent="0.35">
      <c r="A165">
        <f t="shared" si="17"/>
        <v>1</v>
      </c>
      <c r="B165" s="315">
        <v>333725</v>
      </c>
      <c r="C165" s="282">
        <v>444258</v>
      </c>
      <c r="D165" s="282" t="str">
        <v>NULL</v>
      </c>
      <c r="E165" s="282" t="str">
        <v>FUL</v>
      </c>
      <c r="F165" s="282" t="str">
        <v>NULL</v>
      </c>
      <c r="G165" s="283" cm="1">
        <f t="array" ref="G165">_xlfn.IFNA(INDEX('Input Data'!$M$20:$M$963,MATCH(Changes!B165&amp;"_"&amp;Changes!C165,'Input Data'!$B$20:$B$963&amp;"_"&amp;'Input Data'!$C$20:$C$963,0)),INDEX('[2]Input Data'!$L$20:$L$158,MATCH(B165&amp;"_"&amp;C165,'[2]Input Data'!$B$20:$B$158&amp;"_"&amp;'[2]Input Data'!$C$20:$C$158,0)))</f>
        <v>46387</v>
      </c>
      <c r="H165" s="313" cm="1">
        <f t="array" ref="H165">_xlfn._xlws.FILTER('Input Data'!$AA$20:$AA$963,('Input Data'!$B$20:$B$963=Changes!B165)*('Input Data'!$C$20:$C$963=Changes!C165),0)</f>
        <v>0</v>
      </c>
      <c r="I165" s="313" cm="1">
        <f t="array" ref="I165">_xlfn._xlws.FILTER('[2]Input Data'!$AA$20:$AA$173,('[2]Input Data'!$B$20:$B$173=Changes!B165)*('[2]Input Data'!$C$20:$C$173=Changes!C165),0)</f>
        <v>0</v>
      </c>
      <c r="J165" s="346" t="str" cm="1">
        <f t="array" ref="J165">_xlfn._xlws.FILTER('Input Data'!$E$20:$E$963,('Input Data'!$B$20:$B$963=Changes!B165)*('Input Data'!$C$20:$C$963=Changes!C165),0)</f>
        <v>NULL</v>
      </c>
      <c r="K165" s="347" cm="1">
        <f t="array" ref="K165">_xlfn._xlws.FILTER('Input Data'!$L$20:$L$963,('Input Data'!$B$20:$B$963=Changes!B165)*('Input Data'!$C$20:$C$963=Changes!C165),0)</f>
        <v>46023</v>
      </c>
      <c r="L165" s="356" cm="1">
        <f t="array" ref="L165">_xlfn._xlws.FILTER('[2]Input Data'!$D$20:$D$173,('[2]Input Data'!$B$20:$B$173=Changes!B165)*('[2]Input Data'!$C$20:$C$173=Changes!C165),0)</f>
        <v>0</v>
      </c>
      <c r="M165" s="314">
        <f>IFERROR(INDEX('Input Data'!$P$10:$P$14,MATCH(DATEDIF($M$4,G165,"M"),'Input Data'!$O$10:$O$14,1)),0)</f>
        <v>0.4</v>
      </c>
      <c r="N165" s="227"/>
      <c r="O165" s="227">
        <f>INDEX('Input Data'!$P$10:$P$14,MATCH(DATEDIF($O$4,G165,"M"),'Input Data'!$O$10:$O$14,1))</f>
        <v>0.4</v>
      </c>
      <c r="P165" s="204">
        <f t="shared" si="16"/>
        <v>0</v>
      </c>
      <c r="R165" cm="1">
        <f t="array" ref="R165">_xlfn.LET(_xlpm.current,INDEX('Input Data'!$M$20:$M$963,MATCH(Changes!B165&amp;"_"&amp;Changes!C165,'Input Data'!$B$20:$B$963&amp;"_"&amp;'Input Data'!$C$20:$C$963,0)),_xlpm.prev,INDEX('[2]Input Data'!$L$20:$L$173,MATCH(B165&amp;"_"&amp;C165,'[2]Input Data'!$B$20:$B$173&amp;"_"&amp;'[2]Input Data'!$C$20:$C$173,0)),
IF(OR(ISNA(_xlpm.current),ISNA(_xlpm.prev)),0,_xlpm.current-_xlpm.prev))</f>
        <v>0</v>
      </c>
      <c r="S165" s="186" t="b">
        <f t="shared" si="18"/>
        <v>0</v>
      </c>
      <c r="T165" t="str" cm="1">
        <f t="array" ref="T165">IFERROR(_xlfn._xlws.FILTER('Input Data'!$N$20:$N$963,('Input Data'!$B$20:$B$963=Changes!B165)*('Input Data'!$C$20:$C$963=Changes!C165)),_xlfn._xlws.FILTER('[2]Input Data'!$M$20:$M$173,('[2]Input Data'!$B$20:$B$173=Changes!B165)*('[2]Input Data'!$C$20:$C$173=Changes!C165)))</f>
        <v>NULL</v>
      </c>
      <c r="V165" s="348"/>
      <c r="W165" s="227"/>
      <c r="X165" s="265" t="str">
        <v>TIBA 1 (NAVISAT 12A)</v>
      </c>
      <c r="Y165" s="266">
        <v>21459222.698865999</v>
      </c>
      <c r="AB165" s="33"/>
      <c r="AC165" s="33"/>
    </row>
    <row r="166" spans="1:29" x14ac:dyDescent="0.35">
      <c r="A166">
        <f t="shared" si="17"/>
        <v>1</v>
      </c>
      <c r="B166" s="315">
        <v>366569</v>
      </c>
      <c r="C166" s="282">
        <v>505191</v>
      </c>
      <c r="D166" s="282" t="str">
        <v>ALSAT 3A (AERJILIYA YAOGAN-3A)</v>
      </c>
      <c r="E166" s="282" t="str">
        <v>FIBL</v>
      </c>
      <c r="F166" s="282" t="str">
        <v>LEO</v>
      </c>
      <c r="G166" s="283" cm="1">
        <f t="array" ref="G166">_xlfn.IFNA(INDEX('Input Data'!$M$20:$M$963,MATCH(Changes!B166&amp;"_"&amp;Changes!C166,'Input Data'!$B$20:$B$963&amp;"_"&amp;'Input Data'!$C$20:$C$963,0)),INDEX('[2]Input Data'!$L$20:$L$158,MATCH(B166&amp;"_"&amp;C166,'[2]Input Data'!$B$20:$B$158&amp;"_"&amp;'[2]Input Data'!$C$20:$C$158,0)))</f>
        <v>46402</v>
      </c>
      <c r="H166" s="313" cm="1">
        <f t="array" ref="H166">_xlfn._xlws.FILTER('Input Data'!$AA$20:$AA$963,('Input Data'!$B$20:$B$963=Changes!B166)*('Input Data'!$C$20:$C$963=Changes!C166),0)</f>
        <v>4999968</v>
      </c>
      <c r="I166" s="313" cm="1">
        <f t="array" ref="I166">_xlfn._xlws.FILTER('[2]Input Data'!$AA$20:$AA$173,('[2]Input Data'!$B$20:$B$173=Changes!B166)*('[2]Input Data'!$C$20:$C$173=Changes!C166),0)</f>
        <v>0</v>
      </c>
      <c r="J166" s="346" t="str" cm="1">
        <f t="array" ref="J166">_xlfn._xlws.FILTER('Input Data'!$E$20:$E$963,('Input Data'!$B$20:$B$963=Changes!B166)*('Input Data'!$C$20:$C$963=Changes!C166),0)</f>
        <v>L + 12 Months</v>
      </c>
      <c r="K166" s="347" cm="1">
        <f t="array" ref="K166">_xlfn._xlws.FILTER('Input Data'!$L$20:$L$963,('Input Data'!$B$20:$B$963=Changes!B166)*('Input Data'!$C$20:$C$963=Changes!C166),0)</f>
        <v>46037</v>
      </c>
      <c r="L166" s="356" cm="1">
        <f t="array" ref="L166">_xlfn._xlws.FILTER('[2]Input Data'!$D$20:$D$173,('[2]Input Data'!$B$20:$B$173=Changes!B166)*('[2]Input Data'!$C$20:$C$173=Changes!C166),0)</f>
        <v>0</v>
      </c>
      <c r="M166" s="314">
        <f>IFERROR(INDEX('Input Data'!$P$10:$P$14,MATCH(DATEDIF($M$4,G166,"M"),'Input Data'!$O$10:$O$14,1)),0)</f>
        <v>0.4</v>
      </c>
      <c r="N166" s="227"/>
      <c r="O166" s="227">
        <f>INDEX('Input Data'!$P$10:$P$14,MATCH(DATEDIF($O$4,G166,"M"),'Input Data'!$O$10:$O$14,1))</f>
        <v>0.6</v>
      </c>
      <c r="P166" s="204">
        <f t="shared" si="16"/>
        <v>4999968</v>
      </c>
      <c r="Q166" s="339" t="s">
        <v>358</v>
      </c>
      <c r="R166" cm="1">
        <f t="array" ref="R166">_xlfn.LET(_xlpm.current,INDEX('Input Data'!$M$20:$M$963,MATCH(Changes!B166&amp;"_"&amp;Changes!C166,'Input Data'!$B$20:$B$963&amp;"_"&amp;'Input Data'!$C$20:$C$963,0)),_xlpm.prev,INDEX('[2]Input Data'!$L$20:$L$173,MATCH(B166&amp;"_"&amp;C166,'[2]Input Data'!$B$20:$B$173&amp;"_"&amp;'[2]Input Data'!$C$20:$C$173,0)),
IF(OR(ISNA(_xlpm.current),ISNA(_xlpm.prev)),0,_xlpm.current-_xlpm.prev))</f>
        <v>0</v>
      </c>
      <c r="S166" s="186" t="b">
        <f t="shared" si="18"/>
        <v>1</v>
      </c>
      <c r="T166" t="str" cm="1">
        <f t="array" ref="T166">IFERROR(_xlfn._xlws.FILTER('Input Data'!$N$20:$N$963,('Input Data'!$B$20:$B$963=Changes!B166)*('Input Data'!$C$20:$C$963=Changes!C166)),_xlfn._xlws.FILTER('[2]Input Data'!$M$20:$M$173,('[2]Input Data'!$B$20:$B$173=Changes!B166)*('[2]Input Data'!$C$20:$C$173=Changes!C166)))</f>
        <v>CAST - Chinese Academy of Space Technology</v>
      </c>
      <c r="V166" s="348" t="s">
        <v>593</v>
      </c>
      <c r="W166" s="227"/>
      <c r="X166" s="265" t="str">
        <v>MEASAT 3A (1R)</v>
      </c>
      <c r="Y166" s="266">
        <v>989690.72</v>
      </c>
      <c r="AB166" s="33"/>
      <c r="AC166" s="33"/>
    </row>
    <row r="167" spans="1:29" x14ac:dyDescent="0.35">
      <c r="A167">
        <f t="shared" si="17"/>
        <v>1</v>
      </c>
      <c r="B167" s="315">
        <v>366569</v>
      </c>
      <c r="C167" s="282">
        <v>505195</v>
      </c>
      <c r="D167" s="282" t="str">
        <v>ALSAT 3B (AERJILIYA YAOGAN-3B)</v>
      </c>
      <c r="E167" s="282" t="str">
        <v>FIBL</v>
      </c>
      <c r="F167" s="282" t="str">
        <v>LEO</v>
      </c>
      <c r="G167" s="283" cm="1">
        <f t="array" ref="G167">_xlfn.IFNA(INDEX('Input Data'!$M$20:$M$963,MATCH(Changes!B167&amp;"_"&amp;Changes!C167,'Input Data'!$B$20:$B$963&amp;"_"&amp;'Input Data'!$C$20:$C$963,0)),INDEX('[2]Input Data'!$L$20:$L$158,MATCH(B167&amp;"_"&amp;C167,'[2]Input Data'!$B$20:$B$158&amp;"_"&amp;'[2]Input Data'!$C$20:$C$158,0)))</f>
        <v>46418</v>
      </c>
      <c r="H167" s="313" cm="1">
        <f t="array" ref="H167">_xlfn._xlws.FILTER('Input Data'!$AA$20:$AA$963,('Input Data'!$B$20:$B$963=Changes!B167)*('Input Data'!$C$20:$C$963=Changes!C167),0)</f>
        <v>4999956</v>
      </c>
      <c r="I167" s="313" cm="1">
        <f t="array" ref="I167">_xlfn._xlws.FILTER('[2]Input Data'!$AA$20:$AA$173,('[2]Input Data'!$B$20:$B$173=Changes!B167)*('[2]Input Data'!$C$20:$C$173=Changes!C167),0)</f>
        <v>0</v>
      </c>
      <c r="J167" s="346" t="str" cm="1">
        <f t="array" ref="J167">_xlfn._xlws.FILTER('Input Data'!$E$20:$E$963,('Input Data'!$B$20:$B$963=Changes!B167)*('Input Data'!$C$20:$C$963=Changes!C167),0)</f>
        <v>L + 12 Months</v>
      </c>
      <c r="K167" s="347" cm="1">
        <f t="array" ref="K167">_xlfn._xlws.FILTER('Input Data'!$L$20:$L$963,('Input Data'!$B$20:$B$963=Changes!B167)*('Input Data'!$C$20:$C$963=Changes!C167),0)</f>
        <v>46053</v>
      </c>
      <c r="L167" s="356" cm="1">
        <f t="array" ref="L167">_xlfn._xlws.FILTER('[2]Input Data'!$D$20:$D$173,('[2]Input Data'!$B$20:$B$173=Changes!B167)*('[2]Input Data'!$C$20:$C$173=Changes!C167),0)</f>
        <v>0</v>
      </c>
      <c r="M167" s="314">
        <f>IFERROR(INDEX('Input Data'!$P$10:$P$14,MATCH(DATEDIF($M$4,G167,"M"),'Input Data'!$O$10:$O$14,1)),0)</f>
        <v>0.4</v>
      </c>
      <c r="N167" s="227"/>
      <c r="O167" s="227">
        <f>INDEX('Input Data'!$P$10:$P$14,MATCH(DATEDIF($O$4,G167,"M"),'Input Data'!$O$10:$O$14,1))</f>
        <v>0.6</v>
      </c>
      <c r="P167" s="204">
        <f t="shared" si="16"/>
        <v>4999956</v>
      </c>
      <c r="Q167" s="339" t="s">
        <v>358</v>
      </c>
      <c r="R167" cm="1">
        <f t="array" ref="R167">_xlfn.LET(_xlpm.current,INDEX('Input Data'!$M$20:$M$963,MATCH(Changes!B167&amp;"_"&amp;Changes!C167,'Input Data'!$B$20:$B$963&amp;"_"&amp;'Input Data'!$C$20:$C$963,0)),_xlpm.prev,INDEX('[2]Input Data'!$L$20:$L$173,MATCH(B167&amp;"_"&amp;C167,'[2]Input Data'!$B$20:$B$173&amp;"_"&amp;'[2]Input Data'!$C$20:$C$173,0)),
IF(OR(ISNA(_xlpm.current),ISNA(_xlpm.prev)),0,_xlpm.current-_xlpm.prev))</f>
        <v>0</v>
      </c>
      <c r="S167" s="186" t="b">
        <f t="shared" si="18"/>
        <v>1</v>
      </c>
      <c r="T167" t="str" cm="1">
        <f t="array" ref="T167">IFERROR(_xlfn._xlws.FILTER('Input Data'!$N$20:$N$963,('Input Data'!$B$20:$B$963=Changes!B167)*('Input Data'!$C$20:$C$963=Changes!C167)),_xlfn._xlws.FILTER('[2]Input Data'!$M$20:$M$173,('[2]Input Data'!$B$20:$B$173=Changes!B167)*('[2]Input Data'!$C$20:$C$173=Changes!C167)))</f>
        <v>CAST - Chinese Academy of Space Technology</v>
      </c>
      <c r="V167" s="348" t="s">
        <v>592</v>
      </c>
      <c r="W167" s="227"/>
      <c r="X167" s="265" t="str">
        <v>MEASAT 3B</v>
      </c>
      <c r="Y167" s="266">
        <v>5257731.9499999797</v>
      </c>
      <c r="AB167" s="33"/>
      <c r="AC167" s="33"/>
    </row>
    <row r="168" spans="1:29" x14ac:dyDescent="0.35">
      <c r="A168">
        <f t="shared" si="17"/>
        <v>1</v>
      </c>
      <c r="B168" s="315">
        <v>271177</v>
      </c>
      <c r="C168" s="282">
        <v>329405</v>
      </c>
      <c r="D168" s="282" t="str">
        <v>NUSANTARA LIMA</v>
      </c>
      <c r="E168" s="282" t="str">
        <v>FUL</v>
      </c>
      <c r="F168" s="282" t="str">
        <v>GEO-GSO</v>
      </c>
      <c r="G168" s="283" cm="1">
        <f t="array" ref="G168">_xlfn.IFNA(INDEX('Input Data'!$M$20:$M$963,MATCH(Changes!B168&amp;"_"&amp;Changes!C168,'Input Data'!$B$20:$B$963&amp;"_"&amp;'Input Data'!$C$20:$C$963,0)),INDEX('[2]Input Data'!$L$20:$L$158,MATCH(B168&amp;"_"&amp;C168,'[2]Input Data'!$B$20:$B$158&amp;"_"&amp;'[2]Input Data'!$C$20:$C$158,0)))</f>
        <v>46458</v>
      </c>
      <c r="H168" s="313" cm="1">
        <f t="array" ref="H168">_xlfn._xlws.FILTER('Input Data'!$AA$20:$AA$963,('Input Data'!$B$20:$B$963=Changes!B168)*('Input Data'!$C$20:$C$963=Changes!C168),0)</f>
        <v>27222223</v>
      </c>
      <c r="I168" s="313" cm="1">
        <f t="array" ref="I168">_xlfn._xlws.FILTER('[2]Input Data'!$AA$20:$AA$173,('[2]Input Data'!$B$20:$B$173=Changes!B168)*('[2]Input Data'!$C$20:$C$173=Changes!C168),0)</f>
        <v>27222223</v>
      </c>
      <c r="J168" s="346" t="str" cm="1">
        <f t="array" ref="J168">_xlfn._xlws.FILTER('Input Data'!$E$20:$E$963,('Input Data'!$B$20:$B$963=Changes!B168)*('Input Data'!$C$20:$C$963=Changes!C168),0)</f>
        <v>L + 24 Months</v>
      </c>
      <c r="K168" s="347" cm="1">
        <f t="array" ref="K168">_xlfn._xlws.FILTER('Input Data'!$L$20:$L$963,('Input Data'!$B$20:$B$963=Changes!B168)*('Input Data'!$C$20:$C$963=Changes!C168),0)</f>
        <v>45912</v>
      </c>
      <c r="L168" s="356" t="str" cm="1">
        <f t="array" ref="L168">_xlfn._xlws.FILTER('[2]Input Data'!$D$20:$D$173,('[2]Input Data'!$B$20:$B$173=Changes!B168)*('[2]Input Data'!$C$20:$C$173=Changes!C168),0)</f>
        <v>L + 24 Months</v>
      </c>
      <c r="M168" s="314">
        <f>IFERROR(INDEX('Input Data'!$P$10:$P$14,MATCH(DATEDIF($M$4,G168,"M"),'Input Data'!$O$10:$O$14,1)),0)</f>
        <v>0.4</v>
      </c>
      <c r="N168" s="227"/>
      <c r="O168" s="227">
        <f>INDEX('Input Data'!$P$10:$P$14,MATCH(DATEDIF($O$4,G168,"M"),'Input Data'!$O$10:$O$14,1))</f>
        <v>0.6</v>
      </c>
      <c r="P168" s="204">
        <f t="shared" si="16"/>
        <v>0</v>
      </c>
      <c r="R168" cm="1">
        <f t="array" ref="R168">_xlfn.LET(_xlpm.current,INDEX('Input Data'!$M$20:$M$963,MATCH(Changes!B168&amp;"_"&amp;Changes!C168,'Input Data'!$B$20:$B$963&amp;"_"&amp;'Input Data'!$C$20:$C$963,0)),_xlpm.prev,INDEX('[2]Input Data'!$L$20:$L$173,MATCH(B168&amp;"_"&amp;C168,'[2]Input Data'!$B$20:$B$173&amp;"_"&amp;'[2]Input Data'!$C$20:$C$173,0)),
IF(OR(ISNA(_xlpm.current),ISNA(_xlpm.prev)),0,_xlpm.current-_xlpm.prev))</f>
        <v>0</v>
      </c>
      <c r="S168" s="186" t="b">
        <f t="shared" si="18"/>
        <v>1</v>
      </c>
      <c r="T168" t="str" cm="1">
        <f t="array" ref="T168">IFERROR(_xlfn._xlws.FILTER('Input Data'!$N$20:$N$963,('Input Data'!$B$20:$B$963=Changes!B168)*('Input Data'!$C$20:$C$963=Changes!C168)),_xlfn._xlws.FILTER('[2]Input Data'!$M$20:$M$173,('[2]Input Data'!$B$20:$B$173=Changes!B168)*('[2]Input Data'!$C$20:$C$173=Changes!C168)))</f>
        <v>Boeing Satellite Systems Inc.</v>
      </c>
      <c r="V168" s="348"/>
      <c r="W168" s="227"/>
      <c r="X168" s="265" t="str">
        <v>MEASAT 3D</v>
      </c>
      <c r="Y168" s="266">
        <v>12989690.69999999</v>
      </c>
      <c r="AB168" s="33"/>
      <c r="AC168" s="33"/>
    </row>
    <row r="169" spans="1:29" x14ac:dyDescent="0.35">
      <c r="A169">
        <f t="shared" si="17"/>
        <v>1</v>
      </c>
      <c r="B169" s="315">
        <v>276734</v>
      </c>
      <c r="C169" s="282">
        <v>338150</v>
      </c>
      <c r="D169" s="282" t="str">
        <v>NUSANTARA LIMA</v>
      </c>
      <c r="E169" s="282" t="str">
        <v>FUL</v>
      </c>
      <c r="F169" s="282" t="str">
        <v>GEO-GSO</v>
      </c>
      <c r="G169" s="283" cm="1">
        <f t="array" ref="G169">_xlfn.IFNA(INDEX('Input Data'!$M$20:$M$963,MATCH(Changes!B169&amp;"_"&amp;Changes!C169,'Input Data'!$B$20:$B$963&amp;"_"&amp;'Input Data'!$C$20:$C$963,0)),INDEX('[2]Input Data'!$L$20:$L$158,MATCH(B169&amp;"_"&amp;C169,'[2]Input Data'!$B$20:$B$158&amp;"_"&amp;'[2]Input Data'!$C$20:$C$158,0)))</f>
        <v>46458</v>
      </c>
      <c r="H169" s="313" cm="1">
        <f t="array" ref="H169">_xlfn._xlws.FILTER('Input Data'!$AA$20:$AA$963,('Input Data'!$B$20:$B$963=Changes!B169)*('Input Data'!$C$20:$C$963=Changes!C169),0)</f>
        <v>7777778</v>
      </c>
      <c r="I169" s="313" cm="1">
        <f t="array" ref="I169">_xlfn._xlws.FILTER('[2]Input Data'!$AA$20:$AA$173,('[2]Input Data'!$B$20:$B$173=Changes!B169)*('[2]Input Data'!$C$20:$C$173=Changes!C169),0)</f>
        <v>7777778</v>
      </c>
      <c r="J169" s="346" t="str" cm="1">
        <f t="array" ref="J169">_xlfn._xlws.FILTER('Input Data'!$E$20:$E$963,('Input Data'!$B$20:$B$963=Changes!B169)*('Input Data'!$C$20:$C$963=Changes!C169),0)</f>
        <v>L + 24 Months</v>
      </c>
      <c r="K169" s="347" cm="1">
        <f t="array" ref="K169">_xlfn._xlws.FILTER('Input Data'!$L$20:$L$963,('Input Data'!$B$20:$B$963=Changes!B169)*('Input Data'!$C$20:$C$963=Changes!C169),0)</f>
        <v>45912</v>
      </c>
      <c r="L169" s="356" t="str" cm="1">
        <f t="array" ref="L169">_xlfn._xlws.FILTER('[2]Input Data'!$D$20:$D$173,('[2]Input Data'!$B$20:$B$173=Changes!B169)*('[2]Input Data'!$C$20:$C$173=Changes!C169),0)</f>
        <v>L + 24 Months</v>
      </c>
      <c r="M169" s="314">
        <f>IFERROR(INDEX('Input Data'!$P$10:$P$14,MATCH(DATEDIF($M$4,G169,"M"),'Input Data'!$O$10:$O$14,1)),0)</f>
        <v>0.4</v>
      </c>
      <c r="N169" s="227"/>
      <c r="O169" s="227">
        <f>INDEX('Input Data'!$P$10:$P$14,MATCH(DATEDIF($O$4,G169,"M"),'Input Data'!$O$10:$O$14,1))</f>
        <v>0.6</v>
      </c>
      <c r="P169" s="204">
        <f t="shared" si="16"/>
        <v>0</v>
      </c>
      <c r="R169" cm="1">
        <f t="array" ref="R169">_xlfn.LET(_xlpm.current,INDEX('Input Data'!$M$20:$M$963,MATCH(Changes!B169&amp;"_"&amp;Changes!C169,'Input Data'!$B$20:$B$963&amp;"_"&amp;'Input Data'!$C$20:$C$963,0)),_xlpm.prev,INDEX('[2]Input Data'!$L$20:$L$173,MATCH(B169&amp;"_"&amp;C169,'[2]Input Data'!$B$20:$B$173&amp;"_"&amp;'[2]Input Data'!$C$20:$C$173,0)),
IF(OR(ISNA(_xlpm.current),ISNA(_xlpm.prev)),0,_xlpm.current-_xlpm.prev))</f>
        <v>0</v>
      </c>
      <c r="S169" s="186" t="b">
        <f t="shared" si="18"/>
        <v>1</v>
      </c>
      <c r="T169" t="str" cm="1">
        <f t="array" ref="T169">IFERROR(_xlfn._xlws.FILTER('Input Data'!$N$20:$N$963,('Input Data'!$B$20:$B$963=Changes!B169)*('Input Data'!$C$20:$C$963=Changes!C169)),_xlfn._xlws.FILTER('[2]Input Data'!$M$20:$M$173,('[2]Input Data'!$B$20:$B$173=Changes!B169)*('[2]Input Data'!$C$20:$C$173=Changes!C169)))</f>
        <v>Boeing Satellite Systems Inc.</v>
      </c>
      <c r="V169" s="348"/>
      <c r="W169" s="227"/>
      <c r="X169" s="265" t="str">
        <v>SATRIA</v>
      </c>
      <c r="Y169" s="266">
        <v>18739856.257426601</v>
      </c>
      <c r="AB169" s="33"/>
      <c r="AC169" s="33"/>
    </row>
    <row r="170" spans="1:29" x14ac:dyDescent="0.35">
      <c r="A170">
        <f t="shared" si="17"/>
        <v>1</v>
      </c>
      <c r="B170" s="315">
        <v>349445</v>
      </c>
      <c r="C170" s="282">
        <v>475172</v>
      </c>
      <c r="D170" s="282" t="str">
        <v>HOTSAT-2 (SATELLITE VU 2)</v>
      </c>
      <c r="E170" s="282" t="str">
        <v>FUL</v>
      </c>
      <c r="F170" s="282" t="str">
        <v>LEO</v>
      </c>
      <c r="G170" s="283" cm="1">
        <f t="array" ref="G170">_xlfn.IFNA(INDEX('Input Data'!$M$20:$M$963,MATCH(Changes!B170&amp;"_"&amp;Changes!C170,'Input Data'!$B$20:$B$963&amp;"_"&amp;'Input Data'!$C$20:$C$963,0)),INDEX('[2]Input Data'!$L$20:$L$158,MATCH(B170&amp;"_"&amp;C170,'[2]Input Data'!$B$20:$B$158&amp;"_"&amp;'[2]Input Data'!$C$20:$C$158,0)))</f>
        <v>46476</v>
      </c>
      <c r="H170" s="313" cm="1">
        <f t="array" ref="H170">_xlfn._xlws.FILTER('Input Data'!$AA$20:$AA$963,('Input Data'!$B$20:$B$963=Changes!B170)*('Input Data'!$C$20:$C$963=Changes!C170),0)</f>
        <v>2477105.9531910801</v>
      </c>
      <c r="I170" s="313" cm="1">
        <f t="array" ref="I170">_xlfn._xlws.FILTER('[2]Input Data'!$AA$20:$AA$173,('[2]Input Data'!$B$20:$B$173=Changes!B170)*('[2]Input Data'!$C$20:$C$173=Changes!C170),0)</f>
        <v>0</v>
      </c>
      <c r="J170" s="346" t="str" cm="1">
        <f t="array" ref="J170">_xlfn._xlws.FILTER('Input Data'!$E$20:$E$963,('Input Data'!$B$20:$B$963=Changes!B170)*('Input Data'!$C$20:$C$963=Changes!C170),0)</f>
        <v>L + 12 Months</v>
      </c>
      <c r="K170" s="347" cm="1">
        <f t="array" ref="K170">_xlfn._xlws.FILTER('Input Data'!$L$20:$L$963,('Input Data'!$B$20:$B$963=Changes!B170)*('Input Data'!$C$20:$C$963=Changes!C170),0)</f>
        <v>46111</v>
      </c>
      <c r="L170" s="356" cm="1">
        <f t="array" ref="L170">_xlfn._xlws.FILTER('[2]Input Data'!$D$20:$D$173,('[2]Input Data'!$B$20:$B$173=Changes!B170)*('[2]Input Data'!$C$20:$C$173=Changes!C170),0)</f>
        <v>0</v>
      </c>
      <c r="M170" s="314">
        <f>IFERROR(INDEX('Input Data'!$P$10:$P$14,MATCH(DATEDIF($M$4,G170,"M"),'Input Data'!$O$10:$O$14,1)),0)</f>
        <v>0.4</v>
      </c>
      <c r="N170" s="227"/>
      <c r="O170" s="227">
        <f>INDEX('Input Data'!$P$10:$P$14,MATCH(DATEDIF($O$4,G170,"M"),'Input Data'!$O$10:$O$14,1))</f>
        <v>0.6</v>
      </c>
      <c r="P170" s="204">
        <f t="shared" si="16"/>
        <v>2477105.9531910801</v>
      </c>
      <c r="Q170" s="339" t="s">
        <v>358</v>
      </c>
      <c r="R170" cm="1">
        <f t="array" ref="R170">_xlfn.LET(_xlpm.current,INDEX('Input Data'!$M$20:$M$963,MATCH(Changes!B170&amp;"_"&amp;Changes!C170,'Input Data'!$B$20:$B$963&amp;"_"&amp;'Input Data'!$C$20:$C$963,0)),_xlpm.prev,INDEX('[2]Input Data'!$L$20:$L$173,MATCH(B170&amp;"_"&amp;C170,'[2]Input Data'!$B$20:$B$173&amp;"_"&amp;'[2]Input Data'!$C$20:$C$173,0)),
IF(OR(ISNA(_xlpm.current),ISNA(_xlpm.prev)),0,_xlpm.current-_xlpm.prev))</f>
        <v>0</v>
      </c>
      <c r="S170" s="186" t="b">
        <f t="shared" si="18"/>
        <v>1</v>
      </c>
      <c r="T170" t="str" cm="1">
        <f t="array" ref="T170">IFERROR(_xlfn._xlws.FILTER('Input Data'!$N$20:$N$963,('Input Data'!$B$20:$B$963=Changes!B170)*('Input Data'!$C$20:$C$963=Changes!C170)),_xlfn._xlws.FILTER('[2]Input Data'!$M$20:$M$173,('[2]Input Data'!$B$20:$B$173=Changes!B170)*('[2]Input Data'!$C$20:$C$173=Changes!C170)))</f>
        <v>SSTL - Surrey Satellite Technology Limited (Part of Airbus DS)</v>
      </c>
      <c r="V170" s="348" t="s">
        <v>592</v>
      </c>
      <c r="W170" s="227"/>
      <c r="X170" s="265" t="str">
        <v>TURKSAT 4A</v>
      </c>
      <c r="Y170" s="266">
        <v>4690650.9200173002</v>
      </c>
      <c r="AB170" s="33"/>
      <c r="AC170" s="33"/>
    </row>
    <row r="171" spans="1:29" x14ac:dyDescent="0.35">
      <c r="A171">
        <f t="shared" si="17"/>
        <v>1</v>
      </c>
      <c r="B171" s="315">
        <v>373574</v>
      </c>
      <c r="C171" s="282">
        <v>518936</v>
      </c>
      <c r="D171" s="282" t="str">
        <v>HYLAS 2</v>
      </c>
      <c r="E171" s="282" t="str">
        <v>FIID</v>
      </c>
      <c r="F171" s="282" t="str">
        <v>GEO-GSO</v>
      </c>
      <c r="G171" s="283" cm="1">
        <f t="array" ref="G171">_xlfn.IFNA(INDEX('Input Data'!$M$20:$M$963,MATCH(Changes!B171&amp;"_"&amp;Changes!C171,'Input Data'!$B$20:$B$963&amp;"_"&amp;'Input Data'!$C$20:$C$963,0)),INDEX('[2]Input Data'!$L$20:$L$158,MATCH(B171&amp;"_"&amp;C171,'[2]Input Data'!$B$20:$B$158&amp;"_"&amp;'[2]Input Data'!$C$20:$C$158,0)))</f>
        <v>46455</v>
      </c>
      <c r="H171" s="313" cm="1">
        <f t="array" ref="H171">_xlfn._xlws.FILTER('Input Data'!$AA$20:$AA$963,('Input Data'!$B$20:$B$963=Changes!B171)*('Input Data'!$C$20:$C$963=Changes!C171),0)</f>
        <v>2352960</v>
      </c>
      <c r="I171" s="313" cm="1">
        <f t="array" ref="I171">_xlfn._xlws.FILTER('[2]Input Data'!$AA$20:$AA$173,('[2]Input Data'!$B$20:$B$173=Changes!B171)*('[2]Input Data'!$C$20:$C$173=Changes!C171),0)</f>
        <v>0</v>
      </c>
      <c r="J171" s="346" t="str" cm="1">
        <f t="array" ref="J171">_xlfn._xlws.FILTER('Input Data'!$E$20:$E$963,('Input Data'!$B$20:$B$963=Changes!B171)*('Input Data'!$C$20:$C$963=Changes!C171),0)</f>
        <v>In-Orbit</v>
      </c>
      <c r="K171" s="347" cm="1">
        <f t="array" ref="K171">_xlfn._xlws.FILTER('Input Data'!$L$20:$L$963,('Input Data'!$B$20:$B$963=Changes!B171)*('Input Data'!$C$20:$C$963=Changes!C171),0)</f>
        <v>46091</v>
      </c>
      <c r="L171" s="356" cm="1">
        <f t="array" ref="L171">_xlfn._xlws.FILTER('[2]Input Data'!$D$20:$D$173,('[2]Input Data'!$B$20:$B$173=Changes!B171)*('[2]Input Data'!$C$20:$C$173=Changes!C171),0)</f>
        <v>0</v>
      </c>
      <c r="M171" s="314">
        <f>IFERROR(INDEX('Input Data'!$P$10:$P$14,MATCH(DATEDIF($M$4,G171,"M"),'Input Data'!$O$10:$O$14,1)),0)</f>
        <v>0.4</v>
      </c>
      <c r="N171" s="227"/>
      <c r="O171" s="227">
        <f>INDEX('Input Data'!$P$10:$P$14,MATCH(DATEDIF($O$4,G171,"M"),'Input Data'!$O$10:$O$14,1))</f>
        <v>0.6</v>
      </c>
      <c r="P171" s="368">
        <f t="shared" si="16"/>
        <v>2352960</v>
      </c>
      <c r="Q171" s="420" t="s">
        <v>359</v>
      </c>
      <c r="R171" cm="1">
        <f t="array" ref="R171">_xlfn.LET(_xlpm.current,INDEX('Input Data'!$M$20:$M$963,MATCH(Changes!B171&amp;"_"&amp;Changes!C171,'Input Data'!$B$20:$B$963&amp;"_"&amp;'Input Data'!$C$20:$C$963,0)),_xlpm.prev,INDEX('[2]Input Data'!$L$20:$L$173,MATCH(B171&amp;"_"&amp;C171,'[2]Input Data'!$B$20:$B$173&amp;"_"&amp;'[2]Input Data'!$C$20:$C$173,0)),
IF(OR(ISNA(_xlpm.current),ISNA(_xlpm.prev)),0,_xlpm.current-_xlpm.prev))</f>
        <v>0</v>
      </c>
      <c r="S171" s="186" t="b">
        <f t="shared" si="18"/>
        <v>1</v>
      </c>
      <c r="T171" t="str" cm="1">
        <f t="array" ref="T171">IFERROR(_xlfn._xlws.FILTER('Input Data'!$N$20:$N$963,('Input Data'!$B$20:$B$963=Changes!B171)*('Input Data'!$C$20:$C$963=Changes!C171)),_xlfn._xlws.FILTER('[2]Input Data'!$M$20:$M$173,('[2]Input Data'!$B$20:$B$173=Changes!B171)*('[2]Input Data'!$C$20:$C$173=Changes!C171)))</f>
        <v>Orbital Sciences Corporation</v>
      </c>
      <c r="V171" s="366" t="s">
        <v>590</v>
      </c>
      <c r="W171" s="227"/>
      <c r="X171" s="265" t="str">
        <v>TURKSAT 5B</v>
      </c>
      <c r="Y171" s="266">
        <v>12702481.834499288</v>
      </c>
      <c r="AB171" s="33"/>
      <c r="AC171" s="33"/>
    </row>
    <row r="172" spans="1:29" x14ac:dyDescent="0.35">
      <c r="A172">
        <f t="shared" si="17"/>
        <v>1</v>
      </c>
      <c r="B172" s="315">
        <v>375192</v>
      </c>
      <c r="C172" s="282">
        <v>522248</v>
      </c>
      <c r="D172" s="282" t="str">
        <v>HYLAS 1</v>
      </c>
      <c r="E172" s="282" t="str">
        <v>FUL</v>
      </c>
      <c r="F172" s="282" t="str">
        <v>GEO-GSO</v>
      </c>
      <c r="G172" s="283" cm="1">
        <f t="array" ref="G172">_xlfn.IFNA(INDEX('Input Data'!$M$20:$M$963,MATCH(Changes!B172&amp;"_"&amp;Changes!C172,'Input Data'!$B$20:$B$963&amp;"_"&amp;'Input Data'!$C$20:$C$963,0)),INDEX('[2]Input Data'!$L$20:$L$158,MATCH(B172&amp;"_"&amp;C172,'[2]Input Data'!$B$20:$B$158&amp;"_"&amp;'[2]Input Data'!$C$20:$C$158,0)))</f>
        <v>46455</v>
      </c>
      <c r="H172" s="313" cm="1">
        <f t="array" ref="H172">_xlfn._xlws.FILTER('Input Data'!$AA$20:$AA$963,('Input Data'!$B$20:$B$963=Changes!B172)*('Input Data'!$C$20:$C$963=Changes!C172),0)</f>
        <v>1352952</v>
      </c>
      <c r="I172" s="313" cm="1">
        <f t="array" ref="I172">_xlfn._xlws.FILTER('[2]Input Data'!$AA$20:$AA$173,('[2]Input Data'!$B$20:$B$173=Changes!B172)*('[2]Input Data'!$C$20:$C$173=Changes!C172),0)</f>
        <v>0</v>
      </c>
      <c r="J172" s="346" t="str" cm="1">
        <f t="array" ref="J172">_xlfn._xlws.FILTER('Input Data'!$E$20:$E$963,('Input Data'!$B$20:$B$963=Changes!B172)*('Input Data'!$C$20:$C$963=Changes!C172),0)</f>
        <v>In-Orbit</v>
      </c>
      <c r="K172" s="347" cm="1">
        <f t="array" ref="K172">_xlfn._xlws.FILTER('Input Data'!$L$20:$L$963,('Input Data'!$B$20:$B$963=Changes!B172)*('Input Data'!$C$20:$C$963=Changes!C172),0)</f>
        <v>46091</v>
      </c>
      <c r="L172" s="356" cm="1">
        <f t="array" ref="L172">_xlfn._xlws.FILTER('[2]Input Data'!$D$20:$D$173,('[2]Input Data'!$B$20:$B$173=Changes!B172)*('[2]Input Data'!$C$20:$C$173=Changes!C172),0)</f>
        <v>0</v>
      </c>
      <c r="M172" s="314">
        <f>IFERROR(INDEX('Input Data'!$P$10:$P$14,MATCH(DATEDIF($M$4,G172,"M"),'Input Data'!$O$10:$O$14,1)),0)</f>
        <v>0.4</v>
      </c>
      <c r="N172" s="314"/>
      <c r="O172" s="314">
        <f>INDEX('Input Data'!$P$10:$P$14,MATCH(DATEDIF($O$4,G172,"M"),'Input Data'!$O$10:$O$14,1))</f>
        <v>0.6</v>
      </c>
      <c r="P172" s="369">
        <f t="shared" ref="P172:P193" si="20">H172-I172</f>
        <v>1352952</v>
      </c>
      <c r="Q172" s="420" t="s">
        <v>359</v>
      </c>
      <c r="R172" cm="1">
        <f t="array" ref="R172">_xlfn.LET(_xlpm.current,INDEX('Input Data'!$M$20:$M$963,MATCH(Changes!B172&amp;"_"&amp;Changes!C172,'Input Data'!$B$20:$B$963&amp;"_"&amp;'Input Data'!$C$20:$C$963,0)),_xlpm.prev,INDEX('[2]Input Data'!$L$20:$L$173,MATCH(B172&amp;"_"&amp;C172,'[2]Input Data'!$B$20:$B$173&amp;"_"&amp;'[2]Input Data'!$C$20:$C$173,0)),
IF(OR(ISNA(_xlpm.current),ISNA(_xlpm.prev)),0,_xlpm.current-_xlpm.prev))</f>
        <v>0</v>
      </c>
      <c r="S172" s="186" t="b">
        <f t="shared" ref="S172:S193" si="21">O172&gt;M172</f>
        <v>1</v>
      </c>
      <c r="T172" t="str" cm="1">
        <f t="array" ref="T172">IFERROR(_xlfn._xlws.FILTER('Input Data'!$N$20:$N$963,('Input Data'!$B$20:$B$963=Changes!B172)*('Input Data'!$C$20:$C$963=Changes!C172)),_xlfn._xlws.FILTER('[2]Input Data'!$M$20:$M$173,('[2]Input Data'!$B$20:$B$173=Changes!B172)*('[2]Input Data'!$C$20:$C$173=Changes!C172)))</f>
        <v>U. R. Rao Satellite Centre (URSC)</v>
      </c>
      <c r="V172" s="366" t="s">
        <v>590</v>
      </c>
      <c r="W172" s="227"/>
      <c r="X172" s="265" t="str">
        <v>TURKSAT 5A</v>
      </c>
      <c r="Y172" s="266">
        <v>12110083.278785599</v>
      </c>
      <c r="AB172" s="33"/>
      <c r="AC172" s="33"/>
    </row>
    <row r="173" spans="1:29" x14ac:dyDescent="0.35">
      <c r="A173">
        <f t="shared" si="17"/>
        <v>1</v>
      </c>
      <c r="B173" s="315">
        <v>377845</v>
      </c>
      <c r="C173" s="282">
        <v>526548</v>
      </c>
      <c r="D173" s="282" t="str">
        <v>ANUVU 1 (NUVIEW A)</v>
      </c>
      <c r="E173" s="282" t="str">
        <v>FUL</v>
      </c>
      <c r="F173" s="282" t="str">
        <v>GEO-GSO</v>
      </c>
      <c r="G173" s="283" cm="1">
        <f t="array" ref="G173">_xlfn.IFNA(INDEX('Input Data'!$M$20:$M$963,MATCH(Changes!B173&amp;"_"&amp;Changes!C173,'Input Data'!$B$20:$B$963&amp;"_"&amp;'Input Data'!$C$20:$C$963,0)),INDEX('[2]Input Data'!$L$20:$L$158,MATCH(B173&amp;"_"&amp;C173,'[2]Input Data'!$B$20:$B$158&amp;"_"&amp;'[2]Input Data'!$C$20:$C$158,0)))</f>
        <v>46444</v>
      </c>
      <c r="H173" s="313" cm="1">
        <f t="array" ref="H173">_xlfn._xlws.FILTER('Input Data'!$AA$20:$AA$963,('Input Data'!$B$20:$B$963=Changes!B173)*('Input Data'!$C$20:$C$963=Changes!C173),0)</f>
        <v>563838.62832000002</v>
      </c>
      <c r="I173" s="313" cm="1">
        <f t="array" ref="I173">_xlfn._xlws.FILTER('[2]Input Data'!$AA$20:$AA$173,('[2]Input Data'!$B$20:$B$173=Changes!B173)*('[2]Input Data'!$C$20:$C$173=Changes!C173),0)</f>
        <v>0</v>
      </c>
      <c r="J173" s="346" t="str" cm="1">
        <f t="array" ref="J173">_xlfn._xlws.FILTER('Input Data'!$E$20:$E$963,('Input Data'!$B$20:$B$963=Changes!B173)*('Input Data'!$C$20:$C$963=Changes!C173),0)</f>
        <v>In-Orbit</v>
      </c>
      <c r="K173" s="347" cm="1">
        <f t="array" ref="K173">_xlfn._xlws.FILTER('Input Data'!$L$20:$L$963,('Input Data'!$B$20:$B$963=Changes!B173)*('Input Data'!$C$20:$C$963=Changes!C173),0)</f>
        <v>46080</v>
      </c>
      <c r="L173" s="356" cm="1">
        <f t="array" ref="L173">_xlfn._xlws.FILTER('[2]Input Data'!$D$20:$D$173,('[2]Input Data'!$B$20:$B$173=Changes!B173)*('[2]Input Data'!$C$20:$C$173=Changes!C173),0)</f>
        <v>0</v>
      </c>
      <c r="M173" s="314">
        <f>IFERROR(INDEX('Input Data'!$P$10:$P$14,MATCH(DATEDIF($M$4,G173,"M"),'Input Data'!$O$10:$O$14,1)),0)</f>
        <v>0.4</v>
      </c>
      <c r="N173" s="314"/>
      <c r="O173" s="314">
        <f>INDEX('Input Data'!$P$10:$P$14,MATCH(DATEDIF($O$4,G173,"M"),'Input Data'!$O$10:$O$14,1))</f>
        <v>0.6</v>
      </c>
      <c r="P173" s="313">
        <f t="shared" si="20"/>
        <v>563838.62832000002</v>
      </c>
      <c r="Q173" s="339" t="s">
        <v>358</v>
      </c>
      <c r="R173" cm="1">
        <f t="array" ref="R173">_xlfn.LET(_xlpm.current,INDEX('Input Data'!$M$20:$M$963,MATCH(Changes!B173&amp;"_"&amp;Changes!C173,'Input Data'!$B$20:$B$963&amp;"_"&amp;'Input Data'!$C$20:$C$963,0)),_xlpm.prev,INDEX('[2]Input Data'!$L$20:$L$173,MATCH(B173&amp;"_"&amp;C173,'[2]Input Data'!$B$20:$B$173&amp;"_"&amp;'[2]Input Data'!$C$20:$C$173,0)),
IF(OR(ISNA(_xlpm.current),ISNA(_xlpm.prev)),0,_xlpm.current-_xlpm.prev))</f>
        <v>0</v>
      </c>
      <c r="S173" s="186" t="b">
        <f t="shared" si="21"/>
        <v>1</v>
      </c>
      <c r="T173" t="str" cm="1">
        <f t="array" ref="T173">IFERROR(_xlfn._xlws.FILTER('Input Data'!$N$20:$N$963,('Input Data'!$B$20:$B$963=Changes!B173)*('Input Data'!$C$20:$C$963=Changes!C173)),_xlfn._xlws.FILTER('[2]Input Data'!$M$20:$M$173,('[2]Input Data'!$B$20:$B$173=Changes!B173)*('[2]Input Data'!$C$20:$C$173=Changes!C173)))</f>
        <v>Astranis</v>
      </c>
      <c r="V173" s="348" t="s">
        <v>590</v>
      </c>
      <c r="W173" s="227"/>
      <c r="X173" s="265" t="str">
        <v>TURKSAT 4B</v>
      </c>
      <c r="Y173" s="266">
        <v>6129567.8248355901</v>
      </c>
      <c r="AB173" s="33"/>
      <c r="AC173" s="33"/>
    </row>
    <row r="174" spans="1:29" x14ac:dyDescent="0.35">
      <c r="A174">
        <f t="shared" si="17"/>
        <v>1</v>
      </c>
      <c r="B174" s="315">
        <v>377845</v>
      </c>
      <c r="C174" s="282">
        <v>526549</v>
      </c>
      <c r="D174" s="282" t="str">
        <v>ANUVU 2 (NUVIEW B)</v>
      </c>
      <c r="E174" s="282" t="str">
        <v>FUL</v>
      </c>
      <c r="F174" s="282" t="str">
        <v>GEO-GSO</v>
      </c>
      <c r="G174" s="283" cm="1">
        <f t="array" ref="G174">_xlfn.IFNA(INDEX('Input Data'!$M$20:$M$963,MATCH(Changes!B174&amp;"_"&amp;Changes!C174,'Input Data'!$B$20:$B$963&amp;"_"&amp;'Input Data'!$C$20:$C$963,0)),INDEX('[2]Input Data'!$L$20:$L$158,MATCH(B174&amp;"_"&amp;C174,'[2]Input Data'!$B$20:$B$158&amp;"_"&amp;'[2]Input Data'!$C$20:$C$158,0)))</f>
        <v>46444</v>
      </c>
      <c r="H174" s="313" cm="1">
        <f t="array" ref="H174">_xlfn._xlws.FILTER('Input Data'!$AA$20:$AA$963,('Input Data'!$B$20:$B$963=Changes!B174)*('Input Data'!$C$20:$C$963=Changes!C174),0)</f>
        <v>563838.62832000002</v>
      </c>
      <c r="I174" s="313" cm="1">
        <f t="array" ref="I174">_xlfn._xlws.FILTER('[2]Input Data'!$AA$20:$AA$173,('[2]Input Data'!$B$20:$B$173=Changes!B174)*('[2]Input Data'!$C$20:$C$173=Changes!C174),0)</f>
        <v>0</v>
      </c>
      <c r="J174" s="346" t="str" cm="1">
        <f t="array" ref="J174">_xlfn._xlws.FILTER('Input Data'!$E$20:$E$963,('Input Data'!$B$20:$B$963=Changes!B174)*('Input Data'!$C$20:$C$963=Changes!C174),0)</f>
        <v>In-Orbit</v>
      </c>
      <c r="K174" s="347" cm="1">
        <f t="array" ref="K174">_xlfn._xlws.FILTER('Input Data'!$L$20:$L$963,('Input Data'!$B$20:$B$963=Changes!B174)*('Input Data'!$C$20:$C$963=Changes!C174),0)</f>
        <v>46080</v>
      </c>
      <c r="L174" s="356" cm="1">
        <f t="array" ref="L174">_xlfn._xlws.FILTER('[2]Input Data'!$D$20:$D$173,('[2]Input Data'!$B$20:$B$173=Changes!B174)*('[2]Input Data'!$C$20:$C$173=Changes!C174),0)</f>
        <v>0</v>
      </c>
      <c r="M174" s="314">
        <f>IFERROR(INDEX('Input Data'!$P$10:$P$14,MATCH(DATEDIF($M$4,G174,"M"),'Input Data'!$O$10:$O$14,1)),0)</f>
        <v>0.4</v>
      </c>
      <c r="N174" s="314"/>
      <c r="O174" s="314">
        <f>INDEX('Input Data'!$P$10:$P$14,MATCH(DATEDIF($O$4,G174,"M"),'Input Data'!$O$10:$O$14,1))</f>
        <v>0.6</v>
      </c>
      <c r="P174" s="313">
        <f t="shared" si="20"/>
        <v>563838.62832000002</v>
      </c>
      <c r="Q174" s="339" t="s">
        <v>358</v>
      </c>
      <c r="R174" cm="1">
        <f t="array" ref="R174">_xlfn.LET(_xlpm.current,INDEX('Input Data'!$M$20:$M$963,MATCH(Changes!B174&amp;"_"&amp;Changes!C174,'Input Data'!$B$20:$B$963&amp;"_"&amp;'Input Data'!$C$20:$C$963,0)),_xlpm.prev,INDEX('[2]Input Data'!$L$20:$L$173,MATCH(B174&amp;"_"&amp;C174,'[2]Input Data'!$B$20:$B$173&amp;"_"&amp;'[2]Input Data'!$C$20:$C$173,0)),
IF(OR(ISNA(_xlpm.current),ISNA(_xlpm.prev)),0,_xlpm.current-_xlpm.prev))</f>
        <v>0</v>
      </c>
      <c r="S174" s="186" t="b">
        <f t="shared" si="21"/>
        <v>1</v>
      </c>
      <c r="T174" t="str" cm="1">
        <f t="array" ref="T174">IFERROR(_xlfn._xlws.FILTER('Input Data'!$N$20:$N$963,('Input Data'!$B$20:$B$963=Changes!B174)*('Input Data'!$C$20:$C$963=Changes!C174)),_xlfn._xlws.FILTER('[2]Input Data'!$M$20:$M$173,('[2]Input Data'!$B$20:$B$173=Changes!B174)*('[2]Input Data'!$C$20:$C$173=Changes!C174)))</f>
        <v>Astranis</v>
      </c>
      <c r="V174" s="348" t="s">
        <v>590</v>
      </c>
      <c r="W174" s="227"/>
      <c r="X174" s="265" t="str">
        <v>FALCON EYE 2</v>
      </c>
      <c r="Y174" s="266">
        <v>7891909.7200426897</v>
      </c>
      <c r="AB174" s="33"/>
      <c r="AC174" s="33"/>
    </row>
    <row r="175" spans="1:29" x14ac:dyDescent="0.35">
      <c r="A175">
        <f t="shared" si="17"/>
        <v>1</v>
      </c>
      <c r="B175" s="315">
        <v>377845</v>
      </c>
      <c r="C175" s="282">
        <v>526550</v>
      </c>
      <c r="D175" s="282" t="str">
        <v>AGILA</v>
      </c>
      <c r="E175" s="282" t="str">
        <v>FUL</v>
      </c>
      <c r="F175" s="282" t="str">
        <v>GEO-GSO</v>
      </c>
      <c r="G175" s="283" cm="1">
        <f t="array" ref="G175">_xlfn.IFNA(INDEX('Input Data'!$M$20:$M$963,MATCH(Changes!B175&amp;"_"&amp;Changes!C175,'Input Data'!$B$20:$B$963&amp;"_"&amp;'Input Data'!$C$20:$C$963,0)),INDEX('[2]Input Data'!$L$20:$L$158,MATCH(B175&amp;"_"&amp;C175,'[2]Input Data'!$B$20:$B$158&amp;"_"&amp;'[2]Input Data'!$C$20:$C$158,0)))</f>
        <v>46444</v>
      </c>
      <c r="H175" s="313" cm="1">
        <f t="array" ref="H175">_xlfn._xlws.FILTER('Input Data'!$AA$20:$AA$963,('Input Data'!$B$20:$B$963=Changes!B175)*('Input Data'!$C$20:$C$963=Changes!C175),0)</f>
        <v>671807.72736000002</v>
      </c>
      <c r="I175" s="313" cm="1">
        <f t="array" ref="I175">_xlfn._xlws.FILTER('[2]Input Data'!$AA$20:$AA$173,('[2]Input Data'!$B$20:$B$173=Changes!B175)*('[2]Input Data'!$C$20:$C$173=Changes!C175),0)</f>
        <v>0</v>
      </c>
      <c r="J175" s="346" t="str" cm="1">
        <f t="array" ref="J175">_xlfn._xlws.FILTER('Input Data'!$E$20:$E$963,('Input Data'!$B$20:$B$963=Changes!B175)*('Input Data'!$C$20:$C$963=Changes!C175),0)</f>
        <v>In-Orbit</v>
      </c>
      <c r="K175" s="347" cm="1">
        <f t="array" ref="K175">_xlfn._xlws.FILTER('Input Data'!$L$20:$L$963,('Input Data'!$B$20:$B$963=Changes!B175)*('Input Data'!$C$20:$C$963=Changes!C175),0)</f>
        <v>46080</v>
      </c>
      <c r="L175" s="356" cm="1">
        <f t="array" ref="L175">_xlfn._xlws.FILTER('[2]Input Data'!$D$20:$D$173,('[2]Input Data'!$B$20:$B$173=Changes!B175)*('[2]Input Data'!$C$20:$C$173=Changes!C175),0)</f>
        <v>0</v>
      </c>
      <c r="M175" s="314">
        <f>IFERROR(INDEX('Input Data'!$P$10:$P$14,MATCH(DATEDIF($M$4,G175,"M"),'Input Data'!$O$10:$O$14,1)),0)</f>
        <v>0.4</v>
      </c>
      <c r="N175" s="314"/>
      <c r="O175" s="314">
        <f>INDEX('Input Data'!$P$10:$P$14,MATCH(DATEDIF($O$4,G175,"M"),'Input Data'!$O$10:$O$14,1))</f>
        <v>0.6</v>
      </c>
      <c r="P175" s="313">
        <f t="shared" si="20"/>
        <v>671807.72736000002</v>
      </c>
      <c r="Q175" s="339" t="s">
        <v>358</v>
      </c>
      <c r="R175" cm="1">
        <f t="array" ref="R175">_xlfn.LET(_xlpm.current,INDEX('Input Data'!$M$20:$M$963,MATCH(Changes!B175&amp;"_"&amp;Changes!C175,'Input Data'!$B$20:$B$963&amp;"_"&amp;'Input Data'!$C$20:$C$963,0)),_xlpm.prev,INDEX('[2]Input Data'!$L$20:$L$173,MATCH(B175&amp;"_"&amp;C175,'[2]Input Data'!$B$20:$B$173&amp;"_"&amp;'[2]Input Data'!$C$20:$C$173,0)),
IF(OR(ISNA(_xlpm.current),ISNA(_xlpm.prev)),0,_xlpm.current-_xlpm.prev))</f>
        <v>0</v>
      </c>
      <c r="S175" s="186" t="b">
        <f t="shared" si="21"/>
        <v>1</v>
      </c>
      <c r="T175" t="str" cm="1">
        <f t="array" ref="T175">IFERROR(_xlfn._xlws.FILTER('Input Data'!$N$20:$N$963,('Input Data'!$B$20:$B$963=Changes!B175)*('Input Data'!$C$20:$C$963=Changes!C175)),_xlfn._xlws.FILTER('[2]Input Data'!$M$20:$M$173,('[2]Input Data'!$B$20:$B$173=Changes!B175)*('[2]Input Data'!$C$20:$C$173=Changes!C175)))</f>
        <v>Astranis</v>
      </c>
      <c r="V175" s="348" t="s">
        <v>590</v>
      </c>
      <c r="W175" s="227"/>
      <c r="X175" s="265" t="str">
        <v>STAR ONE D1</v>
      </c>
      <c r="Y175" s="266">
        <v>4369474.0133360904</v>
      </c>
      <c r="AB175" s="33"/>
      <c r="AC175" s="33"/>
    </row>
    <row r="176" spans="1:29" x14ac:dyDescent="0.35">
      <c r="A176">
        <f t="shared" si="17"/>
        <v>1</v>
      </c>
      <c r="B176" s="315">
        <v>333396</v>
      </c>
      <c r="C176">
        <v>443727</v>
      </c>
      <c r="D176" s="282" t="str">
        <v>HELLAS-SAT 4/SAUDIGEOSAT-1</v>
      </c>
      <c r="E176" s="282" t="str">
        <v>FUL</v>
      </c>
      <c r="F176" s="282" t="str">
        <v>GEO-GSO</v>
      </c>
      <c r="G176" s="283" cm="1">
        <f t="array" ref="G176">_xlfn.IFNA(INDEX('Input Data'!$M$20:$M$963,MATCH(Changes!B176&amp;"_"&amp;Changes!C176,'Input Data'!$B$20:$B$963&amp;"_"&amp;'Input Data'!$C$20:$C$963,0)),INDEX('[2]Input Data'!$L$20:$L$158,MATCH(B176&amp;"_"&amp;C176,'[2]Input Data'!$B$20:$B$158&amp;"_"&amp;'[2]Input Data'!$C$20:$C$158,0)))</f>
        <v>46057</v>
      </c>
      <c r="H176" s="313" cm="1">
        <f t="array" ref="H176">_xlfn._xlws.FILTER('Input Data'!$AA$20:$AA$963,('Input Data'!$B$20:$B$963=Changes!B176)*('Input Data'!$C$20:$C$963=Changes!C176),0)</f>
        <v>0</v>
      </c>
      <c r="I176" s="313" cm="1">
        <f t="array" ref="I176">_xlfn._xlws.FILTER('[2]Input Data'!$AA$20:$AA$173,('[2]Input Data'!$B$20:$B$173=Changes!B176)*('[2]Input Data'!$C$20:$C$173=Changes!C176),0)</f>
        <v>9278365.3453607894</v>
      </c>
      <c r="J176" s="346" cm="1">
        <f t="array" ref="J176">_xlfn._xlws.FILTER('Input Data'!$E$20:$E$963,('Input Data'!$B$20:$B$963=Changes!B176)*('Input Data'!$C$20:$C$963=Changes!C176),0)</f>
        <v>0</v>
      </c>
      <c r="K176" s="347" cm="1">
        <f t="array" ref="K176">_xlfn._xlws.FILTER('Input Data'!$L$20:$L$963,('Input Data'!$B$20:$B$963=Changes!B176)*('Input Data'!$C$20:$C$963=Changes!C176),0)</f>
        <v>0</v>
      </c>
      <c r="L176" s="356" t="str" cm="1">
        <f t="array" ref="L176">_xlfn._xlws.FILTER('[2]Input Data'!$D$20:$D$173,('[2]Input Data'!$B$20:$B$173=Changes!B176)*('[2]Input Data'!$C$20:$C$173=Changes!C176),0)</f>
        <v>In-Orbit</v>
      </c>
      <c r="M176" s="314">
        <f>IFERROR(INDEX('Input Data'!$P$10:$P$14,MATCH(DATEDIF($M$4,G176,"M"),'Input Data'!$O$10:$O$14,1)),0)</f>
        <v>0</v>
      </c>
      <c r="N176" s="314"/>
      <c r="O176" s="314">
        <f>INDEX('Input Data'!$P$10:$P$14,MATCH(DATEDIF($O$4,G176,"M"),'Input Data'!$O$10:$O$14,1))</f>
        <v>0.2</v>
      </c>
      <c r="P176" s="313">
        <f t="shared" si="20"/>
        <v>-9278365.3453607894</v>
      </c>
      <c r="Q176" s="339" t="s">
        <v>159</v>
      </c>
      <c r="R176" cm="1">
        <f t="array" ref="R176">_xlfn.LET(_xlpm.current,INDEX('Input Data'!$M$20:$M$963,MATCH(Changes!B176&amp;"_"&amp;Changes!C176,'Input Data'!$B$20:$B$963&amp;"_"&amp;'Input Data'!$C$20:$C$963,0)),_xlpm.prev,INDEX('[2]Input Data'!$L$20:$L$173,MATCH(B176&amp;"_"&amp;C176,'[2]Input Data'!$B$20:$B$173&amp;"_"&amp;'[2]Input Data'!$C$20:$C$173,0)),
IF(OR(ISNA(_xlpm.current),ISNA(_xlpm.prev)),0,_xlpm.current-_xlpm.prev))</f>
        <v>0</v>
      </c>
      <c r="S176" s="186" t="b">
        <f t="shared" si="21"/>
        <v>1</v>
      </c>
      <c r="T176" t="str" cm="1">
        <f t="array" ref="T176">IFERROR(_xlfn._xlws.FILTER('Input Data'!$N$20:$N$963,('Input Data'!$B$20:$B$963=Changes!B176)*('Input Data'!$C$20:$C$963=Changes!C176)),_xlfn._xlws.FILTER('[2]Input Data'!$M$20:$M$173,('[2]Input Data'!$B$20:$B$173=Changes!B176)*('[2]Input Data'!$C$20:$C$173=Changes!C176)))</f>
        <v>Lockheed Martin Commercial Space Systems</v>
      </c>
      <c r="V176" s="348" t="s">
        <v>591</v>
      </c>
      <c r="W176" s="227"/>
      <c r="X176" s="265" t="str">
        <v>STAR ONE D2</v>
      </c>
      <c r="Y176" s="266">
        <v>18218369.660357591</v>
      </c>
      <c r="AB176" s="33"/>
      <c r="AC176" s="33"/>
    </row>
    <row r="177" spans="1:29" x14ac:dyDescent="0.35">
      <c r="A177">
        <f t="shared" si="17"/>
        <v>1</v>
      </c>
      <c r="B177" s="185">
        <v>333523</v>
      </c>
      <c r="C177" s="291">
        <v>443947</v>
      </c>
      <c r="D177" t="str">
        <v>JCSAT-2B (JCSAT-14)</v>
      </c>
      <c r="E177" t="str">
        <v>FUL</v>
      </c>
      <c r="F177" t="str">
        <v>GEO-GSO</v>
      </c>
      <c r="G177" s="283" cm="1">
        <f t="array" ref="G177">_xlfn.IFNA(INDEX('Input Data'!$M$20:$M$963,MATCH(Changes!B177&amp;"_"&amp;Changes!C177,'Input Data'!$B$20:$B$963&amp;"_"&amp;'Input Data'!$C$20:$C$963,0)),INDEX('[2]Input Data'!$L$20:$L$158,MATCH(B177&amp;"_"&amp;C177,'[2]Input Data'!$B$20:$B$158&amp;"_"&amp;'[2]Input Data'!$C$20:$C$158,0)))</f>
        <v>46053</v>
      </c>
      <c r="H177" s="313" cm="1">
        <f t="array" ref="H177">_xlfn._xlws.FILTER('Input Data'!$AA$20:$AA$963,('Input Data'!$B$20:$B$963=Changes!B177)*('Input Data'!$C$20:$C$963=Changes!C177),0)</f>
        <v>0</v>
      </c>
      <c r="I177" s="313" cm="1">
        <f t="array" ref="I177">_xlfn._xlws.FILTER('[2]Input Data'!$AA$20:$AA$173,('[2]Input Data'!$B$20:$B$173=Changes!B177)*('[2]Input Data'!$C$20:$C$173=Changes!C177),0)</f>
        <v>2101916.98230711</v>
      </c>
      <c r="J177" s="313" cm="1">
        <f t="array" ref="J177">_xlfn._xlws.FILTER('Input Data'!$E$20:$E$963,('Input Data'!$B$20:$B$963=Changes!B177)*('Input Data'!$C$20:$C$963=Changes!C177),0)</f>
        <v>0</v>
      </c>
      <c r="K177" s="283" cm="1">
        <f t="array" ref="K177">_xlfn._xlws.FILTER('Input Data'!$L$20:$L$963,('Input Data'!$B$20:$B$963=Changes!B177)*('Input Data'!$C$20:$C$963=Changes!C177),0)</f>
        <v>0</v>
      </c>
      <c r="L177" s="332" t="str" cm="1">
        <f t="array" ref="L177">_xlfn._xlws.FILTER('[2]Input Data'!$D$20:$D$173,('[2]Input Data'!$B$20:$B$173=Changes!B177)*('[2]Input Data'!$C$20:$C$173=Changes!C177),0)</f>
        <v>In-Orbit</v>
      </c>
      <c r="M177" s="314">
        <f>IFERROR(INDEX('Input Data'!$P$10:$P$14,MATCH(DATEDIF($M$4,G177,"M"),'Input Data'!$O$10:$O$14,1)),0)</f>
        <v>0</v>
      </c>
      <c r="N177" s="227"/>
      <c r="O177" s="227">
        <f>INDEX('Input Data'!$P$10:$P$14,MATCH(DATEDIF($O$4,G177,"M"),'Input Data'!$O$10:$O$14,1))</f>
        <v>0.2</v>
      </c>
      <c r="P177" s="204">
        <f t="shared" si="20"/>
        <v>-2101916.98230711</v>
      </c>
      <c r="Q177" s="339" t="s">
        <v>359</v>
      </c>
      <c r="R177" cm="1">
        <f t="array" ref="R177">_xlfn.LET(_xlpm.current,INDEX('Input Data'!$M$20:$M$963,MATCH(Changes!B177&amp;"_"&amp;Changes!C177,'Input Data'!$B$20:$B$963&amp;"_"&amp;'Input Data'!$C$20:$C$963,0)),_xlpm.prev,INDEX('[2]Input Data'!$L$20:$L$173,MATCH(B177&amp;"_"&amp;C177,'[2]Input Data'!$B$20:$B$173&amp;"_"&amp;'[2]Input Data'!$C$20:$C$173,0)),
IF(OR(ISNA(_xlpm.current),ISNA(_xlpm.prev)),0,_xlpm.current-_xlpm.prev))</f>
        <v>0</v>
      </c>
      <c r="S177" s="186" t="b">
        <f t="shared" si="21"/>
        <v>1</v>
      </c>
      <c r="T177" t="str" cm="1">
        <f t="array" ref="T177">IFERROR(_xlfn._xlws.FILTER('Input Data'!$N$20:$N$963,('Input Data'!$B$20:$B$963=Changes!B177)*('Input Data'!$C$20:$C$963=Changes!C177)),_xlfn._xlws.FILTER('[2]Input Data'!$M$20:$M$173,('[2]Input Data'!$B$20:$B$173=Changes!B177)*('[2]Input Data'!$C$20:$C$173=Changes!C177)))</f>
        <v>SSL (Space Systems/Loral)</v>
      </c>
      <c r="V177" s="348" t="s">
        <v>591</v>
      </c>
      <c r="W177" s="227"/>
      <c r="X177" s="265" t="str">
        <v>AMAZONAS 3</v>
      </c>
      <c r="Y177" s="266">
        <v>1482955.12364109</v>
      </c>
      <c r="AB177" s="33"/>
      <c r="AC177" s="33"/>
    </row>
    <row r="178" spans="1:29" x14ac:dyDescent="0.35">
      <c r="A178">
        <f t="shared" si="17"/>
        <v>1</v>
      </c>
      <c r="B178" s="185">
        <v>333523</v>
      </c>
      <c r="C178" s="291">
        <v>443949</v>
      </c>
      <c r="D178" t="str">
        <v>JCSAT-18/KACIFIC-1</v>
      </c>
      <c r="E178" t="str">
        <v>FUL</v>
      </c>
      <c r="F178" t="str">
        <v>GEO-GSO</v>
      </c>
      <c r="G178" s="283" cm="1">
        <f t="array" ref="G178">_xlfn.IFNA(INDEX('Input Data'!$M$20:$M$963,MATCH(Changes!B178&amp;"_"&amp;Changes!C178,'Input Data'!$B$20:$B$963&amp;"_"&amp;'Input Data'!$C$20:$C$963,0)),INDEX('[2]Input Data'!$L$20:$L$158,MATCH(B178&amp;"_"&amp;C178,'[2]Input Data'!$B$20:$B$158&amp;"_"&amp;'[2]Input Data'!$C$20:$C$158,0)))</f>
        <v>46053</v>
      </c>
      <c r="H178" s="313" cm="1">
        <f t="array" ref="H178">_xlfn._xlws.FILTER('Input Data'!$AA$20:$AA$963,('Input Data'!$B$20:$B$963=Changes!B178)*('Input Data'!$C$20:$C$963=Changes!C178),0)</f>
        <v>0</v>
      </c>
      <c r="I178" s="313" cm="1">
        <f t="array" ref="I178">_xlfn._xlws.FILTER('[2]Input Data'!$AA$20:$AA$173,('[2]Input Data'!$B$20:$B$173=Changes!B178)*('[2]Input Data'!$C$20:$C$173=Changes!C178),0)</f>
        <v>2990981.6104335799</v>
      </c>
      <c r="J178" s="313" cm="1">
        <f t="array" ref="J178">_xlfn._xlws.FILTER('Input Data'!$E$20:$E$963,('Input Data'!$B$20:$B$963=Changes!B178)*('Input Data'!$C$20:$C$963=Changes!C178),0)</f>
        <v>0</v>
      </c>
      <c r="K178" s="283" cm="1">
        <f t="array" ref="K178">_xlfn._xlws.FILTER('Input Data'!$L$20:$L$963,('Input Data'!$B$20:$B$963=Changes!B178)*('Input Data'!$C$20:$C$963=Changes!C178),0)</f>
        <v>0</v>
      </c>
      <c r="L178" s="332" t="str" cm="1">
        <f t="array" ref="L178">_xlfn._xlws.FILTER('[2]Input Data'!$D$20:$D$173,('[2]Input Data'!$B$20:$B$173=Changes!B178)*('[2]Input Data'!$C$20:$C$173=Changes!C178),0)</f>
        <v>In-Orbit</v>
      </c>
      <c r="M178" s="314">
        <f>IFERROR(INDEX('Input Data'!$P$10:$P$14,MATCH(DATEDIF($M$4,G178,"M"),'Input Data'!$O$10:$O$14,1)),0)</f>
        <v>0</v>
      </c>
      <c r="N178" s="227"/>
      <c r="O178" s="227">
        <f>INDEX('Input Data'!$P$10:$P$14,MATCH(DATEDIF($O$4,G178,"M"),'Input Data'!$O$10:$O$14,1))</f>
        <v>0.2</v>
      </c>
      <c r="P178" s="204">
        <f t="shared" si="20"/>
        <v>-2990981.6104335799</v>
      </c>
      <c r="Q178" s="339" t="s">
        <v>359</v>
      </c>
      <c r="R178" cm="1">
        <f t="array" ref="R178">_xlfn.LET(_xlpm.current,INDEX('Input Data'!$M$20:$M$963,MATCH(Changes!B178&amp;"_"&amp;Changes!C178,'Input Data'!$B$20:$B$963&amp;"_"&amp;'Input Data'!$C$20:$C$963,0)),_xlpm.prev,INDEX('[2]Input Data'!$L$20:$L$173,MATCH(B178&amp;"_"&amp;C178,'[2]Input Data'!$B$20:$B$173&amp;"_"&amp;'[2]Input Data'!$C$20:$C$173,0)),
IF(OR(ISNA(_xlpm.current),ISNA(_xlpm.prev)),0,_xlpm.current-_xlpm.prev))</f>
        <v>0</v>
      </c>
      <c r="S178" s="186" t="b">
        <f t="shared" si="21"/>
        <v>1</v>
      </c>
      <c r="T178" t="str" cm="1">
        <f t="array" ref="T178">IFERROR(_xlfn._xlws.FILTER('Input Data'!$N$20:$N$963,('Input Data'!$B$20:$B$963=Changes!B178)*('Input Data'!$C$20:$C$963=Changes!C178)),_xlfn._xlws.FILTER('[2]Input Data'!$M$20:$M$173,('[2]Input Data'!$B$20:$B$173=Changes!B178)*('[2]Input Data'!$C$20:$C$173=Changes!C178)))</f>
        <v>Boeing Satellite Systems Inc.</v>
      </c>
      <c r="V178" s="348" t="s">
        <v>591</v>
      </c>
      <c r="W178" s="227"/>
      <c r="X178" s="265" t="str">
        <v>HISPASAT 30W-6 (HISPASAT 1F)</v>
      </c>
      <c r="Y178" s="266">
        <v>7618716.1751617799</v>
      </c>
      <c r="AB178" s="33"/>
      <c r="AC178" s="33"/>
    </row>
    <row r="179" spans="1:29" x14ac:dyDescent="0.35">
      <c r="A179">
        <f t="shared" si="17"/>
        <v>1</v>
      </c>
      <c r="B179" s="185">
        <v>333523</v>
      </c>
      <c r="C179" s="291">
        <v>443950</v>
      </c>
      <c r="D179" t="str">
        <v>JCSAT-16</v>
      </c>
      <c r="E179" t="str">
        <v>FUL</v>
      </c>
      <c r="F179" t="str">
        <v>GEO-GSO</v>
      </c>
      <c r="G179" s="283" cm="1">
        <f t="array" ref="G179">_xlfn.IFNA(INDEX('Input Data'!$M$20:$M$963,MATCH(Changes!B179&amp;"_"&amp;Changes!C179,'Input Data'!$B$20:$B$963&amp;"_"&amp;'Input Data'!$C$20:$C$963,0)),INDEX('[2]Input Data'!$L$20:$L$158,MATCH(B179&amp;"_"&amp;C179,'[2]Input Data'!$B$20:$B$158&amp;"_"&amp;'[2]Input Data'!$C$20:$C$158,0)))</f>
        <v>46053</v>
      </c>
      <c r="H179" s="313" cm="1">
        <f t="array" ref="H179">_xlfn._xlws.FILTER('Input Data'!$AA$20:$AA$963,('Input Data'!$B$20:$B$963=Changes!B179)*('Input Data'!$C$20:$C$963=Changes!C179),0)</f>
        <v>0</v>
      </c>
      <c r="I179" s="313" cm="1">
        <f t="array" ref="I179">_xlfn._xlws.FILTER('[2]Input Data'!$AA$20:$AA$173,('[2]Input Data'!$B$20:$B$173=Changes!B179)*('[2]Input Data'!$C$20:$C$173=Changes!C179),0)</f>
        <v>1671201.2131404299</v>
      </c>
      <c r="J179" s="346" cm="1">
        <f t="array" ref="J179">_xlfn._xlws.FILTER('Input Data'!$E$20:$E$963,('Input Data'!$B$20:$B$963=Changes!B179)*('Input Data'!$C$20:$C$963=Changes!C179),0)</f>
        <v>0</v>
      </c>
      <c r="K179" s="347" cm="1">
        <f t="array" ref="K179">_xlfn._xlws.FILTER('Input Data'!$L$20:$L$963,('Input Data'!$B$20:$B$963=Changes!B179)*('Input Data'!$C$20:$C$963=Changes!C179),0)</f>
        <v>0</v>
      </c>
      <c r="L179" s="356" t="str" cm="1">
        <f t="array" ref="L179">_xlfn._xlws.FILTER('[2]Input Data'!$D$20:$D$173,('[2]Input Data'!$B$20:$B$173=Changes!B179)*('[2]Input Data'!$C$20:$C$173=Changes!C179),0)</f>
        <v>In-Orbit</v>
      </c>
      <c r="M179" s="314">
        <f>IFERROR(INDEX('Input Data'!$P$10:$P$14,MATCH(DATEDIF($M$4,G179,"M"),'Input Data'!$O$10:$O$14,1)),0)</f>
        <v>0</v>
      </c>
      <c r="N179" s="227"/>
      <c r="O179" s="227">
        <f>INDEX('Input Data'!$P$10:$P$14,MATCH(DATEDIF($O$4,G179,"M"),'Input Data'!$O$10:$O$14,1))</f>
        <v>0.2</v>
      </c>
      <c r="P179" s="204">
        <f t="shared" si="20"/>
        <v>-1671201.2131404299</v>
      </c>
      <c r="Q179" s="339" t="s">
        <v>359</v>
      </c>
      <c r="R179" cm="1">
        <f t="array" ref="R179">_xlfn.LET(_xlpm.current,INDEX('Input Data'!$M$20:$M$963,MATCH(Changes!B179&amp;"_"&amp;Changes!C179,'Input Data'!$B$20:$B$963&amp;"_"&amp;'Input Data'!$C$20:$C$963,0)),_xlpm.prev,INDEX('[2]Input Data'!$L$20:$L$173,MATCH(B179&amp;"_"&amp;C179,'[2]Input Data'!$B$20:$B$173&amp;"_"&amp;'[2]Input Data'!$C$20:$C$173,0)),
IF(OR(ISNA(_xlpm.current),ISNA(_xlpm.prev)),0,_xlpm.current-_xlpm.prev))</f>
        <v>0</v>
      </c>
      <c r="S179" s="186" t="b">
        <f t="shared" si="21"/>
        <v>1</v>
      </c>
      <c r="T179" t="str" cm="1">
        <f t="array" ref="T179">IFERROR(_xlfn._xlws.FILTER('Input Data'!$N$20:$N$963,('Input Data'!$B$20:$B$963=Changes!B179)*('Input Data'!$C$20:$C$963=Changes!C179)),_xlfn._xlws.FILTER('[2]Input Data'!$M$20:$M$173,('[2]Input Data'!$B$20:$B$173=Changes!B179)*('[2]Input Data'!$C$20:$C$173=Changes!C179)))</f>
        <v>SSL (Space Systems/Loral)</v>
      </c>
      <c r="V179" s="348" t="s">
        <v>591</v>
      </c>
      <c r="W179" s="227"/>
      <c r="X179" s="265" t="str">
        <v>AMAZONAS 5</v>
      </c>
      <c r="Y179" s="266">
        <v>3877050.83890505</v>
      </c>
      <c r="AB179" s="33"/>
      <c r="AC179" s="33"/>
    </row>
    <row r="180" spans="1:29" x14ac:dyDescent="0.35">
      <c r="A180">
        <f t="shared" si="17"/>
        <v>1</v>
      </c>
      <c r="B180" s="185">
        <v>333523</v>
      </c>
      <c r="C180" s="291">
        <v>443951</v>
      </c>
      <c r="D180" t="str">
        <v>JCSAT-110A (JCSAT-15)</v>
      </c>
      <c r="E180" t="str">
        <v>FUL</v>
      </c>
      <c r="F180" t="str">
        <v>GEO-GSO</v>
      </c>
      <c r="G180" s="283" cm="1">
        <f t="array" ref="G180">_xlfn.IFNA(INDEX('Input Data'!$M$20:$M$963,MATCH(Changes!B180&amp;"_"&amp;Changes!C180,'Input Data'!$B$20:$B$963&amp;"_"&amp;'Input Data'!$C$20:$C$963,0)),INDEX('[2]Input Data'!$L$20:$L$158,MATCH(B180&amp;"_"&amp;C180,'[2]Input Data'!$B$20:$B$158&amp;"_"&amp;'[2]Input Data'!$C$20:$C$158,0)))</f>
        <v>46053</v>
      </c>
      <c r="H180" s="313" cm="1">
        <f t="array" ref="H180">_xlfn._xlws.FILTER('Input Data'!$AA$20:$AA$963,('Input Data'!$B$20:$B$963=Changes!B180)*('Input Data'!$C$20:$C$963=Changes!C180),0)</f>
        <v>0</v>
      </c>
      <c r="I180" s="313" cm="1">
        <f t="array" ref="I180">_xlfn._xlws.FILTER('[2]Input Data'!$AA$20:$AA$173,('[2]Input Data'!$B$20:$B$173=Changes!B180)*('[2]Input Data'!$C$20:$C$173=Changes!C180),0)</f>
        <v>2108524.8950837199</v>
      </c>
      <c r="J180" s="346" cm="1">
        <f t="array" ref="J180">_xlfn._xlws.FILTER('Input Data'!$E$20:$E$963,('Input Data'!$B$20:$B$963=Changes!B180)*('Input Data'!$C$20:$C$963=Changes!C180),0)</f>
        <v>0</v>
      </c>
      <c r="K180" s="347" cm="1">
        <f t="array" ref="K180">_xlfn._xlws.FILTER('Input Data'!$L$20:$L$963,('Input Data'!$B$20:$B$963=Changes!B180)*('Input Data'!$C$20:$C$963=Changes!C180),0)</f>
        <v>0</v>
      </c>
      <c r="L180" s="356" t="str" cm="1">
        <f t="array" ref="L180">_xlfn._xlws.FILTER('[2]Input Data'!$D$20:$D$173,('[2]Input Data'!$B$20:$B$173=Changes!B180)*('[2]Input Data'!$C$20:$C$173=Changes!C180),0)</f>
        <v>In-Orbit</v>
      </c>
      <c r="M180" s="314">
        <f>IFERROR(INDEX('Input Data'!$P$10:$P$14,MATCH(DATEDIF($M$4,G180,"M"),'Input Data'!$O$10:$O$14,1)),0)</f>
        <v>0</v>
      </c>
      <c r="N180" s="227"/>
      <c r="O180" s="227">
        <f>INDEX('Input Data'!$P$10:$P$14,MATCH(DATEDIF($O$4,G180,"M"),'Input Data'!$O$10:$O$14,1))</f>
        <v>0.2</v>
      </c>
      <c r="P180" s="204">
        <f t="shared" si="20"/>
        <v>-2108524.8950837199</v>
      </c>
      <c r="Q180" s="339" t="s">
        <v>359</v>
      </c>
      <c r="R180" cm="1">
        <f t="array" ref="R180">_xlfn.LET(_xlpm.current,INDEX('Input Data'!$M$20:$M$963,MATCH(Changes!B180&amp;"_"&amp;Changes!C180,'Input Data'!$B$20:$B$963&amp;"_"&amp;'Input Data'!$C$20:$C$963,0)),_xlpm.prev,INDEX('[2]Input Data'!$L$20:$L$173,MATCH(B180&amp;"_"&amp;C180,'[2]Input Data'!$B$20:$B$173&amp;"_"&amp;'[2]Input Data'!$C$20:$C$173,0)),
IF(OR(ISNA(_xlpm.current),ISNA(_xlpm.prev)),0,_xlpm.current-_xlpm.prev))</f>
        <v>0</v>
      </c>
      <c r="S180" s="186" t="b">
        <f t="shared" si="21"/>
        <v>1</v>
      </c>
      <c r="T180" t="str" cm="1">
        <f t="array" ref="T180">IFERROR(_xlfn._xlws.FILTER('Input Data'!$N$20:$N$963,('Input Data'!$B$20:$B$963=Changes!B180)*('Input Data'!$C$20:$C$963=Changes!C180)),_xlfn._xlws.FILTER('[2]Input Data'!$M$20:$M$173,('[2]Input Data'!$B$20:$B$173=Changes!B180)*('[2]Input Data'!$C$20:$C$173=Changes!C180)))</f>
        <v>SSL (Space Systems/Loral)</v>
      </c>
      <c r="V180" s="348" t="s">
        <v>591</v>
      </c>
      <c r="W180" s="227"/>
      <c r="X180" s="265" t="str">
        <v>HISPASAT 30W-5 (HISPASAT 1E)</v>
      </c>
      <c r="Y180" s="266">
        <v>1908722.49728835</v>
      </c>
      <c r="AB180" s="33"/>
      <c r="AC180" s="33"/>
    </row>
    <row r="181" spans="1:29" x14ac:dyDescent="0.35">
      <c r="A181">
        <f t="shared" si="17"/>
        <v>1</v>
      </c>
      <c r="B181" s="185">
        <v>333730</v>
      </c>
      <c r="C181" s="359">
        <v>444266</v>
      </c>
      <c r="D181" t="str">
        <v>JCSAT-17</v>
      </c>
      <c r="E181" t="str">
        <v>FUL</v>
      </c>
      <c r="F181" t="str">
        <v>GEO-GSO</v>
      </c>
      <c r="G181" s="283" cm="1">
        <f t="array" ref="G181">_xlfn.IFNA(INDEX('Input Data'!$M$20:$M$963,MATCH(Changes!B181&amp;"_"&amp;Changes!C181,'Input Data'!$B$20:$B$963&amp;"_"&amp;'Input Data'!$C$20:$C$963,0)),INDEX('[2]Input Data'!$L$20:$L$158,MATCH(B181&amp;"_"&amp;C181,'[2]Input Data'!$B$20:$B$158&amp;"_"&amp;'[2]Input Data'!$C$20:$C$158,0)))</f>
        <v>46072</v>
      </c>
      <c r="H181" s="313" cm="1">
        <f t="array" ref="H181">_xlfn._xlws.FILTER('Input Data'!$AA$20:$AA$963,('Input Data'!$B$20:$B$963=Changes!B181)*('Input Data'!$C$20:$C$963=Changes!C181),0)</f>
        <v>0</v>
      </c>
      <c r="I181" s="313" cm="1">
        <f t="array" ref="I181">_xlfn._xlws.FILTER('[2]Input Data'!$AA$20:$AA$173,('[2]Input Data'!$B$20:$B$173=Changes!B181)*('[2]Input Data'!$C$20:$C$173=Changes!C181),0)</f>
        <v>8176391.2623826005</v>
      </c>
      <c r="J181" s="346" cm="1">
        <f t="array" ref="J181">_xlfn._xlws.FILTER('Input Data'!$E$20:$E$963,('Input Data'!$B$20:$B$963=Changes!B181)*('Input Data'!$C$20:$C$963=Changes!C181),0)</f>
        <v>0</v>
      </c>
      <c r="K181" s="347" cm="1">
        <f t="array" ref="K181">_xlfn._xlws.FILTER('Input Data'!$L$20:$L$963,('Input Data'!$B$20:$B$963=Changes!B181)*('Input Data'!$C$20:$C$963=Changes!C181),0)</f>
        <v>0</v>
      </c>
      <c r="L181" s="356" t="str" cm="1">
        <f t="array" ref="L181">_xlfn._xlws.FILTER('[2]Input Data'!$D$20:$D$173,('[2]Input Data'!$B$20:$B$173=Changes!B181)*('[2]Input Data'!$C$20:$C$173=Changes!C181),0)</f>
        <v>In-Orbit</v>
      </c>
      <c r="M181" s="314">
        <f>IFERROR(INDEX('Input Data'!$P$10:$P$14,MATCH(DATEDIF($M$4,G181,"M"),'Input Data'!$O$10:$O$14,1)),0)</f>
        <v>0</v>
      </c>
      <c r="N181" s="227"/>
      <c r="O181" s="227">
        <f>INDEX('Input Data'!$P$10:$P$14,MATCH(DATEDIF($O$4,G181,"M"),'Input Data'!$O$10:$O$14,1))</f>
        <v>0.2</v>
      </c>
      <c r="P181" s="204">
        <f t="shared" si="20"/>
        <v>-8176391.2623826005</v>
      </c>
      <c r="Q181" s="339" t="s">
        <v>359</v>
      </c>
      <c r="R181" cm="1">
        <f t="array" ref="R181">_xlfn.LET(_xlpm.current,INDEX('Input Data'!$M$20:$M$963,MATCH(Changes!B181&amp;"_"&amp;Changes!C181,'Input Data'!$B$20:$B$963&amp;"_"&amp;'Input Data'!$C$20:$C$963,0)),_xlpm.prev,INDEX('[2]Input Data'!$L$20:$L$173,MATCH(B181&amp;"_"&amp;C181,'[2]Input Data'!$B$20:$B$173&amp;"_"&amp;'[2]Input Data'!$C$20:$C$173,0)),
IF(OR(ISNA(_xlpm.current),ISNA(_xlpm.prev)),0,_xlpm.current-_xlpm.prev))</f>
        <v>0</v>
      </c>
      <c r="S181" s="186" t="b">
        <f t="shared" si="21"/>
        <v>1</v>
      </c>
      <c r="T181" t="str" cm="1">
        <f t="array" ref="T181">IFERROR(_xlfn._xlws.FILTER('Input Data'!$N$20:$N$963,('Input Data'!$B$20:$B$963=Changes!B181)*('Input Data'!$C$20:$C$963=Changes!C181)),_xlfn._xlws.FILTER('[2]Input Data'!$M$20:$M$173,('[2]Input Data'!$B$20:$B$173=Changes!B181)*('[2]Input Data'!$C$20:$C$173=Changes!C181)))</f>
        <v>Lockheed Martin Commercial Space Systems</v>
      </c>
      <c r="V181" s="348" t="s">
        <v>591</v>
      </c>
      <c r="W181" s="227"/>
      <c r="X181" s="265" t="str">
        <v>STAR ONE C4</v>
      </c>
      <c r="Y181" s="266">
        <v>1324629.2761428</v>
      </c>
      <c r="AB181" s="33"/>
      <c r="AC181" s="33"/>
    </row>
    <row r="182" spans="1:29" x14ac:dyDescent="0.35">
      <c r="A182">
        <f t="shared" si="17"/>
        <v>1</v>
      </c>
      <c r="B182" s="185">
        <v>333733</v>
      </c>
      <c r="C182" s="359">
        <v>444269</v>
      </c>
      <c r="D182" t="str">
        <v>JCSAT-17</v>
      </c>
      <c r="E182" t="str">
        <v>FUL</v>
      </c>
      <c r="F182" t="str">
        <v>GEO-GSO</v>
      </c>
      <c r="G182" s="283" cm="1">
        <f t="array" ref="G182">_xlfn.IFNA(INDEX('Input Data'!$M$20:$M$963,MATCH(Changes!B182&amp;"_"&amp;Changes!C182,'Input Data'!$B$20:$B$963&amp;"_"&amp;'Input Data'!$C$20:$C$963,0)),INDEX('[2]Input Data'!$L$20:$L$158,MATCH(B182&amp;"_"&amp;C182,'[2]Input Data'!$B$20:$B$158&amp;"_"&amp;'[2]Input Data'!$C$20:$C$158,0)))</f>
        <v>46072</v>
      </c>
      <c r="H182" s="313" cm="1">
        <f t="array" ref="H182">_xlfn._xlws.FILTER('Input Data'!$AA$20:$AA$963,('Input Data'!$B$20:$B$963=Changes!B182)*('Input Data'!$C$20:$C$963=Changes!C182),0)</f>
        <v>0</v>
      </c>
      <c r="I182" s="313" cm="1">
        <f t="array" ref="I182">_xlfn._xlws.FILTER('[2]Input Data'!$AA$20:$AA$173,('[2]Input Data'!$B$20:$B$173=Changes!B182)*('[2]Input Data'!$C$20:$C$173=Changes!C182),0)</f>
        <v>16981733.242314599</v>
      </c>
      <c r="J182" s="346" cm="1">
        <f t="array" ref="J182">_xlfn._xlws.FILTER('Input Data'!$E$20:$E$963,('Input Data'!$B$20:$B$963=Changes!B182)*('Input Data'!$C$20:$C$963=Changes!C182),0)</f>
        <v>0</v>
      </c>
      <c r="K182" s="347" cm="1">
        <f t="array" ref="K182">_xlfn._xlws.FILTER('Input Data'!$L$20:$L$963,('Input Data'!$B$20:$B$963=Changes!B182)*('Input Data'!$C$20:$C$963=Changes!C182),0)</f>
        <v>0</v>
      </c>
      <c r="L182" s="356" t="str" cm="1">
        <f t="array" ref="L182">_xlfn._xlws.FILTER('[2]Input Data'!$D$20:$D$173,('[2]Input Data'!$B$20:$B$173=Changes!B182)*('[2]Input Data'!$C$20:$C$173=Changes!C182),0)</f>
        <v>In-Orbit</v>
      </c>
      <c r="M182" s="314">
        <f>IFERROR(INDEX('Input Data'!$P$10:$P$14,MATCH(DATEDIF($M$4,G182,"M"),'Input Data'!$O$10:$O$14,1)),0)</f>
        <v>0</v>
      </c>
      <c r="N182" s="227"/>
      <c r="O182" s="227">
        <f>INDEX('Input Data'!$P$10:$P$14,MATCH(DATEDIF($O$4,G182,"M"),'Input Data'!$O$10:$O$14,1))</f>
        <v>0.2</v>
      </c>
      <c r="P182" s="204">
        <f t="shared" si="20"/>
        <v>-16981733.242314599</v>
      </c>
      <c r="Q182" s="339" t="s">
        <v>359</v>
      </c>
      <c r="R182" cm="1">
        <f t="array" ref="R182">_xlfn.LET(_xlpm.current,INDEX('Input Data'!$M$20:$M$963,MATCH(Changes!B182&amp;"_"&amp;Changes!C182,'Input Data'!$B$20:$B$963&amp;"_"&amp;'Input Data'!$C$20:$C$963,0)),_xlpm.prev,INDEX('[2]Input Data'!$L$20:$L$173,MATCH(B182&amp;"_"&amp;C182,'[2]Input Data'!$B$20:$B$173&amp;"_"&amp;'[2]Input Data'!$C$20:$C$173,0)),
IF(OR(ISNA(_xlpm.current),ISNA(_xlpm.prev)),0,_xlpm.current-_xlpm.prev))</f>
        <v>0</v>
      </c>
      <c r="S182" s="186" t="b">
        <f t="shared" si="21"/>
        <v>1</v>
      </c>
      <c r="T182" t="str" cm="1">
        <f t="array" ref="T182">IFERROR(_xlfn._xlws.FILTER('Input Data'!$N$20:$N$963,('Input Data'!$B$20:$B$963=Changes!B182)*('Input Data'!$C$20:$C$963=Changes!C182)),_xlfn._xlws.FILTER('[2]Input Data'!$M$20:$M$173,('[2]Input Data'!$B$20:$B$173=Changes!B182)*('[2]Input Data'!$C$20:$C$173=Changes!C182)))</f>
        <v>Lockheed Martin Commercial Space Systems</v>
      </c>
      <c r="V182" s="348" t="s">
        <v>591</v>
      </c>
      <c r="W182" s="227"/>
      <c r="X182" s="265" t="str">
        <v>AZERSPACE-1/AFRICASAT 1A</v>
      </c>
      <c r="Y182" s="266">
        <v>6576079.0788000003</v>
      </c>
      <c r="AB182" s="33"/>
      <c r="AC182" s="33"/>
    </row>
    <row r="183" spans="1:29" x14ac:dyDescent="0.35">
      <c r="A183">
        <f t="shared" si="17"/>
        <v>1</v>
      </c>
      <c r="B183" s="185">
        <v>334027</v>
      </c>
      <c r="C183" s="361">
        <v>444925</v>
      </c>
      <c r="D183" t="str">
        <v>TELKOMSAT 113BT</v>
      </c>
      <c r="E183" t="str">
        <v>FUL</v>
      </c>
      <c r="F183" t="str">
        <v>GEO-GSO</v>
      </c>
      <c r="G183" s="283" cm="1">
        <f t="array" ref="G183">_xlfn.IFNA(INDEX('Input Data'!$M$20:$M$963,MATCH(Changes!B183&amp;"_"&amp;Changes!C183,'Input Data'!$B$20:$B$963&amp;"_"&amp;'Input Data'!$C$20:$C$963,0)),INDEX('[2]Input Data'!$L$20:$L$158,MATCH(B183&amp;"_"&amp;C183,'[2]Input Data'!$B$20:$B$158&amp;"_"&amp;'[2]Input Data'!$C$20:$C$158,0)))</f>
        <v>46073</v>
      </c>
      <c r="H183" s="313" cm="1">
        <f t="array" ref="H183">_xlfn._xlws.FILTER('Input Data'!$AA$20:$AA$963,('Input Data'!$B$20:$B$963=Changes!B183)*('Input Data'!$C$20:$C$963=Changes!C183),0)</f>
        <v>0</v>
      </c>
      <c r="I183" s="313" cm="1">
        <f t="array" ref="I183">_xlfn._xlws.FILTER('[2]Input Data'!$AA$20:$AA$173,('[2]Input Data'!$B$20:$B$173=Changes!B183)*('[2]Input Data'!$C$20:$C$173=Changes!C183),0)</f>
        <v>21822092.255038898</v>
      </c>
      <c r="J183" s="346" cm="1">
        <f t="array" ref="J183">_xlfn._xlws.FILTER('Input Data'!$E$20:$E$963,('Input Data'!$B$20:$B$963=Changes!B183)*('Input Data'!$C$20:$C$963=Changes!C183),0)</f>
        <v>0</v>
      </c>
      <c r="K183" s="347" cm="1">
        <f t="array" ref="K183">_xlfn._xlws.FILTER('Input Data'!$L$20:$L$963,('Input Data'!$B$20:$B$963=Changes!B183)*('Input Data'!$C$20:$C$963=Changes!C183),0)</f>
        <v>0</v>
      </c>
      <c r="L183" s="356" t="str" cm="1">
        <f t="array" ref="L183">_xlfn._xlws.FILTER('[2]Input Data'!$D$20:$D$173,('[2]Input Data'!$B$20:$B$173=Changes!B183)*('[2]Input Data'!$C$20:$C$173=Changes!C183),0)</f>
        <v>In-Orbit</v>
      </c>
      <c r="M183" s="314">
        <f>IFERROR(INDEX('Input Data'!$P$10:$P$14,MATCH(DATEDIF($M$4,G183,"M"),'Input Data'!$O$10:$O$14,1)),0)</f>
        <v>0</v>
      </c>
      <c r="N183" s="227"/>
      <c r="O183" s="227">
        <f>INDEX('Input Data'!$P$10:$P$14,MATCH(DATEDIF($O$4,G183,"M"),'Input Data'!$O$10:$O$14,1))</f>
        <v>0.2</v>
      </c>
      <c r="P183" s="204">
        <f t="shared" si="20"/>
        <v>-21822092.255038898</v>
      </c>
      <c r="Q183" s="339" t="s">
        <v>359</v>
      </c>
      <c r="R183" cm="1">
        <f t="array" ref="R183">_xlfn.LET(_xlpm.current,INDEX('Input Data'!$M$20:$M$963,MATCH(Changes!B183&amp;"_"&amp;Changes!C183,'Input Data'!$B$20:$B$963&amp;"_"&amp;'Input Data'!$C$20:$C$963,0)),_xlpm.prev,INDEX('[2]Input Data'!$L$20:$L$173,MATCH(B183&amp;"_"&amp;C183,'[2]Input Data'!$B$20:$B$173&amp;"_"&amp;'[2]Input Data'!$C$20:$C$173,0)),
IF(OR(ISNA(_xlpm.current),ISNA(_xlpm.prev)),0,_xlpm.current-_xlpm.prev))</f>
        <v>0</v>
      </c>
      <c r="S183" s="186" t="b">
        <f t="shared" si="21"/>
        <v>1</v>
      </c>
      <c r="T183" t="str" cm="1">
        <f t="array" ref="T183">IFERROR(_xlfn._xlws.FILTER('Input Data'!$N$20:$N$963,('Input Data'!$B$20:$B$963=Changes!B183)*('Input Data'!$C$20:$C$963=Changes!C183)),_xlfn._xlws.FILTER('[2]Input Data'!$M$20:$M$173,('[2]Input Data'!$B$20:$B$173=Changes!B183)*('[2]Input Data'!$C$20:$C$173=Changes!C183)))</f>
        <v>Thales Alenia Space France (Cannes)</v>
      </c>
      <c r="V183" s="348" t="s">
        <v>591</v>
      </c>
      <c r="W183" s="227"/>
      <c r="X183" s="265" t="str">
        <v>JCSAT-2B (JCSAT-14)</v>
      </c>
      <c r="Y183" s="266">
        <v>627113.02780526399</v>
      </c>
      <c r="AB183" s="33"/>
      <c r="AC183" s="33"/>
    </row>
    <row r="184" spans="1:29" x14ac:dyDescent="0.35">
      <c r="A184">
        <f t="shared" si="17"/>
        <v>1</v>
      </c>
      <c r="B184" s="185">
        <v>334728</v>
      </c>
      <c r="C184" s="286">
        <v>446363</v>
      </c>
      <c r="D184" t="str">
        <v>AZERSPACE-1/AFRICASAT 1A</v>
      </c>
      <c r="E184" t="str">
        <v>FUL</v>
      </c>
      <c r="F184" t="str">
        <v>GEO-GSO</v>
      </c>
      <c r="G184" s="283" cm="1">
        <f t="array" ref="G184">_xlfn.IFNA(INDEX('Input Data'!$M$20:$M$963,MATCH(Changes!B184&amp;"_"&amp;Changes!C184,'Input Data'!$B$20:$B$963&amp;"_"&amp;'Input Data'!$C$20:$C$963,0)),INDEX('[2]Input Data'!$L$20:$L$158,MATCH(B184&amp;"_"&amp;C184,'[2]Input Data'!$B$20:$B$158&amp;"_"&amp;'[2]Input Data'!$C$20:$C$158,0)))</f>
        <v>46053</v>
      </c>
      <c r="H184" s="313" cm="1">
        <f t="array" ref="H184">_xlfn._xlws.FILTER('Input Data'!$AA$20:$AA$963,('Input Data'!$B$20:$B$963=Changes!B184)*('Input Data'!$C$20:$C$963=Changes!C184),0)</f>
        <v>0</v>
      </c>
      <c r="I184" s="313" cm="1">
        <f t="array" ref="I184">_xlfn._xlws.FILTER('[2]Input Data'!$AA$20:$AA$173,('[2]Input Data'!$B$20:$B$173=Changes!B184)*('[2]Input Data'!$C$20:$C$173=Changes!C184),0)</f>
        <v>9278349.8814432994</v>
      </c>
      <c r="J184" s="346" cm="1">
        <f t="array" ref="J184">_xlfn._xlws.FILTER('Input Data'!$E$20:$E$963,('Input Data'!$B$20:$B$963=Changes!B184)*('Input Data'!$C$20:$C$963=Changes!C184),0)</f>
        <v>0</v>
      </c>
      <c r="K184" s="347" cm="1">
        <f t="array" ref="K184">_xlfn._xlws.FILTER('Input Data'!$L$20:$L$963,('Input Data'!$B$20:$B$963=Changes!B184)*('Input Data'!$C$20:$C$963=Changes!C184),0)</f>
        <v>0</v>
      </c>
      <c r="L184" s="356" t="str" cm="1">
        <f t="array" ref="L184">_xlfn._xlws.FILTER('[2]Input Data'!$D$20:$D$173,('[2]Input Data'!$B$20:$B$173=Changes!B184)*('[2]Input Data'!$C$20:$C$173=Changes!C184),0)</f>
        <v>In-Orbit</v>
      </c>
      <c r="M184" s="314">
        <f>IFERROR(INDEX('Input Data'!$P$10:$P$14,MATCH(DATEDIF($M$4,G184,"M"),'Input Data'!$O$10:$O$14,1)),0)</f>
        <v>0</v>
      </c>
      <c r="N184" s="227"/>
      <c r="O184" s="227">
        <f>INDEX('Input Data'!$P$10:$P$14,MATCH(DATEDIF($O$4,G184,"M"),'Input Data'!$O$10:$O$14,1))</f>
        <v>0.2</v>
      </c>
      <c r="P184" s="204">
        <f t="shared" si="20"/>
        <v>-9278349.8814432994</v>
      </c>
      <c r="Q184" s="339" t="s">
        <v>359</v>
      </c>
      <c r="R184" cm="1">
        <f t="array" ref="R184">_xlfn.LET(_xlpm.current,INDEX('Input Data'!$M$20:$M$963,MATCH(Changes!B184&amp;"_"&amp;Changes!C184,'Input Data'!$B$20:$B$963&amp;"_"&amp;'Input Data'!$C$20:$C$963,0)),_xlpm.prev,INDEX('[2]Input Data'!$L$20:$L$173,MATCH(B184&amp;"_"&amp;C184,'[2]Input Data'!$B$20:$B$173&amp;"_"&amp;'[2]Input Data'!$C$20:$C$173,0)),
IF(OR(ISNA(_xlpm.current),ISNA(_xlpm.prev)),0,_xlpm.current-_xlpm.prev))</f>
        <v>0</v>
      </c>
      <c r="S184" s="186" t="b">
        <f t="shared" si="21"/>
        <v>1</v>
      </c>
      <c r="T184" t="str" cm="1">
        <f t="array" ref="T184">IFERROR(_xlfn._xlws.FILTER('Input Data'!$N$20:$N$963,('Input Data'!$B$20:$B$963=Changes!B184)*('Input Data'!$C$20:$C$963=Changes!C184)),_xlfn._xlws.FILTER('[2]Input Data'!$M$20:$M$173,('[2]Input Data'!$B$20:$B$173=Changes!B184)*('[2]Input Data'!$C$20:$C$173=Changes!C184)))</f>
        <v>Orbital Sciences Corporation</v>
      </c>
      <c r="V184" s="348" t="s">
        <v>591</v>
      </c>
      <c r="W184" s="227"/>
      <c r="X184" s="265" t="str">
        <v>JCSAT-18/KACIFIC-1</v>
      </c>
      <c r="Y184" s="266">
        <v>1316631.07608199</v>
      </c>
      <c r="AB184" s="33"/>
      <c r="AC184" s="33"/>
    </row>
    <row r="185" spans="1:29" x14ac:dyDescent="0.35">
      <c r="A185">
        <f t="shared" si="17"/>
        <v>1</v>
      </c>
      <c r="B185" s="185">
        <v>335119</v>
      </c>
      <c r="C185">
        <v>447110</v>
      </c>
      <c r="D185" t="str">
        <v>GEO-KOMPSAT-2B</v>
      </c>
      <c r="E185" t="str">
        <v>FUL</v>
      </c>
      <c r="F185" t="str">
        <v>GEO-GSO</v>
      </c>
      <c r="G185" s="283" cm="1">
        <f t="array" ref="G185">_xlfn.IFNA(INDEX('Input Data'!$M$20:$M$963,MATCH(Changes!B185&amp;"_"&amp;Changes!C185,'Input Data'!$B$20:$B$963&amp;"_"&amp;'Input Data'!$C$20:$C$963,0)),INDEX('[2]Input Data'!$L$20:$L$158,MATCH(B185&amp;"_"&amp;C185,'[2]Input Data'!$B$20:$B$158&amp;"_"&amp;'[2]Input Data'!$C$20:$C$158,0)))</f>
        <v>46071</v>
      </c>
      <c r="H185" s="313" cm="1">
        <f t="array" ref="H185">_xlfn._xlws.FILTER('Input Data'!$AA$20:$AA$963,('Input Data'!$B$20:$B$963=Changes!B185)*('Input Data'!$C$20:$C$963=Changes!C185),0)</f>
        <v>0</v>
      </c>
      <c r="I185" s="313" cm="1">
        <f t="array" ref="I185">_xlfn._xlws.FILTER('[2]Input Data'!$AA$20:$AA$173,('[2]Input Data'!$B$20:$B$173=Changes!B185)*('[2]Input Data'!$C$20:$C$173=Changes!C185),0)</f>
        <v>1499366.59543919</v>
      </c>
      <c r="J185" s="346" cm="1">
        <f t="array" ref="J185">_xlfn._xlws.FILTER('Input Data'!$E$20:$E$963,('Input Data'!$B$20:$B$963=Changes!B185)*('Input Data'!$C$20:$C$963=Changes!C185),0)</f>
        <v>0</v>
      </c>
      <c r="K185" s="347" cm="1">
        <f t="array" ref="K185">_xlfn._xlws.FILTER('Input Data'!$L$20:$L$963,('Input Data'!$B$20:$B$963=Changes!B185)*('Input Data'!$C$20:$C$963=Changes!C185),0)</f>
        <v>0</v>
      </c>
      <c r="L185" s="356" t="str" cm="1">
        <f t="array" ref="L185">_xlfn._xlws.FILTER('[2]Input Data'!$D$20:$D$173,('[2]Input Data'!$B$20:$B$173=Changes!B185)*('[2]Input Data'!$C$20:$C$173=Changes!C185),0)</f>
        <v>In-Orbit</v>
      </c>
      <c r="M185" s="314">
        <f>IFERROR(INDEX('Input Data'!$P$10:$P$14,MATCH(DATEDIF($M$4,G185,"M"),'Input Data'!$O$10:$O$14,1)),0)</f>
        <v>0</v>
      </c>
      <c r="N185" s="227"/>
      <c r="O185" s="227">
        <f>INDEX('Input Data'!$P$10:$P$14,MATCH(DATEDIF($O$4,G185,"M"),'Input Data'!$O$10:$O$14,1))</f>
        <v>0.2</v>
      </c>
      <c r="P185" s="204">
        <f t="shared" si="20"/>
        <v>-1499366.59543919</v>
      </c>
      <c r="Q185" s="339" t="s">
        <v>159</v>
      </c>
      <c r="R185" cm="1">
        <f t="array" ref="R185">_xlfn.LET(_xlpm.current,INDEX('Input Data'!$M$20:$M$963,MATCH(Changes!B185&amp;"_"&amp;Changes!C185,'Input Data'!$B$20:$B$963&amp;"_"&amp;'Input Data'!$C$20:$C$963,0)),_xlpm.prev,INDEX('[2]Input Data'!$L$20:$L$173,MATCH(B185&amp;"_"&amp;C185,'[2]Input Data'!$B$20:$B$173&amp;"_"&amp;'[2]Input Data'!$C$20:$C$173,0)),
IF(OR(ISNA(_xlpm.current),ISNA(_xlpm.prev)),0,_xlpm.current-_xlpm.prev))</f>
        <v>0</v>
      </c>
      <c r="S185" s="186" t="b">
        <f t="shared" si="21"/>
        <v>1</v>
      </c>
      <c r="T185" t="str" cm="1">
        <f t="array" ref="T185">IFERROR(_xlfn._xlws.FILTER('Input Data'!$N$20:$N$963,('Input Data'!$B$20:$B$963=Changes!B185)*('Input Data'!$C$20:$C$963=Changes!C185)),_xlfn._xlws.FILTER('[2]Input Data'!$M$20:$M$173,('[2]Input Data'!$B$20:$B$173=Changes!B185)*('[2]Input Data'!$C$20:$C$173=Changes!C185)))</f>
        <v>KARI - Korea Aerospace Research Institute</v>
      </c>
      <c r="V185" s="348" t="s">
        <v>591</v>
      </c>
      <c r="W185" s="227"/>
      <c r="X185" s="265" t="str">
        <v>JCSAT-16</v>
      </c>
      <c r="Y185" s="266">
        <v>413863.97012056701</v>
      </c>
      <c r="AB185" s="33"/>
      <c r="AC185" s="33"/>
    </row>
    <row r="186" spans="1:29" x14ac:dyDescent="0.35">
      <c r="A186">
        <f t="shared" si="17"/>
        <v>1</v>
      </c>
      <c r="B186" s="185">
        <v>337146</v>
      </c>
      <c r="C186">
        <v>450480</v>
      </c>
      <c r="D186" t="str">
        <v>METHANESAT</v>
      </c>
      <c r="E186" t="str">
        <v>FUL</v>
      </c>
      <c r="F186" t="str">
        <v>LEO</v>
      </c>
      <c r="G186" s="283" cm="1">
        <f t="array" ref="G186">_xlfn.IFNA(INDEX('Input Data'!$M$20:$M$963,MATCH(Changes!B186&amp;"_"&amp;Changes!C186,'Input Data'!$B$20:$B$963&amp;"_"&amp;'Input Data'!$C$20:$C$963,0)),INDEX('[2]Input Data'!$L$20:$L$158,MATCH(B186&amp;"_"&amp;C186,'[2]Input Data'!$B$20:$B$158&amp;"_"&amp;'[2]Input Data'!$C$20:$C$158,0)))</f>
        <v>46084</v>
      </c>
      <c r="H186" s="313" cm="1">
        <f t="array" ref="H186">_xlfn._xlws.FILTER('Input Data'!$AA$20:$AA$963,('Input Data'!$B$20:$B$963=Changes!B186)*('Input Data'!$C$20:$C$963=Changes!C186),0)</f>
        <v>0</v>
      </c>
      <c r="I186" s="313" cm="1">
        <f t="array" ref="I186">_xlfn._xlws.FILTER('[2]Input Data'!$AA$20:$AA$173,('[2]Input Data'!$B$20:$B$173=Changes!B186)*('[2]Input Data'!$C$20:$C$173=Changes!C186),0)</f>
        <v>1237113.3999999999</v>
      </c>
      <c r="J186" s="346" cm="1">
        <f t="array" ref="J186">_xlfn._xlws.FILTER('Input Data'!$E$20:$E$963,('Input Data'!$B$20:$B$963=Changes!B186)*('Input Data'!$C$20:$C$963=Changes!C186),0)</f>
        <v>0</v>
      </c>
      <c r="K186" s="347" cm="1">
        <f t="array" ref="K186">_xlfn._xlws.FILTER('Input Data'!$L$20:$L$963,('Input Data'!$B$20:$B$963=Changes!B186)*('Input Data'!$C$20:$C$963=Changes!C186),0)</f>
        <v>0</v>
      </c>
      <c r="L186" s="356" t="str" cm="1">
        <f t="array" ref="L186">_xlfn._xlws.FILTER('[2]Input Data'!$D$20:$D$173,('[2]Input Data'!$B$20:$B$173=Changes!B186)*('[2]Input Data'!$C$20:$C$173=Changes!C186),0)</f>
        <v>In-Orbit</v>
      </c>
      <c r="M186" s="314">
        <f>IFERROR(INDEX('Input Data'!$P$10:$P$14,MATCH(DATEDIF($M$4,G186,"M"),'Input Data'!$O$10:$O$14,1)),0)</f>
        <v>0</v>
      </c>
      <c r="N186" s="227"/>
      <c r="O186" s="227">
        <f>INDEX('Input Data'!$P$10:$P$14,MATCH(DATEDIF($O$4,G186,"M"),'Input Data'!$O$10:$O$14,1))</f>
        <v>0.2</v>
      </c>
      <c r="P186" s="204">
        <f t="shared" si="20"/>
        <v>-1237113.3999999999</v>
      </c>
      <c r="Q186" s="339" t="s">
        <v>159</v>
      </c>
      <c r="R186" cm="1">
        <f t="array" ref="R186">_xlfn.LET(_xlpm.current,INDEX('Input Data'!$M$20:$M$963,MATCH(Changes!B186&amp;"_"&amp;Changes!C186,'Input Data'!$B$20:$B$963&amp;"_"&amp;'Input Data'!$C$20:$C$963,0)),_xlpm.prev,INDEX('[2]Input Data'!$L$20:$L$173,MATCH(B186&amp;"_"&amp;C186,'[2]Input Data'!$B$20:$B$173&amp;"_"&amp;'[2]Input Data'!$C$20:$C$173,0)),
IF(OR(ISNA(_xlpm.current),ISNA(_xlpm.prev)),0,_xlpm.current-_xlpm.prev))</f>
        <v>0</v>
      </c>
      <c r="S186" s="186" t="b">
        <f t="shared" si="21"/>
        <v>1</v>
      </c>
      <c r="T186" t="str" cm="1">
        <f t="array" ref="T186">IFERROR(_xlfn._xlws.FILTER('Input Data'!$N$20:$N$963,('Input Data'!$B$20:$B$963=Changes!B186)*('Input Data'!$C$20:$C$963=Changes!C186)),_xlfn._xlws.FILTER('[2]Input Data'!$M$20:$M$173,('[2]Input Data'!$B$20:$B$173=Changes!B186)*('[2]Input Data'!$C$20:$C$173=Changes!C186)))</f>
        <v>Blue Canyon Technologies (BCT)(Part of Raytheon)</v>
      </c>
      <c r="V186" s="348" t="s">
        <v>591</v>
      </c>
      <c r="W186" s="227"/>
      <c r="X186" s="265" t="str">
        <v>JCSAT-110A (JCSAT-15)</v>
      </c>
      <c r="Y186" s="266">
        <v>680712.43189118395</v>
      </c>
      <c r="AB186" s="33"/>
      <c r="AC186" s="33"/>
    </row>
    <row r="187" spans="1:29" x14ac:dyDescent="0.35">
      <c r="A187">
        <f t="shared" si="17"/>
        <v>1</v>
      </c>
      <c r="B187" s="185">
        <v>339034</v>
      </c>
      <c r="C187">
        <v>453683</v>
      </c>
      <c r="D187" t="str">
        <v>HYLAS 1</v>
      </c>
      <c r="E187" t="str">
        <v>FUL</v>
      </c>
      <c r="F187" t="str">
        <v>GEO-GSO</v>
      </c>
      <c r="G187" s="283" cm="1">
        <f t="array" ref="G187">_xlfn.IFNA(INDEX('Input Data'!$M$20:$M$963,MATCH(Changes!B187&amp;"_"&amp;Changes!C187,'Input Data'!$B$20:$B$963&amp;"_"&amp;'Input Data'!$C$20:$C$963,0)),INDEX('[2]Input Data'!$L$20:$L$158,MATCH(B187&amp;"_"&amp;C187,'[2]Input Data'!$B$20:$B$158&amp;"_"&amp;'[2]Input Data'!$C$20:$C$158,0)))</f>
        <v>46090</v>
      </c>
      <c r="H187" s="313" cm="1">
        <f t="array" ref="H187">_xlfn._xlws.FILTER('Input Data'!$AA$20:$AA$963,('Input Data'!$B$20:$B$963=Changes!B187)*('Input Data'!$C$20:$C$963=Changes!C187),0)</f>
        <v>0</v>
      </c>
      <c r="I187" s="313" cm="1">
        <f t="array" ref="I187">_xlfn._xlws.FILTER('[2]Input Data'!$AA$20:$AA$173,('[2]Input Data'!$B$20:$B$173=Changes!B187)*('[2]Input Data'!$C$20:$C$173=Changes!C187),0)</f>
        <v>2474226.7999999998</v>
      </c>
      <c r="J187" s="346" cm="1">
        <f t="array" ref="J187">_xlfn._xlws.FILTER('Input Data'!$E$20:$E$963,('Input Data'!$B$20:$B$963=Changes!B187)*('Input Data'!$C$20:$C$963=Changes!C187),0)</f>
        <v>0</v>
      </c>
      <c r="K187" s="347" cm="1">
        <f t="array" ref="K187">_xlfn._xlws.FILTER('Input Data'!$L$20:$L$963,('Input Data'!$B$20:$B$963=Changes!B187)*('Input Data'!$C$20:$C$963=Changes!C187),0)</f>
        <v>0</v>
      </c>
      <c r="L187" s="356" t="str" cm="1">
        <f t="array" ref="L187">_xlfn._xlws.FILTER('[2]Input Data'!$D$20:$D$173,('[2]Input Data'!$B$20:$B$173=Changes!B187)*('[2]Input Data'!$C$20:$C$173=Changes!C187),0)</f>
        <v>In-Orbit</v>
      </c>
      <c r="M187" s="314">
        <f>IFERROR(INDEX('Input Data'!$P$10:$P$14,MATCH(DATEDIF($M$4,G187,"M"),'Input Data'!$O$10:$O$14,1)),0)</f>
        <v>0</v>
      </c>
      <c r="N187" s="227"/>
      <c r="O187" s="227">
        <f>INDEX('Input Data'!$P$10:$P$14,MATCH(DATEDIF($O$4,G187,"M"),'Input Data'!$O$10:$O$14,1))</f>
        <v>0.2</v>
      </c>
      <c r="P187" s="204">
        <f t="shared" si="20"/>
        <v>-2474226.7999999998</v>
      </c>
      <c r="Q187" s="420" t="s">
        <v>359</v>
      </c>
      <c r="R187" cm="1">
        <f t="array" ref="R187">_xlfn.LET(_xlpm.current,INDEX('Input Data'!$M$20:$M$963,MATCH(Changes!B187&amp;"_"&amp;Changes!C187,'Input Data'!$B$20:$B$963&amp;"_"&amp;'Input Data'!$C$20:$C$963,0)),_xlpm.prev,INDEX('[2]Input Data'!$L$20:$L$173,MATCH(B187&amp;"_"&amp;C187,'[2]Input Data'!$B$20:$B$173&amp;"_"&amp;'[2]Input Data'!$C$20:$C$173,0)),
IF(OR(ISNA(_xlpm.current),ISNA(_xlpm.prev)),0,_xlpm.current-_xlpm.prev))</f>
        <v>0</v>
      </c>
      <c r="S187" s="186" t="b">
        <f t="shared" si="21"/>
        <v>1</v>
      </c>
      <c r="T187" t="str" cm="1">
        <f t="array" ref="T187">IFERROR(_xlfn._xlws.FILTER('Input Data'!$N$20:$N$963,('Input Data'!$B$20:$B$963=Changes!B187)*('Input Data'!$C$20:$C$963=Changes!C187)),_xlfn._xlws.FILTER('[2]Input Data'!$M$20:$M$173,('[2]Input Data'!$B$20:$B$173=Changes!B187)*('[2]Input Data'!$C$20:$C$173=Changes!C187)))</f>
        <v>U. R. Rao Satellite Centre (URSC)</v>
      </c>
      <c r="V187" s="348" t="s">
        <v>591</v>
      </c>
      <c r="W187" s="227"/>
      <c r="X187" s="265" t="str">
        <v>AL YAH 1</v>
      </c>
      <c r="Y187" s="266">
        <v>12009460.186169799</v>
      </c>
      <c r="AB187" s="33"/>
      <c r="AC187" s="33"/>
    </row>
    <row r="188" spans="1:29" x14ac:dyDescent="0.35">
      <c r="A188">
        <f t="shared" si="17"/>
        <v>1</v>
      </c>
      <c r="B188" s="185">
        <v>339101</v>
      </c>
      <c r="C188">
        <v>453851</v>
      </c>
      <c r="D188" t="str">
        <v>HYLAS 2</v>
      </c>
      <c r="E188" t="str">
        <v>FIID</v>
      </c>
      <c r="F188" t="str">
        <v>GEO-GSO</v>
      </c>
      <c r="G188" s="283" cm="1">
        <f t="array" ref="G188">_xlfn.IFNA(INDEX('Input Data'!$M$20:$M$963,MATCH(Changes!B188&amp;"_"&amp;Changes!C188,'Input Data'!$B$20:$B$963&amp;"_"&amp;'Input Data'!$C$20:$C$963,0)),INDEX('[2]Input Data'!$L$20:$L$158,MATCH(B188&amp;"_"&amp;C188,'[2]Input Data'!$B$20:$B$158&amp;"_"&amp;'[2]Input Data'!$C$20:$C$158,0)))</f>
        <v>46090</v>
      </c>
      <c r="H188" s="313" cm="1">
        <f t="array" ref="H188">_xlfn._xlws.FILTER('Input Data'!$AA$20:$AA$963,('Input Data'!$B$20:$B$963=Changes!B188)*('Input Data'!$C$20:$C$963=Changes!C188),0)</f>
        <v>0</v>
      </c>
      <c r="I188" s="313" cm="1">
        <f t="array" ref="I188">_xlfn._xlws.FILTER('[2]Input Data'!$AA$20:$AA$173,('[2]Input Data'!$B$20:$B$173=Changes!B188)*('[2]Input Data'!$C$20:$C$173=Changes!C188),0)</f>
        <v>4639175.8685566997</v>
      </c>
      <c r="J188" s="346" cm="1">
        <f t="array" ref="J188">_xlfn._xlws.FILTER('Input Data'!$E$20:$E$963,('Input Data'!$B$20:$B$963=Changes!B188)*('Input Data'!$C$20:$C$963=Changes!C188),0)</f>
        <v>0</v>
      </c>
      <c r="K188" s="347" cm="1">
        <f t="array" ref="K188">_xlfn._xlws.FILTER('Input Data'!$L$20:$L$963,('Input Data'!$B$20:$B$963=Changes!B188)*('Input Data'!$C$20:$C$963=Changes!C188),0)</f>
        <v>0</v>
      </c>
      <c r="L188" s="356" t="str" cm="1">
        <f t="array" ref="L188">_xlfn._xlws.FILTER('[2]Input Data'!$D$20:$D$173,('[2]Input Data'!$B$20:$B$173=Changes!B188)*('[2]Input Data'!$C$20:$C$173=Changes!C188),0)</f>
        <v>In-Orbit</v>
      </c>
      <c r="M188" s="314">
        <f>IFERROR(INDEX('Input Data'!$P$10:$P$14,MATCH(DATEDIF($M$4,G188,"M"),'Input Data'!$O$10:$O$14,1)),0)</f>
        <v>0</v>
      </c>
      <c r="N188" s="227"/>
      <c r="O188" s="227">
        <f>INDEX('Input Data'!$P$10:$P$14,MATCH(DATEDIF($O$4,G188,"M"),'Input Data'!$O$10:$O$14,1))</f>
        <v>0.2</v>
      </c>
      <c r="P188" s="204">
        <f t="shared" si="20"/>
        <v>-4639175.8685566997</v>
      </c>
      <c r="Q188" s="420" t="s">
        <v>359</v>
      </c>
      <c r="R188" cm="1">
        <f t="array" ref="R188">_xlfn.LET(_xlpm.current,INDEX('Input Data'!$M$20:$M$963,MATCH(Changes!B188&amp;"_"&amp;Changes!C188,'Input Data'!$B$20:$B$963&amp;"_"&amp;'Input Data'!$C$20:$C$963,0)),_xlpm.prev,INDEX('[2]Input Data'!$L$20:$L$173,MATCH(B188&amp;"_"&amp;C188,'[2]Input Data'!$B$20:$B$173&amp;"_"&amp;'[2]Input Data'!$C$20:$C$173,0)),
IF(OR(ISNA(_xlpm.current),ISNA(_xlpm.prev)),0,_xlpm.current-_xlpm.prev))</f>
        <v>0</v>
      </c>
      <c r="S188" s="186" t="b">
        <f t="shared" si="21"/>
        <v>1</v>
      </c>
      <c r="T188" t="str" cm="1">
        <f t="array" ref="T188">IFERROR(_xlfn._xlws.FILTER('Input Data'!$N$20:$N$963,('Input Data'!$B$20:$B$963=Changes!B188)*('Input Data'!$C$20:$C$963=Changes!C188)),_xlfn._xlws.FILTER('[2]Input Data'!$M$20:$M$173,('[2]Input Data'!$B$20:$B$173=Changes!B188)*('[2]Input Data'!$C$20:$C$173=Changes!C188)))</f>
        <v>Orbital Sciences Corporation</v>
      </c>
      <c r="V188" s="348" t="s">
        <v>591</v>
      </c>
      <c r="W188" s="227"/>
      <c r="X188" s="265" t="str">
        <v>AL YAH 2</v>
      </c>
      <c r="Y188" s="266">
        <v>14760227.604265589</v>
      </c>
      <c r="AB188" s="33"/>
      <c r="AC188" s="33"/>
    </row>
    <row r="189" spans="1:29" x14ac:dyDescent="0.35">
      <c r="A189">
        <f t="shared" si="17"/>
        <v>1</v>
      </c>
      <c r="B189" s="185">
        <v>340272</v>
      </c>
      <c r="C189">
        <v>456796</v>
      </c>
      <c r="D189" t="str">
        <v>EUTELSAT 36D</v>
      </c>
      <c r="E189" t="str">
        <v>FIID</v>
      </c>
      <c r="F189" t="str">
        <v>GEO-GSO</v>
      </c>
      <c r="G189" s="283" cm="1">
        <f t="array" ref="G189">_xlfn.IFNA(INDEX('Input Data'!$M$20:$M$963,MATCH(Changes!B189&amp;"_"&amp;Changes!C189,'Input Data'!$B$20:$B$963&amp;"_"&amp;'Input Data'!$C$20:$C$963,0)),INDEX('[2]Input Data'!$L$20:$L$158,MATCH(B189&amp;"_"&amp;C189,'[2]Input Data'!$B$20:$B$158&amp;"_"&amp;'[2]Input Data'!$C$20:$C$158,0)))</f>
        <v>46112</v>
      </c>
      <c r="H189" s="313" cm="1">
        <f t="array" ref="H189">_xlfn._xlws.FILTER('Input Data'!$AA$20:$AA$963,('Input Data'!$B$20:$B$963=Changes!B189)*('Input Data'!$C$20:$C$963=Changes!C189),0)</f>
        <v>0</v>
      </c>
      <c r="I189" s="313" cm="1">
        <f t="array" ref="I189">_xlfn._xlws.FILTER('[2]Input Data'!$AA$20:$AA$173,('[2]Input Data'!$B$20:$B$173=Changes!B189)*('[2]Input Data'!$C$20:$C$173=Changes!C189),0)</f>
        <v>5668519.87693391</v>
      </c>
      <c r="J189" s="346" cm="1">
        <f t="array" ref="J189">_xlfn._xlws.FILTER('Input Data'!$E$20:$E$963,('Input Data'!$B$20:$B$963=Changes!B189)*('Input Data'!$C$20:$C$963=Changes!C189),0)</f>
        <v>0</v>
      </c>
      <c r="K189" s="347" cm="1">
        <f t="array" ref="K189">_xlfn._xlws.FILTER('Input Data'!$L$20:$L$963,('Input Data'!$B$20:$B$963=Changes!B189)*('Input Data'!$C$20:$C$963=Changes!C189),0)</f>
        <v>0</v>
      </c>
      <c r="L189" s="356" t="str" cm="1">
        <f t="array" ref="L189">_xlfn._xlws.FILTER('[2]Input Data'!$D$20:$D$173,('[2]Input Data'!$B$20:$B$173=Changes!B189)*('[2]Input Data'!$C$20:$C$173=Changes!C189),0)</f>
        <v>In-Orbit</v>
      </c>
      <c r="M189" s="314">
        <f>IFERROR(INDEX('Input Data'!$P$10:$P$14,MATCH(DATEDIF($M$4,G189,"M"),'Input Data'!$O$10:$O$14,1)),0)</f>
        <v>0</v>
      </c>
      <c r="N189" s="227"/>
      <c r="O189" s="227">
        <f>INDEX('Input Data'!$P$10:$P$14,MATCH(DATEDIF($O$4,G189,"M"),'Input Data'!$O$10:$O$14,1))</f>
        <v>0.2</v>
      </c>
      <c r="P189" s="204">
        <f t="shared" si="20"/>
        <v>-5668519.87693391</v>
      </c>
      <c r="Q189" s="339" t="s">
        <v>159</v>
      </c>
      <c r="R189" cm="1">
        <f t="array" ref="R189">_xlfn.LET(_xlpm.current,INDEX('Input Data'!$M$20:$M$963,MATCH(Changes!B189&amp;"_"&amp;Changes!C189,'Input Data'!$B$20:$B$963&amp;"_"&amp;'Input Data'!$C$20:$C$963,0)),_xlpm.prev,INDEX('[2]Input Data'!$L$20:$L$173,MATCH(B189&amp;"_"&amp;C189,'[2]Input Data'!$B$20:$B$173&amp;"_"&amp;'[2]Input Data'!$C$20:$C$173,0)),
IF(OR(ISNA(_xlpm.current),ISNA(_xlpm.prev)),0,_xlpm.current-_xlpm.prev))</f>
        <v>0</v>
      </c>
      <c r="S189" s="186" t="b">
        <f t="shared" si="21"/>
        <v>1</v>
      </c>
      <c r="T189" t="str" cm="1">
        <f t="array" ref="T189">IFERROR(_xlfn._xlws.FILTER('Input Data'!$N$20:$N$963,('Input Data'!$B$20:$B$963=Changes!B189)*('Input Data'!$C$20:$C$963=Changes!C189)),_xlfn._xlws.FILTER('[2]Input Data'!$M$20:$M$173,('[2]Input Data'!$B$20:$B$173=Changes!B189)*('[2]Input Data'!$C$20:$C$173=Changes!C189)))</f>
        <v>Airbus Defence and Space (Toulouse)</v>
      </c>
      <c r="V189" s="348" t="s">
        <v>591</v>
      </c>
      <c r="W189" s="227"/>
      <c r="X189" s="265" t="str">
        <v>THURAYA 4-NGS</v>
      </c>
      <c r="Y189" s="266">
        <v>18529559.999999899</v>
      </c>
      <c r="AB189" s="33"/>
      <c r="AC189" s="33"/>
    </row>
    <row r="190" spans="1:29" x14ac:dyDescent="0.35">
      <c r="A190">
        <f t="shared" si="17"/>
        <v>1</v>
      </c>
      <c r="B190" s="185">
        <v>264788</v>
      </c>
      <c r="C190">
        <v>320668</v>
      </c>
      <c r="D190" t="str">
        <v>THURAYA 4-NGS</v>
      </c>
      <c r="E190" t="str">
        <v>FUL</v>
      </c>
      <c r="F190" t="str">
        <v>GEO-GSO</v>
      </c>
      <c r="G190" s="283" cm="1">
        <f t="array" ref="G190">_xlfn.IFNA(INDEX('Input Data'!$M$20:$M$963,MATCH(Changes!B190&amp;"_"&amp;Changes!C190,'Input Data'!$B$20:$B$963&amp;"_"&amp;'Input Data'!$C$20:$C$963,0)),INDEX('[2]Input Data'!$L$20:$L$158,MATCH(B190&amp;"_"&amp;C190,'[2]Input Data'!$B$20:$B$158&amp;"_"&amp;'[2]Input Data'!$C$20:$C$158,0)))</f>
        <v>46026</v>
      </c>
      <c r="H190" s="313" cm="1">
        <f t="array" ref="H190">_xlfn._xlws.FILTER('Input Data'!$AA$20:$AA$963,('Input Data'!$B$20:$B$963=Changes!B190)*('Input Data'!$C$20:$C$963=Changes!C190),0)</f>
        <v>0</v>
      </c>
      <c r="I190" s="313" cm="1">
        <f t="array" ref="I190">_xlfn._xlws.FILTER('[2]Input Data'!$AA$20:$AA$173,('[2]Input Data'!$B$20:$B$173=Changes!B190)*('[2]Input Data'!$C$20:$C$173=Changes!C190),0)</f>
        <v>17910444</v>
      </c>
      <c r="J190" s="346" cm="1">
        <f t="array" ref="J190">_xlfn._xlws.FILTER('Input Data'!$E$20:$E$963,('Input Data'!$B$20:$B$963=Changes!B190)*('Input Data'!$C$20:$C$963=Changes!C190),0)</f>
        <v>0</v>
      </c>
      <c r="K190" s="347" cm="1">
        <f t="array" ref="K190">_xlfn._xlws.FILTER('Input Data'!$L$20:$L$963,('Input Data'!$B$20:$B$963=Changes!B190)*('Input Data'!$C$20:$C$963=Changes!C190),0)</f>
        <v>0</v>
      </c>
      <c r="L190" s="356" t="str" cm="1">
        <f t="array" ref="L190">_xlfn._xlws.FILTER('[2]Input Data'!$D$20:$D$173,('[2]Input Data'!$B$20:$B$173=Changes!B190)*('[2]Input Data'!$C$20:$C$173=Changes!C190),0)</f>
        <v>L + 12 Months</v>
      </c>
      <c r="M190" s="314">
        <f>IFERROR(INDEX('Input Data'!$P$10:$P$14,MATCH(DATEDIF($M$4,G190,"M"),'Input Data'!$O$10:$O$14,1)),0)</f>
        <v>0</v>
      </c>
      <c r="N190" s="227"/>
      <c r="O190" s="227">
        <f>INDEX('Input Data'!$P$10:$P$14,MATCH(DATEDIF($O$4,G190,"M"),'Input Data'!$O$10:$O$14,1))</f>
        <v>0.2</v>
      </c>
      <c r="P190" s="204">
        <f t="shared" si="20"/>
        <v>-17910444</v>
      </c>
      <c r="Q190" s="339" t="s">
        <v>159</v>
      </c>
      <c r="R190" cm="1">
        <f t="array" ref="R190">_xlfn.LET(_xlpm.current,INDEX('Input Data'!$M$20:$M$963,MATCH(Changes!B190&amp;"_"&amp;Changes!C190,'Input Data'!$B$20:$B$963&amp;"_"&amp;'Input Data'!$C$20:$C$963,0)),_xlpm.prev,INDEX('[2]Input Data'!$L$20:$L$173,MATCH(B190&amp;"_"&amp;C190,'[2]Input Data'!$B$20:$B$173&amp;"_"&amp;'[2]Input Data'!$C$20:$C$173,0)),
IF(OR(ISNA(_xlpm.current),ISNA(_xlpm.prev)),0,_xlpm.current-_xlpm.prev))</f>
        <v>0</v>
      </c>
      <c r="S190" s="186" t="b">
        <f t="shared" si="21"/>
        <v>1</v>
      </c>
      <c r="T190" t="str" cm="1">
        <f t="array" ref="T190">IFERROR(_xlfn._xlws.FILTER('Input Data'!$N$20:$N$963,('Input Data'!$B$20:$B$963=Changes!B190)*('Input Data'!$C$20:$C$963=Changes!C190)),_xlfn._xlws.FILTER('[2]Input Data'!$M$20:$M$173,('[2]Input Data'!$B$20:$B$173=Changes!B190)*('[2]Input Data'!$C$20:$C$173=Changes!C190)))</f>
        <v>Airbus Defence and Space (Toulouse)</v>
      </c>
      <c r="V190" s="348" t="s">
        <v>591</v>
      </c>
      <c r="W190" s="227"/>
      <c r="X190" s="265" t="str">
        <v>TELKOMSAT 113BT</v>
      </c>
      <c r="Y190" s="266">
        <v>12850477.512143709</v>
      </c>
      <c r="AB190" s="33"/>
      <c r="AC190" s="33"/>
    </row>
    <row r="191" spans="1:29" x14ac:dyDescent="0.35">
      <c r="A191">
        <f t="shared" si="17"/>
        <v>1</v>
      </c>
      <c r="B191" s="185">
        <v>264782</v>
      </c>
      <c r="C191">
        <v>320720</v>
      </c>
      <c r="D191" t="str">
        <v>WORLDVIEW LEGION-5</v>
      </c>
      <c r="E191" t="str">
        <v>FUL</v>
      </c>
      <c r="F191" t="str">
        <v>LEO</v>
      </c>
      <c r="G191" s="283" cm="1">
        <f t="array" ref="G191">_xlfn.IFNA(INDEX('Input Data'!$M$20:$M$963,MATCH(Changes!B191&amp;"_"&amp;Changes!C191,'Input Data'!$B$20:$B$963&amp;"_"&amp;'Input Data'!$C$20:$C$963,0)),INDEX('[2]Input Data'!$L$20:$L$158,MATCH(B191&amp;"_"&amp;C191,'[2]Input Data'!$B$20:$B$158&amp;"_"&amp;'[2]Input Data'!$C$20:$C$158,0)))</f>
        <v>46057</v>
      </c>
      <c r="H191" s="313" cm="1">
        <f t="array" ref="H191">_xlfn._xlws.FILTER('Input Data'!$AA$20:$AA$963,('Input Data'!$B$20:$B$963=Changes!B191)*('Input Data'!$C$20:$C$963=Changes!C191),0)</f>
        <v>0</v>
      </c>
      <c r="I191" s="313" cm="1">
        <f t="array" ref="I191">_xlfn._xlws.FILTER('[2]Input Data'!$AA$20:$AA$173,('[2]Input Data'!$B$20:$B$173=Changes!B191)*('[2]Input Data'!$C$20:$C$173=Changes!C191),0)</f>
        <v>7500000</v>
      </c>
      <c r="J191" s="346" cm="1">
        <f t="array" ref="J191">_xlfn._xlws.FILTER('Input Data'!$E$20:$E$963,('Input Data'!$B$20:$B$963=Changes!B191)*('Input Data'!$C$20:$C$963=Changes!C191),0)</f>
        <v>0</v>
      </c>
      <c r="K191" s="347" cm="1">
        <f t="array" ref="K191">_xlfn._xlws.FILTER('Input Data'!$L$20:$L$963,('Input Data'!$B$20:$B$963=Changes!B191)*('Input Data'!$C$20:$C$963=Changes!C191),0)</f>
        <v>0</v>
      </c>
      <c r="L191" s="356" t="str" cm="1">
        <f t="array" ref="L191">_xlfn._xlws.FILTER('[2]Input Data'!$D$20:$D$173,('[2]Input Data'!$B$20:$B$173=Changes!B191)*('[2]Input Data'!$C$20:$C$173=Changes!C191),0)</f>
        <v>L + 12 Months</v>
      </c>
      <c r="M191" s="314">
        <f>IFERROR(INDEX('Input Data'!$P$10:$P$14,MATCH(DATEDIF($M$4,G191,"M"),'Input Data'!$O$10:$O$14,1)),0)</f>
        <v>0</v>
      </c>
      <c r="N191" s="227"/>
      <c r="O191" s="227">
        <f>INDEX('Input Data'!$P$10:$P$14,MATCH(DATEDIF($O$4,G191,"M"),'Input Data'!$O$10:$O$14,1))</f>
        <v>0.2</v>
      </c>
      <c r="P191" s="204">
        <f t="shared" si="20"/>
        <v>-7500000</v>
      </c>
      <c r="Q191" s="339" t="s">
        <v>159</v>
      </c>
      <c r="R191" cm="1">
        <f t="array" ref="R191">_xlfn.LET(_xlpm.current,INDEX('Input Data'!$M$20:$M$963,MATCH(Changes!B191&amp;"_"&amp;Changes!C191,'Input Data'!$B$20:$B$963&amp;"_"&amp;'Input Data'!$C$20:$C$963,0)),_xlpm.prev,INDEX('[2]Input Data'!$L$20:$L$173,MATCH(B191&amp;"_"&amp;C191,'[2]Input Data'!$B$20:$B$173&amp;"_"&amp;'[2]Input Data'!$C$20:$C$173,0)),
IF(OR(ISNA(_xlpm.current),ISNA(_xlpm.prev)),0,_xlpm.current-_xlpm.prev))</f>
        <v>0</v>
      </c>
      <c r="S191" s="186" t="b">
        <f t="shared" si="21"/>
        <v>1</v>
      </c>
      <c r="T191" t="str" cm="1">
        <f t="array" ref="T191">IFERROR(_xlfn._xlws.FILTER('Input Data'!$N$20:$N$963,('Input Data'!$B$20:$B$963=Changes!B191)*('Input Data'!$C$20:$C$963=Changes!C191)),_xlfn._xlws.FILTER('[2]Input Data'!$M$20:$M$173,('[2]Input Data'!$B$20:$B$173=Changes!B191)*('[2]Input Data'!$C$20:$C$173=Changes!C191)))</f>
        <v>SSL (Space Systems/Loral - Part of Maxar)</v>
      </c>
      <c r="V191" s="348" t="s">
        <v>591</v>
      </c>
      <c r="W191" s="227"/>
      <c r="X191" s="265" t="str">
        <v>TUPAC KATARI</v>
      </c>
      <c r="Y191" s="266">
        <v>3092783.5</v>
      </c>
      <c r="AB191" s="33"/>
      <c r="AC191" s="33"/>
    </row>
    <row r="192" spans="1:29" x14ac:dyDescent="0.35">
      <c r="A192">
        <f t="shared" si="17"/>
        <v>1</v>
      </c>
      <c r="B192" s="185">
        <v>264782</v>
      </c>
      <c r="C192">
        <v>320721</v>
      </c>
      <c r="D192" t="str">
        <v>WORLDVIEW LEGION-6</v>
      </c>
      <c r="E192" t="str">
        <v>FUL</v>
      </c>
      <c r="F192" t="str">
        <v>LEO</v>
      </c>
      <c r="G192" s="283" cm="1">
        <f t="array" ref="G192">_xlfn.IFNA(INDEX('Input Data'!$M$20:$M$963,MATCH(Changes!B192&amp;"_"&amp;Changes!C192,'Input Data'!$B$20:$B$963&amp;"_"&amp;'Input Data'!$C$20:$C$963,0)),INDEX('[2]Input Data'!$L$20:$L$158,MATCH(B192&amp;"_"&amp;C192,'[2]Input Data'!$B$20:$B$158&amp;"_"&amp;'[2]Input Data'!$C$20:$C$158,0)))</f>
        <v>46057</v>
      </c>
      <c r="H192" s="313" cm="1">
        <f t="array" ref="H192">_xlfn._xlws.FILTER('Input Data'!$AA$20:$AA$963,('Input Data'!$B$20:$B$963=Changes!B192)*('Input Data'!$C$20:$C$963=Changes!C192),0)</f>
        <v>0</v>
      </c>
      <c r="I192" s="313" cm="1">
        <f t="array" ref="I192">_xlfn._xlws.FILTER('[2]Input Data'!$AA$20:$AA$173,('[2]Input Data'!$B$20:$B$173=Changes!B192)*('[2]Input Data'!$C$20:$C$173=Changes!C192),0)</f>
        <v>7500000</v>
      </c>
      <c r="J192" s="346" cm="1">
        <f t="array" ref="J192">_xlfn._xlws.FILTER('Input Data'!$E$20:$E$963,('Input Data'!$B$20:$B$963=Changes!B192)*('Input Data'!$C$20:$C$963=Changes!C192),0)</f>
        <v>0</v>
      </c>
      <c r="K192" s="347" cm="1">
        <f t="array" ref="K192">_xlfn._xlws.FILTER('Input Data'!$L$20:$L$963,('Input Data'!$B$20:$B$963=Changes!B192)*('Input Data'!$C$20:$C$963=Changes!C192),0)</f>
        <v>0</v>
      </c>
      <c r="L192" s="356" t="str" cm="1">
        <f t="array" ref="L192">_xlfn._xlws.FILTER('[2]Input Data'!$D$20:$D$173,('[2]Input Data'!$B$20:$B$173=Changes!B192)*('[2]Input Data'!$C$20:$C$173=Changes!C192),0)</f>
        <v>L + 12 Months</v>
      </c>
      <c r="M192" s="314">
        <f>IFERROR(INDEX('Input Data'!$P$10:$P$14,MATCH(DATEDIF($M$4,G192,"M"),'Input Data'!$O$10:$O$14,1)),0)</f>
        <v>0</v>
      </c>
      <c r="N192" s="227"/>
      <c r="O192" s="227">
        <f>INDEX('Input Data'!$P$10:$P$14,MATCH(DATEDIF($O$4,G192,"M"),'Input Data'!$O$10:$O$14,1))</f>
        <v>0.2</v>
      </c>
      <c r="P192" s="204">
        <f t="shared" si="20"/>
        <v>-7500000</v>
      </c>
      <c r="Q192" s="339" t="s">
        <v>159</v>
      </c>
      <c r="R192" cm="1">
        <f t="array" ref="R192">_xlfn.LET(_xlpm.current,INDEX('Input Data'!$M$20:$M$963,MATCH(Changes!B192&amp;"_"&amp;Changes!C192,'Input Data'!$B$20:$B$963&amp;"_"&amp;'Input Data'!$C$20:$C$963,0)),_xlpm.prev,INDEX('[2]Input Data'!$L$20:$L$173,MATCH(B192&amp;"_"&amp;C192,'[2]Input Data'!$B$20:$B$173&amp;"_"&amp;'[2]Input Data'!$C$20:$C$173,0)),
IF(OR(ISNA(_xlpm.current),ISNA(_xlpm.prev)),0,_xlpm.current-_xlpm.prev))</f>
        <v>0</v>
      </c>
      <c r="S192" s="186" t="b">
        <f t="shared" si="21"/>
        <v>1</v>
      </c>
      <c r="T192" t="str" cm="1">
        <f t="array" ref="T192">IFERROR(_xlfn._xlws.FILTER('Input Data'!$N$20:$N$963,('Input Data'!$B$20:$B$963=Changes!B192)*('Input Data'!$C$20:$C$963=Changes!C192)),_xlfn._xlws.FILTER('[2]Input Data'!$M$20:$M$173,('[2]Input Data'!$B$20:$B$173=Changes!B192)*('[2]Input Data'!$C$20:$C$173=Changes!C192)))</f>
        <v>SSL (Space Systems/Loral - Part of Maxar)</v>
      </c>
      <c r="V192" s="348" t="s">
        <v>591</v>
      </c>
      <c r="W192" s="227"/>
      <c r="X192" s="265" t="str">
        <v>WORLDVIEW LEGION-6</v>
      </c>
      <c r="Y192" s="266">
        <v>8823600</v>
      </c>
      <c r="AB192" s="33"/>
      <c r="AC192" s="33"/>
    </row>
    <row r="193" spans="1:29" x14ac:dyDescent="0.35">
      <c r="A193">
        <f t="shared" si="17"/>
        <v>1</v>
      </c>
      <c r="B193" s="185">
        <v>302355</v>
      </c>
      <c r="C193">
        <v>381570</v>
      </c>
      <c r="D193" t="str">
        <v>LUXEOSYS (NAOS)</v>
      </c>
      <c r="E193" t="str">
        <v>FIID</v>
      </c>
      <c r="F193" t="str">
        <v>LEO</v>
      </c>
      <c r="G193" s="283" cm="1">
        <f t="array" ref="G193">_xlfn.IFNA(INDEX('Input Data'!$M$20:$M$963,MATCH(Changes!B193&amp;"_"&amp;Changes!C193,'Input Data'!$B$20:$B$963&amp;"_"&amp;'Input Data'!$C$20:$C$963,0)),INDEX('[2]Input Data'!$L$20:$L$158,MATCH(B193&amp;"_"&amp;C193,'[2]Input Data'!$B$20:$B$158&amp;"_"&amp;'[2]Input Data'!$C$20:$C$158,0)))</f>
        <v>46079</v>
      </c>
      <c r="H193" s="313" cm="1">
        <f t="array" ref="H193">_xlfn._xlws.FILTER('Input Data'!$AA$20:$AA$963,('Input Data'!$B$20:$B$963=Changes!B193)*('Input Data'!$C$20:$C$963=Changes!C193),0)</f>
        <v>0</v>
      </c>
      <c r="I193" s="313" cm="1">
        <f t="array" ref="I193">_xlfn._xlws.FILTER('[2]Input Data'!$AA$20:$AA$173,('[2]Input Data'!$B$20:$B$173=Changes!B193)*('[2]Input Data'!$C$20:$C$173=Changes!C193),0)</f>
        <v>25072283.421085998</v>
      </c>
      <c r="J193" s="346" cm="1">
        <f t="array" ref="J193">_xlfn._xlws.FILTER('Input Data'!$E$20:$E$963,('Input Data'!$B$20:$B$963=Changes!B193)*('Input Data'!$C$20:$C$963=Changes!C193),0)</f>
        <v>0</v>
      </c>
      <c r="K193" s="347" cm="1">
        <f t="array" ref="K193">_xlfn._xlws.FILTER('Input Data'!$L$20:$L$963,('Input Data'!$B$20:$B$963=Changes!B193)*('Input Data'!$C$20:$C$963=Changes!C193),0)</f>
        <v>0</v>
      </c>
      <c r="L193" s="356" t="str" cm="1">
        <f t="array" ref="L193">_xlfn._xlws.FILTER('[2]Input Data'!$D$20:$D$173,('[2]Input Data'!$B$20:$B$173=Changes!B193)*('[2]Input Data'!$C$20:$C$173=Changes!C193),0)</f>
        <v>L + 6 Months</v>
      </c>
      <c r="M193" s="314">
        <f>IFERROR(INDEX('Input Data'!$P$10:$P$14,MATCH(DATEDIF($M$4,G193,"M"),'Input Data'!$O$10:$O$14,1)),0)</f>
        <v>0</v>
      </c>
      <c r="N193" s="227"/>
      <c r="O193" s="227">
        <f>INDEX('Input Data'!$P$10:$P$14,MATCH(DATEDIF($O$4,G193,"M"),'Input Data'!$O$10:$O$14,1))</f>
        <v>0.2</v>
      </c>
      <c r="P193" s="204">
        <f t="shared" si="20"/>
        <v>-25072283.421085998</v>
      </c>
      <c r="Q193" s="339" t="s">
        <v>159</v>
      </c>
      <c r="R193" cm="1">
        <f t="array" ref="R193">_xlfn.LET(_xlpm.current,INDEX('Input Data'!$M$20:$M$963,MATCH(Changes!B193&amp;"_"&amp;Changes!C193,'Input Data'!$B$20:$B$963&amp;"_"&amp;'Input Data'!$C$20:$C$963,0)),_xlpm.prev,INDEX('[2]Input Data'!$L$20:$L$173,MATCH(B193&amp;"_"&amp;C193,'[2]Input Data'!$B$20:$B$173&amp;"_"&amp;'[2]Input Data'!$C$20:$C$173,0)),
IF(OR(ISNA(_xlpm.current),ISNA(_xlpm.prev)),0,_xlpm.current-_xlpm.prev))</f>
        <v>0</v>
      </c>
      <c r="S193" s="186" t="b">
        <f t="shared" si="21"/>
        <v>1</v>
      </c>
      <c r="T193" t="str" cm="1">
        <f t="array" ref="T193">IFERROR(_xlfn._xlws.FILTER('Input Data'!$N$20:$N$963,('Input Data'!$B$20:$B$963=Changes!B193)*('Input Data'!$C$20:$C$963=Changes!C193)),_xlfn._xlws.FILTER('[2]Input Data'!$M$20:$M$173,('[2]Input Data'!$B$20:$B$173=Changes!B193)*('[2]Input Data'!$C$20:$C$173=Changes!C193)))</f>
        <v>OHB Italia</v>
      </c>
      <c r="V193" s="348" t="s">
        <v>591</v>
      </c>
      <c r="W193" s="227"/>
      <c r="X193" s="265" t="str">
        <v>WORLDVIEW LEGION-5</v>
      </c>
      <c r="Y193" s="266">
        <v>8823600</v>
      </c>
      <c r="AB193" s="33"/>
      <c r="AC193" s="33"/>
    </row>
    <row r="194" spans="1:29" x14ac:dyDescent="0.35">
      <c r="A194">
        <f t="shared" si="17"/>
        <v>0</v>
      </c>
      <c r="B194" s="185"/>
      <c r="G194" s="283"/>
      <c r="H194" s="313"/>
      <c r="I194" s="313"/>
      <c r="J194" s="313"/>
      <c r="K194" s="283"/>
      <c r="L194" s="332"/>
      <c r="M194" s="314"/>
      <c r="N194" s="227"/>
      <c r="O194" s="227"/>
      <c r="P194" s="204"/>
      <c r="S194" s="186"/>
      <c r="W194" s="227"/>
      <c r="X194" s="265" t="str">
        <v>JCSAT-17</v>
      </c>
      <c r="Y194" s="266">
        <v>22258617.31119312</v>
      </c>
      <c r="AB194" s="33"/>
      <c r="AC194" s="33"/>
    </row>
    <row r="195" spans="1:29" x14ac:dyDescent="0.35">
      <c r="A195">
        <f t="shared" si="17"/>
        <v>0</v>
      </c>
      <c r="B195" s="185"/>
      <c r="G195" s="283"/>
      <c r="H195" s="313"/>
      <c r="I195" s="313"/>
      <c r="J195" s="313"/>
      <c r="K195" s="283"/>
      <c r="L195" s="332"/>
      <c r="M195" s="314"/>
      <c r="N195" s="227"/>
      <c r="O195" s="227"/>
      <c r="P195" s="204"/>
      <c r="S195" s="186"/>
      <c r="W195" s="227"/>
      <c r="X195" s="265" t="str">
        <v>SXM-10</v>
      </c>
      <c r="Y195" s="266">
        <v>39999960</v>
      </c>
      <c r="AB195" s="33"/>
      <c r="AC195" s="33"/>
    </row>
    <row r="196" spans="1:29" x14ac:dyDescent="0.35">
      <c r="A196">
        <f t="shared" si="17"/>
        <v>0</v>
      </c>
      <c r="B196" s="185"/>
      <c r="G196" s="283"/>
      <c r="H196" s="313"/>
      <c r="I196" s="313"/>
      <c r="J196" s="313"/>
      <c r="K196" s="283"/>
      <c r="L196" s="332"/>
      <c r="M196" s="314"/>
      <c r="N196" s="227"/>
      <c r="O196" s="227"/>
      <c r="P196" s="204"/>
      <c r="S196" s="186"/>
      <c r="W196" s="227"/>
      <c r="X196" s="265" t="str">
        <v>ALSAT 3A (AERJILIYA YAOGAN-3A)</v>
      </c>
      <c r="Y196" s="266">
        <v>4999968</v>
      </c>
      <c r="AB196" s="33"/>
      <c r="AC196" s="33"/>
    </row>
    <row r="197" spans="1:29" x14ac:dyDescent="0.35">
      <c r="A197">
        <f t="shared" si="17"/>
        <v>0</v>
      </c>
      <c r="B197" s="185"/>
      <c r="G197" s="2"/>
      <c r="H197" s="204"/>
      <c r="I197" s="204"/>
      <c r="J197" s="204"/>
      <c r="K197" s="204"/>
      <c r="L197" s="332"/>
      <c r="M197" s="227"/>
      <c r="N197" s="227"/>
      <c r="O197" s="227"/>
      <c r="P197" s="204"/>
      <c r="S197" s="186"/>
      <c r="V197" s="90"/>
      <c r="W197" s="227"/>
      <c r="X197" s="265" t="str">
        <v>ALSAT 3B (AERJILIYA YAOGAN-3B)</v>
      </c>
      <c r="Y197" s="266">
        <v>4999956</v>
      </c>
      <c r="AB197" s="33"/>
      <c r="AC197" s="33"/>
    </row>
    <row r="198" spans="1:29" x14ac:dyDescent="0.35">
      <c r="A198">
        <f t="shared" si="17"/>
        <v>0</v>
      </c>
      <c r="B198" s="185"/>
      <c r="G198" s="2"/>
      <c r="H198" s="204"/>
      <c r="I198" s="204"/>
      <c r="J198" s="204"/>
      <c r="K198" s="204"/>
      <c r="L198" s="332"/>
      <c r="M198" s="227"/>
      <c r="N198" s="227"/>
      <c r="O198" s="227"/>
      <c r="P198" s="204"/>
      <c r="S198" s="186"/>
      <c r="V198" s="90"/>
      <c r="W198" s="227"/>
      <c r="X198" s="265" t="str">
        <v>NUSANTARA LIMA</v>
      </c>
      <c r="Y198" s="266">
        <v>35000001</v>
      </c>
      <c r="AB198" s="33"/>
      <c r="AC198" s="33"/>
    </row>
    <row r="199" spans="1:29" x14ac:dyDescent="0.35">
      <c r="A199">
        <f t="shared" si="17"/>
        <v>0</v>
      </c>
      <c r="B199" s="185"/>
      <c r="G199" s="2"/>
      <c r="H199" s="204"/>
      <c r="I199" s="204"/>
      <c r="J199" s="204"/>
      <c r="K199" s="204"/>
      <c r="L199" s="332"/>
      <c r="M199" s="227"/>
      <c r="N199" s="227"/>
      <c r="O199" s="227"/>
      <c r="P199" s="204"/>
      <c r="S199" s="186"/>
      <c r="V199" s="90"/>
      <c r="W199" s="227"/>
      <c r="X199" s="265" t="str">
        <v>HOTSAT-2 (SATELLITE VU 2)</v>
      </c>
      <c r="Y199" s="266">
        <v>2477105.9531910801</v>
      </c>
      <c r="AB199" s="33"/>
      <c r="AC199" s="33"/>
    </row>
    <row r="200" spans="1:29" x14ac:dyDescent="0.35">
      <c r="A200">
        <f t="shared" ref="A200:A263" si="22">IF(B200="",0,COUNTIFS($B$7:$B$999,B200,$C$7:$C$999,C200))</f>
        <v>0</v>
      </c>
      <c r="B200" s="185"/>
      <c r="G200" s="2"/>
      <c r="H200" s="204"/>
      <c r="I200" s="204"/>
      <c r="J200" s="204"/>
      <c r="K200" s="204"/>
      <c r="L200" s="332"/>
      <c r="M200" s="227"/>
      <c r="N200" s="227"/>
      <c r="O200" s="227"/>
      <c r="P200" s="204"/>
      <c r="S200" s="186"/>
      <c r="V200" s="90"/>
      <c r="W200" s="227"/>
      <c r="X200" s="265" t="str">
        <v>HYLAS 2</v>
      </c>
      <c r="Y200" s="266">
        <v>2352960</v>
      </c>
      <c r="AB200" s="33"/>
      <c r="AC200" s="33"/>
    </row>
    <row r="201" spans="1:29" x14ac:dyDescent="0.35">
      <c r="A201">
        <f t="shared" si="22"/>
        <v>0</v>
      </c>
      <c r="B201" s="185"/>
      <c r="G201" s="2"/>
      <c r="H201" s="204"/>
      <c r="I201" s="204"/>
      <c r="J201" s="204"/>
      <c r="K201" s="204"/>
      <c r="L201" s="332"/>
      <c r="M201" s="227"/>
      <c r="N201" s="227"/>
      <c r="O201" s="227"/>
      <c r="P201" s="204"/>
      <c r="S201" s="186"/>
      <c r="V201" s="90"/>
      <c r="W201" s="227"/>
      <c r="X201" s="265" t="str">
        <v>HYLAS 1</v>
      </c>
      <c r="Y201" s="266">
        <v>1352952</v>
      </c>
      <c r="AB201" s="33"/>
      <c r="AC201" s="33"/>
    </row>
    <row r="202" spans="1:29" x14ac:dyDescent="0.35">
      <c r="A202">
        <f t="shared" si="22"/>
        <v>0</v>
      </c>
      <c r="B202" s="185"/>
      <c r="G202" s="2"/>
      <c r="H202" s="204"/>
      <c r="I202" s="204"/>
      <c r="J202" s="204"/>
      <c r="K202" s="204"/>
      <c r="L202" s="332"/>
      <c r="M202" s="227"/>
      <c r="N202" s="227"/>
      <c r="O202" s="227"/>
      <c r="P202" s="204"/>
      <c r="S202" s="186"/>
      <c r="V202" s="90"/>
      <c r="W202" s="227"/>
      <c r="X202" s="265" t="str">
        <v>ANUVU 1 (NUVIEW A)</v>
      </c>
      <c r="Y202" s="266">
        <v>563838.62832000002</v>
      </c>
      <c r="AB202" s="33"/>
      <c r="AC202" s="33"/>
    </row>
    <row r="203" spans="1:29" x14ac:dyDescent="0.35">
      <c r="A203">
        <f t="shared" si="22"/>
        <v>0</v>
      </c>
      <c r="B203" s="185"/>
      <c r="G203" s="2"/>
      <c r="H203" s="204"/>
      <c r="I203" s="204"/>
      <c r="J203" s="204"/>
      <c r="K203" s="204"/>
      <c r="L203" s="332"/>
      <c r="M203" s="227"/>
      <c r="N203" s="227"/>
      <c r="O203" s="227"/>
      <c r="P203" s="204"/>
      <c r="S203" s="186"/>
      <c r="V203" s="90"/>
      <c r="W203" s="227"/>
      <c r="X203" t="str">
        <v>ANUVU 2 (NUVIEW B)</v>
      </c>
      <c r="Y203" s="33">
        <v>563838.62832000002</v>
      </c>
      <c r="AB203" s="33"/>
      <c r="AC203" s="33"/>
    </row>
    <row r="204" spans="1:29" x14ac:dyDescent="0.35">
      <c r="A204">
        <f t="shared" si="22"/>
        <v>0</v>
      </c>
      <c r="B204" s="185"/>
      <c r="G204" s="2"/>
      <c r="H204" s="204"/>
      <c r="I204" s="204"/>
      <c r="J204" s="204"/>
      <c r="K204" s="204"/>
      <c r="L204" s="332"/>
      <c r="M204" s="227"/>
      <c r="N204" s="227"/>
      <c r="O204" s="227"/>
      <c r="P204" s="204"/>
      <c r="S204" s="186"/>
      <c r="V204" s="90"/>
      <c r="W204" s="227"/>
      <c r="X204" t="str">
        <v>AGILA</v>
      </c>
      <c r="Y204" s="33">
        <v>671807.72736000002</v>
      </c>
      <c r="AB204" s="33"/>
      <c r="AC204" s="33"/>
    </row>
    <row r="205" spans="1:29" x14ac:dyDescent="0.35">
      <c r="A205">
        <f t="shared" si="22"/>
        <v>0</v>
      </c>
      <c r="B205" s="185"/>
      <c r="G205" s="2"/>
      <c r="H205" s="204"/>
      <c r="I205" s="204"/>
      <c r="J205" s="204"/>
      <c r="K205" s="204"/>
      <c r="L205" s="332"/>
      <c r="M205" s="227"/>
      <c r="N205" s="227"/>
      <c r="O205" s="227"/>
      <c r="P205" s="204"/>
      <c r="S205" s="186"/>
      <c r="V205" s="90"/>
      <c r="W205" s="227"/>
      <c r="Y205" s="33"/>
      <c r="AB205" s="33"/>
      <c r="AC205" s="33"/>
    </row>
    <row r="206" spans="1:29" x14ac:dyDescent="0.35">
      <c r="A206">
        <f t="shared" si="22"/>
        <v>0</v>
      </c>
      <c r="B206" s="185"/>
      <c r="G206" s="2"/>
      <c r="H206" s="204"/>
      <c r="I206" s="204"/>
      <c r="J206" s="204"/>
      <c r="K206" s="204"/>
      <c r="L206" s="332"/>
      <c r="M206" s="227"/>
      <c r="N206" s="227"/>
      <c r="O206" s="227"/>
      <c r="P206" s="204"/>
      <c r="S206" s="186"/>
      <c r="V206" s="90"/>
      <c r="Y206" s="33"/>
      <c r="AB206" s="33"/>
      <c r="AC206" s="33"/>
    </row>
    <row r="207" spans="1:29" x14ac:dyDescent="0.35">
      <c r="A207">
        <f t="shared" si="22"/>
        <v>0</v>
      </c>
      <c r="B207" s="185"/>
      <c r="G207" s="2"/>
      <c r="H207" s="204"/>
      <c r="I207" s="204"/>
      <c r="J207" s="204"/>
      <c r="K207" s="204"/>
      <c r="L207" s="332"/>
      <c r="M207" s="227"/>
      <c r="N207" s="227"/>
      <c r="O207" s="227"/>
      <c r="P207" s="204"/>
      <c r="S207" s="186"/>
      <c r="V207" s="90"/>
      <c r="Y207" s="33"/>
      <c r="AB207" s="33"/>
      <c r="AC207" s="33"/>
    </row>
    <row r="208" spans="1:29" x14ac:dyDescent="0.35">
      <c r="A208">
        <f t="shared" si="22"/>
        <v>0</v>
      </c>
      <c r="B208" s="185"/>
      <c r="G208" s="2"/>
      <c r="H208" s="204"/>
      <c r="I208" s="204"/>
      <c r="J208" s="204"/>
      <c r="K208" s="204"/>
      <c r="L208" s="332"/>
      <c r="M208" s="227"/>
      <c r="N208" s="227"/>
      <c r="O208" s="227"/>
      <c r="P208" s="204"/>
      <c r="S208" s="186"/>
      <c r="V208" s="90"/>
      <c r="Y208" s="33"/>
      <c r="AB208" s="33"/>
      <c r="AC208" s="33"/>
    </row>
    <row r="209" spans="1:29" x14ac:dyDescent="0.35">
      <c r="A209">
        <f t="shared" si="22"/>
        <v>0</v>
      </c>
      <c r="B209" s="185"/>
      <c r="G209" s="2"/>
      <c r="H209" s="204"/>
      <c r="I209" s="204"/>
      <c r="J209" s="204"/>
      <c r="K209" s="204"/>
      <c r="L209" s="332"/>
      <c r="M209" s="227"/>
      <c r="N209" s="227"/>
      <c r="O209" s="227"/>
      <c r="P209" s="204"/>
      <c r="S209" s="186"/>
      <c r="V209" s="90"/>
      <c r="Y209" s="33"/>
      <c r="AB209" s="33"/>
      <c r="AC209" s="33"/>
    </row>
    <row r="210" spans="1:29" x14ac:dyDescent="0.35">
      <c r="A210">
        <f t="shared" si="22"/>
        <v>0</v>
      </c>
      <c r="B210" s="185"/>
      <c r="G210" s="2"/>
      <c r="H210" s="204"/>
      <c r="I210" s="204"/>
      <c r="J210" s="204"/>
      <c r="K210" s="204"/>
      <c r="L210" s="332"/>
      <c r="M210" s="227"/>
      <c r="N210" s="227"/>
      <c r="O210" s="227"/>
      <c r="P210" s="204"/>
      <c r="S210" s="186"/>
      <c r="V210" s="90"/>
      <c r="Y210" s="33"/>
      <c r="AB210" s="33"/>
      <c r="AC210" s="33"/>
    </row>
    <row r="211" spans="1:29" x14ac:dyDescent="0.35">
      <c r="A211">
        <f t="shared" si="22"/>
        <v>0</v>
      </c>
      <c r="B211" s="185"/>
      <c r="G211" s="2"/>
      <c r="H211" s="204"/>
      <c r="I211" s="204"/>
      <c r="J211" s="204"/>
      <c r="K211" s="204"/>
      <c r="L211" s="332"/>
      <c r="M211" s="227"/>
      <c r="N211" s="227"/>
      <c r="O211" s="227"/>
      <c r="P211" s="204"/>
      <c r="S211" s="186"/>
      <c r="V211" s="90"/>
      <c r="Y211" s="33"/>
      <c r="AB211" s="33"/>
      <c r="AC211" s="33"/>
    </row>
    <row r="212" spans="1:29" x14ac:dyDescent="0.35">
      <c r="A212">
        <f t="shared" si="22"/>
        <v>0</v>
      </c>
      <c r="B212" s="185"/>
      <c r="G212" s="2"/>
      <c r="H212" s="204"/>
      <c r="I212" s="204"/>
      <c r="J212" s="204"/>
      <c r="K212" s="204"/>
      <c r="L212" s="332"/>
      <c r="M212" s="227"/>
      <c r="N212" s="227"/>
      <c r="O212" s="227"/>
      <c r="P212" s="204"/>
      <c r="S212" s="186"/>
      <c r="V212" s="90"/>
      <c r="Y212" s="33"/>
      <c r="AB212" s="33"/>
      <c r="AC212" s="33"/>
    </row>
    <row r="213" spans="1:29" x14ac:dyDescent="0.35">
      <c r="A213">
        <f t="shared" si="22"/>
        <v>0</v>
      </c>
      <c r="B213" s="185"/>
      <c r="G213" s="2"/>
      <c r="H213" s="204"/>
      <c r="I213" s="204"/>
      <c r="J213" s="204"/>
      <c r="K213" s="204"/>
      <c r="L213" s="332"/>
      <c r="M213" s="227"/>
      <c r="N213" s="227"/>
      <c r="O213" s="227"/>
      <c r="P213" s="204"/>
      <c r="S213" s="186"/>
      <c r="V213" s="90"/>
      <c r="Y213" s="33"/>
      <c r="AB213" s="33"/>
      <c r="AC213" s="33"/>
    </row>
    <row r="214" spans="1:29" x14ac:dyDescent="0.35">
      <c r="A214">
        <f t="shared" si="22"/>
        <v>0</v>
      </c>
      <c r="B214" s="185"/>
      <c r="G214" s="2"/>
      <c r="H214" s="204"/>
      <c r="I214" s="204"/>
      <c r="J214" s="204"/>
      <c r="K214" s="204"/>
      <c r="L214" s="332"/>
      <c r="M214" s="227"/>
      <c r="N214" s="227"/>
      <c r="O214" s="227"/>
      <c r="P214" s="204"/>
      <c r="S214" s="186"/>
      <c r="V214" s="90"/>
      <c r="Y214" s="33"/>
      <c r="AB214" s="33"/>
      <c r="AC214" s="33"/>
    </row>
    <row r="215" spans="1:29" x14ac:dyDescent="0.35">
      <c r="A215">
        <f t="shared" si="22"/>
        <v>0</v>
      </c>
      <c r="B215" s="185"/>
      <c r="G215" s="2"/>
      <c r="H215" s="204"/>
      <c r="I215" s="204"/>
      <c r="J215" s="204"/>
      <c r="K215" s="204"/>
      <c r="L215" s="332"/>
      <c r="M215" s="227"/>
      <c r="N215" s="227"/>
      <c r="O215" s="227"/>
      <c r="P215" s="204"/>
      <c r="S215" s="186"/>
      <c r="V215" s="90"/>
      <c r="Y215" s="33"/>
      <c r="AB215" s="33"/>
      <c r="AC215" s="33"/>
    </row>
    <row r="216" spans="1:29" x14ac:dyDescent="0.35">
      <c r="A216">
        <f t="shared" si="22"/>
        <v>0</v>
      </c>
      <c r="B216" s="185"/>
      <c r="G216" s="2"/>
      <c r="H216" s="204"/>
      <c r="I216" s="204"/>
      <c r="J216" s="204"/>
      <c r="K216" s="204"/>
      <c r="L216" s="332"/>
      <c r="M216" s="227"/>
      <c r="N216" s="227"/>
      <c r="O216" s="227"/>
      <c r="P216" s="204"/>
      <c r="S216" s="186"/>
      <c r="V216" s="90"/>
      <c r="AB216" s="33"/>
      <c r="AC216" s="33"/>
    </row>
    <row r="217" spans="1:29" x14ac:dyDescent="0.35">
      <c r="A217">
        <f t="shared" si="22"/>
        <v>0</v>
      </c>
      <c r="B217" s="185"/>
      <c r="G217" s="2"/>
      <c r="H217" s="204"/>
      <c r="I217" s="204"/>
      <c r="J217" s="204"/>
      <c r="K217" s="204"/>
      <c r="L217" s="332"/>
      <c r="M217" s="227"/>
      <c r="N217" s="227"/>
      <c r="O217" s="227"/>
      <c r="P217" s="204"/>
      <c r="S217" s="186"/>
      <c r="V217" s="90"/>
      <c r="AB217" s="33"/>
      <c r="AC217" s="33"/>
    </row>
    <row r="218" spans="1:29" x14ac:dyDescent="0.35">
      <c r="A218">
        <f t="shared" si="22"/>
        <v>0</v>
      </c>
      <c r="B218" s="185"/>
      <c r="G218" s="2"/>
      <c r="H218" s="204"/>
      <c r="I218" s="204"/>
      <c r="J218" s="204"/>
      <c r="K218" s="204"/>
      <c r="L218" s="332"/>
      <c r="M218" s="227"/>
      <c r="N218" s="227"/>
      <c r="O218" s="227"/>
      <c r="P218" s="204"/>
      <c r="S218" s="186"/>
      <c r="V218" s="90"/>
      <c r="AB218" s="33"/>
      <c r="AC218" s="33"/>
    </row>
    <row r="219" spans="1:29" x14ac:dyDescent="0.35">
      <c r="A219">
        <f t="shared" si="22"/>
        <v>0</v>
      </c>
      <c r="B219" s="185"/>
      <c r="G219" s="2"/>
      <c r="H219" s="204"/>
      <c r="I219" s="204"/>
      <c r="J219" s="204"/>
      <c r="K219" s="204"/>
      <c r="L219" s="332"/>
      <c r="M219" s="227"/>
      <c r="N219" s="227"/>
      <c r="O219" s="227"/>
      <c r="P219" s="204"/>
      <c r="S219" s="186"/>
      <c r="V219" s="90"/>
      <c r="AB219" s="33"/>
      <c r="AC219" s="33"/>
    </row>
    <row r="220" spans="1:29" x14ac:dyDescent="0.35">
      <c r="A220">
        <f t="shared" si="22"/>
        <v>0</v>
      </c>
      <c r="B220" s="185"/>
      <c r="G220" s="2"/>
      <c r="H220" s="204"/>
      <c r="I220" s="204"/>
      <c r="J220" s="204"/>
      <c r="K220" s="204"/>
      <c r="L220" s="332"/>
      <c r="M220" s="227"/>
      <c r="N220" s="227"/>
      <c r="O220" s="227"/>
      <c r="P220" s="204"/>
      <c r="S220" s="186"/>
      <c r="V220" s="90"/>
      <c r="AB220" s="33"/>
      <c r="AC220" s="33"/>
    </row>
    <row r="221" spans="1:29" x14ac:dyDescent="0.35">
      <c r="A221">
        <f t="shared" si="22"/>
        <v>0</v>
      </c>
      <c r="B221" s="185"/>
      <c r="G221" s="2"/>
      <c r="H221" s="204"/>
      <c r="I221" s="204"/>
      <c r="J221" s="204"/>
      <c r="K221" s="204"/>
      <c r="L221" s="332"/>
      <c r="M221" s="227"/>
      <c r="N221" s="227"/>
      <c r="O221" s="227"/>
      <c r="P221" s="204"/>
      <c r="S221" s="186"/>
      <c r="V221" s="90"/>
      <c r="AB221" s="33"/>
      <c r="AC221" s="33"/>
    </row>
    <row r="222" spans="1:29" x14ac:dyDescent="0.35">
      <c r="A222">
        <f t="shared" si="22"/>
        <v>0</v>
      </c>
      <c r="B222" s="185"/>
      <c r="G222" s="2"/>
      <c r="H222" s="204"/>
      <c r="I222" s="204"/>
      <c r="J222" s="204"/>
      <c r="K222" s="204"/>
      <c r="L222" s="332"/>
      <c r="M222" s="227"/>
      <c r="N222" s="227"/>
      <c r="O222" s="227"/>
      <c r="P222" s="204"/>
      <c r="S222" s="186"/>
      <c r="V222" s="90"/>
      <c r="AB222" s="33"/>
      <c r="AC222" s="33"/>
    </row>
    <row r="223" spans="1:29" x14ac:dyDescent="0.35">
      <c r="A223">
        <f t="shared" si="22"/>
        <v>0</v>
      </c>
      <c r="B223" s="185"/>
      <c r="G223" s="2"/>
      <c r="H223" s="204"/>
      <c r="I223" s="204"/>
      <c r="J223" s="204"/>
      <c r="K223" s="204"/>
      <c r="L223" s="332"/>
      <c r="M223" s="227"/>
      <c r="N223" s="227"/>
      <c r="O223" s="227"/>
      <c r="P223" s="204"/>
      <c r="S223" s="186"/>
      <c r="V223" s="90"/>
      <c r="AB223" s="33"/>
      <c r="AC223" s="33"/>
    </row>
    <row r="224" spans="1:29" x14ac:dyDescent="0.35">
      <c r="A224">
        <f t="shared" si="22"/>
        <v>0</v>
      </c>
      <c r="B224" s="185"/>
      <c r="G224" s="2"/>
      <c r="H224" s="204"/>
      <c r="I224" s="204"/>
      <c r="J224" s="204"/>
      <c r="K224" s="204"/>
      <c r="L224" s="332"/>
      <c r="M224" s="227"/>
      <c r="N224" s="227"/>
      <c r="O224" s="227"/>
      <c r="P224" s="204"/>
      <c r="S224" s="186"/>
      <c r="V224" s="90"/>
      <c r="AB224" s="33"/>
      <c r="AC224" s="33"/>
    </row>
    <row r="225" spans="1:29" x14ac:dyDescent="0.35">
      <c r="A225">
        <f t="shared" si="22"/>
        <v>0</v>
      </c>
      <c r="B225" s="185"/>
      <c r="G225" s="2"/>
      <c r="H225" s="204"/>
      <c r="I225" s="204"/>
      <c r="J225" s="204"/>
      <c r="K225" s="204"/>
      <c r="L225" s="332"/>
      <c r="M225" s="227"/>
      <c r="N225" s="227"/>
      <c r="O225" s="227"/>
      <c r="P225" s="204"/>
      <c r="S225" s="186"/>
      <c r="V225" s="90"/>
      <c r="AB225" s="33"/>
      <c r="AC225" s="33"/>
    </row>
    <row r="226" spans="1:29" x14ac:dyDescent="0.35">
      <c r="A226">
        <f t="shared" si="22"/>
        <v>0</v>
      </c>
      <c r="B226" s="185"/>
      <c r="G226" s="2"/>
      <c r="H226" s="204"/>
      <c r="I226" s="204"/>
      <c r="J226" s="204"/>
      <c r="K226" s="204"/>
      <c r="L226" s="332"/>
      <c r="M226" s="227"/>
      <c r="N226" s="227"/>
      <c r="O226" s="227"/>
      <c r="P226" s="204"/>
      <c r="S226" s="186"/>
      <c r="V226" s="90"/>
      <c r="AB226" s="33"/>
      <c r="AC226" s="33"/>
    </row>
    <row r="227" spans="1:29" x14ac:dyDescent="0.35">
      <c r="A227">
        <f t="shared" si="22"/>
        <v>0</v>
      </c>
      <c r="B227" s="185"/>
      <c r="G227" s="2"/>
      <c r="H227" s="204"/>
      <c r="I227" s="204"/>
      <c r="J227" s="204"/>
      <c r="K227" s="204"/>
      <c r="L227" s="332"/>
      <c r="M227" s="227"/>
      <c r="N227" s="227"/>
      <c r="O227" s="227"/>
      <c r="P227" s="204"/>
      <c r="S227" s="186"/>
      <c r="V227" s="90"/>
      <c r="AB227" s="33"/>
      <c r="AC227" s="33"/>
    </row>
    <row r="228" spans="1:29" x14ac:dyDescent="0.35">
      <c r="A228">
        <f t="shared" si="22"/>
        <v>0</v>
      </c>
      <c r="B228" s="185"/>
      <c r="G228" s="2"/>
      <c r="H228" s="204"/>
      <c r="I228" s="204"/>
      <c r="J228" s="204"/>
      <c r="K228" s="204"/>
      <c r="L228" s="332"/>
      <c r="M228" s="227"/>
      <c r="N228" s="227"/>
      <c r="O228" s="227"/>
      <c r="P228" s="204"/>
      <c r="S228" s="186"/>
      <c r="V228" s="90"/>
      <c r="AB228" s="33"/>
      <c r="AC228" s="33"/>
    </row>
    <row r="229" spans="1:29" x14ac:dyDescent="0.35">
      <c r="A229">
        <f t="shared" si="22"/>
        <v>0</v>
      </c>
      <c r="B229" s="185"/>
      <c r="G229" s="2"/>
      <c r="H229" s="204"/>
      <c r="I229" s="204"/>
      <c r="J229" s="204"/>
      <c r="K229" s="204"/>
      <c r="L229" s="332"/>
      <c r="M229" s="227"/>
      <c r="N229" s="227"/>
      <c r="O229" s="227"/>
      <c r="P229" s="204"/>
      <c r="S229" s="186"/>
      <c r="V229" s="90"/>
      <c r="AB229" s="33"/>
      <c r="AC229" s="33"/>
    </row>
    <row r="230" spans="1:29" x14ac:dyDescent="0.35">
      <c r="A230">
        <f t="shared" si="22"/>
        <v>0</v>
      </c>
      <c r="B230" s="185"/>
      <c r="G230" s="2"/>
      <c r="H230" s="204"/>
      <c r="I230" s="204"/>
      <c r="J230" s="204"/>
      <c r="K230" s="204"/>
      <c r="L230" s="332"/>
      <c r="M230" s="227"/>
      <c r="N230" s="227"/>
      <c r="O230" s="227"/>
      <c r="P230" s="204"/>
      <c r="S230" s="186"/>
      <c r="V230" s="90"/>
      <c r="AB230" s="33"/>
      <c r="AC230" s="33"/>
    </row>
    <row r="231" spans="1:29" x14ac:dyDescent="0.35">
      <c r="A231">
        <f t="shared" si="22"/>
        <v>0</v>
      </c>
      <c r="B231" s="185"/>
      <c r="G231" s="2"/>
      <c r="H231" s="204"/>
      <c r="I231" s="204"/>
      <c r="J231" s="204"/>
      <c r="K231" s="204"/>
      <c r="L231" s="332"/>
      <c r="M231" s="227"/>
      <c r="N231" s="227"/>
      <c r="O231" s="227"/>
      <c r="P231" s="204"/>
      <c r="S231" s="186"/>
      <c r="V231" s="90"/>
      <c r="AB231" s="33"/>
      <c r="AC231" s="33"/>
    </row>
    <row r="232" spans="1:29" x14ac:dyDescent="0.35">
      <c r="A232">
        <f t="shared" si="22"/>
        <v>0</v>
      </c>
      <c r="B232" s="185"/>
      <c r="G232" s="2"/>
      <c r="H232" s="204"/>
      <c r="I232" s="204"/>
      <c r="J232" s="204"/>
      <c r="K232" s="204"/>
      <c r="L232" s="332"/>
      <c r="M232" s="227"/>
      <c r="N232" s="227"/>
      <c r="O232" s="227"/>
      <c r="P232" s="204"/>
      <c r="S232" s="186"/>
      <c r="V232" s="90"/>
      <c r="AB232" s="33"/>
      <c r="AC232" s="33"/>
    </row>
    <row r="233" spans="1:29" x14ac:dyDescent="0.35">
      <c r="A233">
        <f t="shared" si="22"/>
        <v>0</v>
      </c>
      <c r="B233" s="185"/>
      <c r="G233" s="2"/>
      <c r="H233" s="204"/>
      <c r="I233" s="204"/>
      <c r="J233" s="204"/>
      <c r="K233" s="204"/>
      <c r="L233" s="332"/>
      <c r="M233" s="227"/>
      <c r="N233" s="227"/>
      <c r="O233" s="227"/>
      <c r="P233" s="204"/>
      <c r="S233" s="186"/>
      <c r="V233" s="90"/>
      <c r="AB233" s="33"/>
      <c r="AC233" s="33"/>
    </row>
    <row r="234" spans="1:29" x14ac:dyDescent="0.35">
      <c r="A234">
        <f t="shared" si="22"/>
        <v>0</v>
      </c>
      <c r="B234" s="185"/>
      <c r="G234" s="2"/>
      <c r="H234" s="204"/>
      <c r="I234" s="204"/>
      <c r="J234" s="204"/>
      <c r="K234" s="204"/>
      <c r="L234" s="332"/>
      <c r="M234" s="227"/>
      <c r="N234" s="227"/>
      <c r="O234" s="227"/>
      <c r="P234" s="204"/>
      <c r="S234" s="186"/>
      <c r="V234" s="90"/>
      <c r="AB234" s="33"/>
      <c r="AC234" s="33"/>
    </row>
    <row r="235" spans="1:29" x14ac:dyDescent="0.35">
      <c r="A235">
        <f t="shared" si="22"/>
        <v>0</v>
      </c>
      <c r="B235" s="185"/>
      <c r="G235" s="2"/>
      <c r="H235" s="204"/>
      <c r="I235" s="204"/>
      <c r="J235" s="204"/>
      <c r="K235" s="204"/>
      <c r="L235" s="332"/>
      <c r="M235" s="227"/>
      <c r="N235" s="227"/>
      <c r="O235" s="227"/>
      <c r="P235" s="204"/>
      <c r="S235" s="186"/>
      <c r="V235" s="90"/>
      <c r="AB235" s="33"/>
      <c r="AC235" s="33"/>
    </row>
    <row r="236" spans="1:29" x14ac:dyDescent="0.35">
      <c r="A236">
        <f t="shared" si="22"/>
        <v>0</v>
      </c>
      <c r="B236" s="185"/>
      <c r="G236" s="2"/>
      <c r="H236" s="204"/>
      <c r="I236" s="204"/>
      <c r="J236" s="204"/>
      <c r="K236" s="204"/>
      <c r="L236" s="332"/>
      <c r="M236" s="227"/>
      <c r="N236" s="227"/>
      <c r="O236" s="227"/>
      <c r="P236" s="204"/>
      <c r="S236" s="186"/>
      <c r="V236" s="90"/>
      <c r="AB236" s="33"/>
      <c r="AC236" s="33"/>
    </row>
    <row r="237" spans="1:29" x14ac:dyDescent="0.35">
      <c r="A237">
        <f t="shared" si="22"/>
        <v>0</v>
      </c>
      <c r="B237" s="185"/>
      <c r="G237" s="2"/>
      <c r="H237" s="204"/>
      <c r="I237" s="204"/>
      <c r="J237" s="204"/>
      <c r="K237" s="204"/>
      <c r="L237" s="332"/>
      <c r="M237" s="227"/>
      <c r="N237" s="227"/>
      <c r="O237" s="227"/>
      <c r="P237" s="204"/>
      <c r="S237" s="186"/>
      <c r="V237" s="90"/>
      <c r="AB237" s="33"/>
      <c r="AC237" s="33"/>
    </row>
    <row r="238" spans="1:29" x14ac:dyDescent="0.35">
      <c r="A238">
        <f t="shared" si="22"/>
        <v>0</v>
      </c>
      <c r="B238" s="185"/>
      <c r="G238" s="2"/>
      <c r="H238" s="204"/>
      <c r="I238" s="204"/>
      <c r="J238" s="204"/>
      <c r="K238" s="204"/>
      <c r="L238" s="332"/>
      <c r="M238" s="227"/>
      <c r="N238" s="227"/>
      <c r="O238" s="227"/>
      <c r="P238" s="204"/>
      <c r="S238" s="186"/>
      <c r="V238" s="90"/>
      <c r="AB238" s="33"/>
      <c r="AC238" s="33"/>
    </row>
    <row r="239" spans="1:29" x14ac:dyDescent="0.35">
      <c r="A239">
        <f t="shared" si="22"/>
        <v>0</v>
      </c>
      <c r="B239" s="185"/>
      <c r="G239" s="2"/>
      <c r="H239" s="204"/>
      <c r="I239" s="204"/>
      <c r="J239" s="204"/>
      <c r="K239" s="204"/>
      <c r="L239" s="332"/>
      <c r="M239" s="227"/>
      <c r="N239" s="227"/>
      <c r="O239" s="227"/>
      <c r="P239" s="204"/>
      <c r="S239" s="186"/>
      <c r="V239" s="90"/>
      <c r="AB239" s="33"/>
      <c r="AC239" s="33"/>
    </row>
    <row r="240" spans="1:29" x14ac:dyDescent="0.35">
      <c r="A240">
        <f t="shared" si="22"/>
        <v>0</v>
      </c>
      <c r="B240" s="185"/>
      <c r="G240" s="2"/>
      <c r="H240" s="204"/>
      <c r="I240" s="204"/>
      <c r="J240" s="204"/>
      <c r="K240" s="204"/>
      <c r="L240" s="332"/>
      <c r="M240" s="227"/>
      <c r="N240" s="227"/>
      <c r="O240" s="227"/>
      <c r="P240" s="204"/>
      <c r="S240" s="186"/>
      <c r="V240" s="90"/>
      <c r="AB240" s="33"/>
      <c r="AC240" s="33"/>
    </row>
    <row r="241" spans="1:29" x14ac:dyDescent="0.35">
      <c r="A241">
        <f t="shared" si="22"/>
        <v>0</v>
      </c>
      <c r="B241" s="185"/>
      <c r="G241" s="2"/>
      <c r="H241" s="204"/>
      <c r="I241" s="204"/>
      <c r="J241" s="204"/>
      <c r="K241" s="204"/>
      <c r="L241" s="332"/>
      <c r="M241" s="227"/>
      <c r="N241" s="227"/>
      <c r="O241" s="227"/>
      <c r="P241" s="204"/>
      <c r="S241" s="186"/>
      <c r="V241" s="90"/>
      <c r="AB241" s="33"/>
      <c r="AC241" s="33"/>
    </row>
    <row r="242" spans="1:29" x14ac:dyDescent="0.35">
      <c r="A242">
        <f t="shared" si="22"/>
        <v>0</v>
      </c>
      <c r="B242" s="185"/>
      <c r="G242" s="2"/>
      <c r="H242" s="204"/>
      <c r="I242" s="204"/>
      <c r="J242" s="204"/>
      <c r="K242" s="204"/>
      <c r="L242" s="332"/>
      <c r="M242" s="227"/>
      <c r="N242" s="227"/>
      <c r="O242" s="227"/>
      <c r="P242" s="204"/>
      <c r="S242" s="186"/>
      <c r="V242" s="90"/>
      <c r="AB242" s="33"/>
      <c r="AC242" s="33"/>
    </row>
    <row r="243" spans="1:29" x14ac:dyDescent="0.35">
      <c r="A243">
        <f t="shared" si="22"/>
        <v>0</v>
      </c>
      <c r="B243" s="185"/>
      <c r="G243" s="2"/>
      <c r="H243" s="204"/>
      <c r="I243" s="204"/>
      <c r="J243" s="204"/>
      <c r="K243" s="204"/>
      <c r="L243" s="332"/>
      <c r="M243" s="227"/>
      <c r="N243" s="227"/>
      <c r="O243" s="227"/>
      <c r="P243" s="204"/>
      <c r="S243" s="186"/>
      <c r="V243" s="90"/>
      <c r="AB243" s="33"/>
      <c r="AC243" s="33"/>
    </row>
    <row r="244" spans="1:29" x14ac:dyDescent="0.35">
      <c r="A244">
        <f t="shared" si="22"/>
        <v>0</v>
      </c>
      <c r="B244" s="185"/>
      <c r="G244" s="2"/>
      <c r="H244" s="204"/>
      <c r="I244" s="204"/>
      <c r="J244" s="204"/>
      <c r="K244" s="204"/>
      <c r="L244" s="332"/>
      <c r="M244" s="227"/>
      <c r="N244" s="227"/>
      <c r="O244" s="227"/>
      <c r="P244" s="204"/>
      <c r="S244" s="186"/>
      <c r="V244" s="90"/>
      <c r="AB244" s="33"/>
      <c r="AC244" s="33"/>
    </row>
    <row r="245" spans="1:29" x14ac:dyDescent="0.35">
      <c r="A245">
        <f t="shared" si="22"/>
        <v>0</v>
      </c>
      <c r="B245" s="185"/>
      <c r="G245" s="2"/>
      <c r="H245" s="204"/>
      <c r="I245" s="204"/>
      <c r="J245" s="204"/>
      <c r="K245" s="204"/>
      <c r="L245" s="332"/>
      <c r="M245" s="227"/>
      <c r="N245" s="227"/>
      <c r="O245" s="227"/>
      <c r="P245" s="204"/>
      <c r="S245" s="186"/>
      <c r="V245" s="90"/>
      <c r="AB245" s="33"/>
      <c r="AC245" s="33"/>
    </row>
    <row r="246" spans="1:29" x14ac:dyDescent="0.35">
      <c r="A246">
        <f t="shared" si="22"/>
        <v>0</v>
      </c>
      <c r="B246" s="185"/>
      <c r="G246" s="2"/>
      <c r="H246" s="204"/>
      <c r="I246" s="204"/>
      <c r="J246" s="204"/>
      <c r="K246" s="204"/>
      <c r="L246" s="332"/>
      <c r="M246" s="227"/>
      <c r="N246" s="227"/>
      <c r="O246" s="227"/>
      <c r="P246" s="204"/>
      <c r="S246" s="186"/>
      <c r="V246" s="90"/>
      <c r="AB246" s="33"/>
      <c r="AC246" s="33"/>
    </row>
    <row r="247" spans="1:29" x14ac:dyDescent="0.35">
      <c r="A247">
        <f t="shared" si="22"/>
        <v>0</v>
      </c>
      <c r="B247" s="185"/>
      <c r="G247" s="2"/>
      <c r="H247" s="204"/>
      <c r="I247" s="204"/>
      <c r="J247" s="204"/>
      <c r="K247" s="204"/>
      <c r="L247" s="332"/>
      <c r="M247" s="227"/>
      <c r="N247" s="227"/>
      <c r="O247" s="227"/>
      <c r="P247" s="204"/>
      <c r="S247" s="186"/>
      <c r="V247" s="90"/>
      <c r="AB247" s="33"/>
      <c r="AC247" s="33"/>
    </row>
    <row r="248" spans="1:29" x14ac:dyDescent="0.35">
      <c r="A248">
        <f t="shared" si="22"/>
        <v>0</v>
      </c>
      <c r="B248" s="185"/>
      <c r="G248" s="2"/>
      <c r="H248" s="204"/>
      <c r="I248" s="204"/>
      <c r="J248" s="204"/>
      <c r="K248" s="204"/>
      <c r="L248" s="332"/>
      <c r="M248" s="227"/>
      <c r="N248" s="227"/>
      <c r="O248" s="227"/>
      <c r="P248" s="204"/>
      <c r="S248" s="186"/>
      <c r="V248" s="90"/>
      <c r="AB248" s="33"/>
      <c r="AC248" s="33"/>
    </row>
    <row r="249" spans="1:29" x14ac:dyDescent="0.35">
      <c r="A249">
        <f t="shared" si="22"/>
        <v>0</v>
      </c>
      <c r="B249" s="185"/>
      <c r="G249" s="2"/>
      <c r="H249" s="204"/>
      <c r="I249" s="204"/>
      <c r="J249" s="204"/>
      <c r="K249" s="204"/>
      <c r="L249" s="332"/>
      <c r="M249" s="227"/>
      <c r="N249" s="227"/>
      <c r="O249" s="227"/>
      <c r="P249" s="204"/>
      <c r="S249" s="186"/>
      <c r="V249" s="90"/>
      <c r="AB249" s="33"/>
      <c r="AC249" s="33"/>
    </row>
    <row r="250" spans="1:29" x14ac:dyDescent="0.35">
      <c r="A250">
        <f t="shared" si="22"/>
        <v>0</v>
      </c>
      <c r="B250" s="185"/>
      <c r="G250" s="2"/>
      <c r="H250" s="204"/>
      <c r="I250" s="204"/>
      <c r="J250" s="204"/>
      <c r="K250" s="204"/>
      <c r="L250" s="332"/>
      <c r="M250" s="227"/>
      <c r="N250" s="227"/>
      <c r="O250" s="227"/>
      <c r="P250" s="204"/>
      <c r="S250" s="186"/>
      <c r="V250" s="90"/>
      <c r="AB250" s="33"/>
      <c r="AC250" s="33"/>
    </row>
    <row r="251" spans="1:29" x14ac:dyDescent="0.35">
      <c r="A251">
        <f t="shared" si="22"/>
        <v>0</v>
      </c>
      <c r="B251" s="185"/>
      <c r="G251" s="2"/>
      <c r="H251" s="204"/>
      <c r="I251" s="204"/>
      <c r="J251" s="204"/>
      <c r="K251" s="204"/>
      <c r="L251" s="332"/>
      <c r="M251" s="227"/>
      <c r="N251" s="227"/>
      <c r="O251" s="227"/>
      <c r="P251" s="204"/>
      <c r="S251" s="186"/>
      <c r="V251" s="90"/>
      <c r="AB251" s="33"/>
      <c r="AC251" s="33"/>
    </row>
    <row r="252" spans="1:29" x14ac:dyDescent="0.35">
      <c r="A252">
        <f t="shared" si="22"/>
        <v>0</v>
      </c>
      <c r="B252" s="185"/>
      <c r="G252" s="2"/>
      <c r="H252" s="204"/>
      <c r="I252" s="204"/>
      <c r="J252" s="204"/>
      <c r="K252" s="204"/>
      <c r="L252" s="332"/>
      <c r="M252" s="227"/>
      <c r="N252" s="227"/>
      <c r="O252" s="227"/>
      <c r="P252" s="204"/>
      <c r="S252" s="186"/>
      <c r="V252" s="90"/>
      <c r="AB252" s="33"/>
      <c r="AC252" s="33"/>
    </row>
    <row r="253" spans="1:29" x14ac:dyDescent="0.35">
      <c r="A253">
        <f t="shared" si="22"/>
        <v>0</v>
      </c>
      <c r="B253" s="185"/>
      <c r="G253" s="2"/>
      <c r="H253" s="204"/>
      <c r="I253" s="204"/>
      <c r="J253" s="204"/>
      <c r="K253" s="204"/>
      <c r="L253" s="332"/>
      <c r="M253" s="227"/>
      <c r="N253" s="227"/>
      <c r="O253" s="227"/>
      <c r="P253" s="204"/>
      <c r="S253" s="186"/>
      <c r="V253" s="90"/>
      <c r="AB253" s="33"/>
      <c r="AC253" s="33"/>
    </row>
    <row r="254" spans="1:29" x14ac:dyDescent="0.35">
      <c r="A254">
        <f t="shared" si="22"/>
        <v>0</v>
      </c>
      <c r="B254" s="185"/>
      <c r="G254" s="2"/>
      <c r="H254" s="204"/>
      <c r="I254" s="204"/>
      <c r="J254" s="204"/>
      <c r="K254" s="204"/>
      <c r="L254" s="332"/>
      <c r="M254" s="227"/>
      <c r="N254" s="227"/>
      <c r="O254" s="227"/>
      <c r="P254" s="204"/>
      <c r="S254" s="186"/>
      <c r="V254" s="90"/>
      <c r="AB254" s="33"/>
      <c r="AC254" s="33"/>
    </row>
    <row r="255" spans="1:29" x14ac:dyDescent="0.35">
      <c r="A255">
        <f t="shared" si="22"/>
        <v>0</v>
      </c>
      <c r="B255" s="185"/>
      <c r="G255" s="2"/>
      <c r="H255" s="204"/>
      <c r="I255" s="204"/>
      <c r="J255" s="204"/>
      <c r="K255" s="204"/>
      <c r="L255" s="332"/>
      <c r="M255" s="227"/>
      <c r="N255" s="227"/>
      <c r="O255" s="227"/>
      <c r="P255" s="204"/>
      <c r="S255" s="186"/>
      <c r="V255" s="90"/>
      <c r="AB255" s="33"/>
      <c r="AC255" s="33"/>
    </row>
    <row r="256" spans="1:29" x14ac:dyDescent="0.35">
      <c r="A256">
        <f t="shared" si="22"/>
        <v>0</v>
      </c>
      <c r="B256" s="185"/>
      <c r="G256" s="2"/>
      <c r="H256" s="204"/>
      <c r="I256" s="204"/>
      <c r="J256" s="204"/>
      <c r="K256" s="204"/>
      <c r="L256" s="332"/>
      <c r="M256" s="227"/>
      <c r="N256" s="227"/>
      <c r="O256" s="227"/>
      <c r="P256" s="204"/>
      <c r="S256" s="186"/>
      <c r="V256" s="90"/>
      <c r="AB256" s="33"/>
      <c r="AC256" s="33"/>
    </row>
    <row r="257" spans="1:29" x14ac:dyDescent="0.35">
      <c r="A257">
        <f t="shared" si="22"/>
        <v>0</v>
      </c>
      <c r="B257" s="185"/>
      <c r="G257" s="2"/>
      <c r="H257" s="204"/>
      <c r="I257" s="204"/>
      <c r="J257" s="204"/>
      <c r="K257" s="204"/>
      <c r="L257" s="332"/>
      <c r="M257" s="227"/>
      <c r="N257" s="227"/>
      <c r="O257" s="227"/>
      <c r="P257" s="204"/>
      <c r="S257" s="186"/>
      <c r="V257" s="90"/>
      <c r="AB257" s="33"/>
      <c r="AC257" s="33"/>
    </row>
    <row r="258" spans="1:29" x14ac:dyDescent="0.35">
      <c r="A258">
        <f t="shared" si="22"/>
        <v>0</v>
      </c>
      <c r="B258" s="185"/>
      <c r="G258" s="2"/>
      <c r="H258" s="204"/>
      <c r="I258" s="204"/>
      <c r="J258" s="204"/>
      <c r="K258" s="204"/>
      <c r="L258" s="332"/>
      <c r="M258" s="227"/>
      <c r="N258" s="227"/>
      <c r="O258" s="227"/>
      <c r="P258" s="204"/>
      <c r="S258" s="186"/>
      <c r="V258" s="90"/>
    </row>
    <row r="259" spans="1:29" x14ac:dyDescent="0.35">
      <c r="A259">
        <f t="shared" si="22"/>
        <v>0</v>
      </c>
      <c r="B259" s="185"/>
      <c r="G259" s="2"/>
      <c r="H259" s="204"/>
      <c r="I259" s="204"/>
      <c r="J259" s="204"/>
      <c r="K259" s="204"/>
      <c r="L259" s="332"/>
      <c r="M259" s="227"/>
      <c r="N259" s="227"/>
      <c r="O259" s="227"/>
      <c r="P259" s="204"/>
      <c r="S259" s="186"/>
      <c r="V259" s="90"/>
    </row>
    <row r="260" spans="1:29" x14ac:dyDescent="0.35">
      <c r="A260">
        <f t="shared" si="22"/>
        <v>0</v>
      </c>
      <c r="B260" s="185"/>
      <c r="G260" s="2"/>
      <c r="H260" s="204"/>
      <c r="I260" s="204"/>
      <c r="J260" s="204"/>
      <c r="K260" s="204"/>
      <c r="L260" s="332"/>
      <c r="M260" s="227"/>
      <c r="N260" s="227"/>
      <c r="O260" s="227"/>
      <c r="P260" s="204"/>
      <c r="S260" s="186"/>
      <c r="V260" s="90"/>
    </row>
    <row r="261" spans="1:29" x14ac:dyDescent="0.35">
      <c r="A261">
        <f t="shared" si="22"/>
        <v>0</v>
      </c>
      <c r="B261" s="185"/>
      <c r="G261" s="2"/>
      <c r="H261" s="204"/>
      <c r="I261" s="204"/>
      <c r="J261" s="204"/>
      <c r="K261" s="204"/>
      <c r="L261" s="332"/>
      <c r="M261" s="227"/>
      <c r="N261" s="227"/>
      <c r="O261" s="227"/>
      <c r="P261" s="204"/>
      <c r="S261" s="186"/>
      <c r="V261" s="90"/>
    </row>
    <row r="262" spans="1:29" x14ac:dyDescent="0.35">
      <c r="A262">
        <f t="shared" si="22"/>
        <v>0</v>
      </c>
      <c r="B262" s="185"/>
      <c r="G262" s="2"/>
      <c r="H262" s="204"/>
      <c r="I262" s="204"/>
      <c r="J262" s="204"/>
      <c r="K262" s="204"/>
      <c r="L262" s="332"/>
      <c r="M262" s="227"/>
      <c r="N262" s="227"/>
      <c r="O262" s="227"/>
      <c r="P262" s="204"/>
      <c r="S262" s="186"/>
      <c r="V262" s="90"/>
    </row>
    <row r="263" spans="1:29" x14ac:dyDescent="0.35">
      <c r="A263">
        <f t="shared" si="22"/>
        <v>0</v>
      </c>
      <c r="B263" s="185"/>
      <c r="G263" s="2"/>
      <c r="H263" s="204"/>
      <c r="I263" s="204"/>
      <c r="J263" s="204"/>
      <c r="K263" s="204"/>
      <c r="L263" s="332"/>
      <c r="M263" s="227"/>
      <c r="N263" s="227"/>
      <c r="O263" s="227"/>
      <c r="P263" s="204"/>
      <c r="S263" s="186"/>
      <c r="V263" s="90"/>
    </row>
    <row r="264" spans="1:29" x14ac:dyDescent="0.35">
      <c r="A264">
        <f t="shared" ref="A264:A327" si="23">IF(B264="",0,COUNTIFS($B$7:$B$999,B264,$C$7:$C$999,C264))</f>
        <v>0</v>
      </c>
      <c r="B264" s="185"/>
      <c r="G264" s="2"/>
      <c r="H264" s="204"/>
      <c r="I264" s="204"/>
      <c r="J264" s="204"/>
      <c r="K264" s="204"/>
      <c r="L264" s="332"/>
      <c r="M264" s="227"/>
      <c r="N264" s="227"/>
      <c r="O264" s="227"/>
      <c r="P264" s="204"/>
      <c r="S264" s="186"/>
      <c r="V264" s="90"/>
    </row>
    <row r="265" spans="1:29" x14ac:dyDescent="0.35">
      <c r="A265">
        <f t="shared" si="23"/>
        <v>0</v>
      </c>
      <c r="B265" s="185"/>
      <c r="G265" s="2"/>
      <c r="H265" s="204"/>
      <c r="I265" s="204"/>
      <c r="J265" s="204"/>
      <c r="K265" s="204"/>
      <c r="L265" s="332"/>
      <c r="M265" s="227"/>
      <c r="N265" s="227"/>
      <c r="O265" s="227"/>
      <c r="P265" s="204"/>
      <c r="S265" s="186"/>
      <c r="V265" s="90"/>
    </row>
    <row r="266" spans="1:29" x14ac:dyDescent="0.35">
      <c r="A266">
        <f t="shared" si="23"/>
        <v>0</v>
      </c>
      <c r="B266" s="185"/>
      <c r="G266" s="2"/>
      <c r="H266" s="204"/>
      <c r="I266" s="204"/>
      <c r="J266" s="204"/>
      <c r="K266" s="204"/>
      <c r="L266" s="332"/>
      <c r="M266" s="227"/>
      <c r="N266" s="227"/>
      <c r="O266" s="227"/>
      <c r="P266" s="204"/>
      <c r="S266" s="186"/>
      <c r="V266" s="90"/>
    </row>
    <row r="267" spans="1:29" x14ac:dyDescent="0.35">
      <c r="A267">
        <f t="shared" si="23"/>
        <v>0</v>
      </c>
      <c r="B267" s="185"/>
      <c r="G267" s="2"/>
      <c r="H267" s="204"/>
      <c r="I267" s="204"/>
      <c r="J267" s="204"/>
      <c r="K267" s="204"/>
      <c r="L267" s="332"/>
      <c r="M267" s="227"/>
      <c r="N267" s="227"/>
      <c r="O267" s="227"/>
      <c r="P267" s="204"/>
      <c r="S267" s="186"/>
      <c r="V267" s="90"/>
    </row>
    <row r="268" spans="1:29" x14ac:dyDescent="0.35">
      <c r="A268">
        <f t="shared" si="23"/>
        <v>0</v>
      </c>
      <c r="B268" s="185"/>
      <c r="G268" s="2"/>
      <c r="H268" s="204"/>
      <c r="I268" s="204"/>
      <c r="J268" s="204"/>
      <c r="K268" s="204"/>
      <c r="L268" s="332"/>
      <c r="M268" s="227"/>
      <c r="N268" s="227"/>
      <c r="O268" s="227"/>
      <c r="P268" s="204"/>
      <c r="S268" s="186"/>
      <c r="V268" s="90"/>
    </row>
    <row r="269" spans="1:29" x14ac:dyDescent="0.35">
      <c r="A269">
        <f t="shared" si="23"/>
        <v>0</v>
      </c>
      <c r="B269" s="185"/>
      <c r="G269" s="2"/>
      <c r="H269" s="204"/>
      <c r="I269" s="204"/>
      <c r="J269" s="204"/>
      <c r="K269" s="204"/>
      <c r="L269" s="332"/>
      <c r="M269" s="227"/>
      <c r="N269" s="227"/>
      <c r="O269" s="227"/>
      <c r="P269" s="204"/>
      <c r="S269" s="186"/>
      <c r="V269" s="90"/>
    </row>
    <row r="270" spans="1:29" x14ac:dyDescent="0.35">
      <c r="A270">
        <f t="shared" si="23"/>
        <v>0</v>
      </c>
      <c r="B270" s="185"/>
      <c r="G270" s="2"/>
      <c r="H270" s="204"/>
      <c r="I270" s="204"/>
      <c r="J270" s="204"/>
      <c r="K270" s="204"/>
      <c r="L270" s="332"/>
      <c r="M270" s="227"/>
      <c r="N270" s="227"/>
      <c r="O270" s="227"/>
      <c r="P270" s="204"/>
      <c r="S270" s="186"/>
      <c r="V270" s="90"/>
    </row>
    <row r="271" spans="1:29" x14ac:dyDescent="0.35">
      <c r="A271">
        <f t="shared" si="23"/>
        <v>0</v>
      </c>
      <c r="B271" s="185"/>
      <c r="G271" s="2"/>
      <c r="H271" s="204"/>
      <c r="I271" s="204"/>
      <c r="J271" s="204"/>
      <c r="K271" s="204"/>
      <c r="L271" s="332"/>
      <c r="M271" s="227"/>
      <c r="N271" s="227"/>
      <c r="O271" s="227"/>
      <c r="P271" s="204"/>
      <c r="S271" s="186"/>
      <c r="V271" s="90"/>
    </row>
    <row r="272" spans="1:29" x14ac:dyDescent="0.35">
      <c r="A272">
        <f t="shared" si="23"/>
        <v>0</v>
      </c>
      <c r="B272" s="185"/>
      <c r="G272" s="2"/>
      <c r="H272" s="204"/>
      <c r="I272" s="204"/>
      <c r="J272" s="204"/>
      <c r="K272" s="204"/>
      <c r="L272" s="332"/>
      <c r="M272" s="227"/>
      <c r="N272" s="227"/>
      <c r="O272" s="227"/>
      <c r="P272" s="204"/>
      <c r="S272" s="186"/>
      <c r="V272" s="90"/>
    </row>
    <row r="273" spans="1:22" x14ac:dyDescent="0.35">
      <c r="A273">
        <f t="shared" si="23"/>
        <v>0</v>
      </c>
      <c r="B273" s="185"/>
      <c r="G273" s="2"/>
      <c r="H273" s="204"/>
      <c r="I273" s="204"/>
      <c r="J273" s="204"/>
      <c r="K273" s="204"/>
      <c r="L273" s="332"/>
      <c r="M273" s="227"/>
      <c r="N273" s="227"/>
      <c r="O273" s="227"/>
      <c r="P273" s="204"/>
      <c r="S273" s="186"/>
      <c r="V273" s="90"/>
    </row>
    <row r="274" spans="1:22" x14ac:dyDescent="0.35">
      <c r="A274">
        <f t="shared" si="23"/>
        <v>0</v>
      </c>
      <c r="B274" s="185"/>
      <c r="G274" s="2"/>
      <c r="H274" s="204"/>
      <c r="I274" s="204"/>
      <c r="J274" s="204"/>
      <c r="K274" s="204"/>
      <c r="L274" s="332"/>
      <c r="M274" s="227"/>
      <c r="N274" s="227"/>
      <c r="O274" s="227"/>
      <c r="P274" s="204"/>
      <c r="S274" s="186"/>
      <c r="V274" s="90"/>
    </row>
    <row r="275" spans="1:22" x14ac:dyDescent="0.35">
      <c r="A275">
        <f t="shared" si="23"/>
        <v>0</v>
      </c>
      <c r="B275" s="185"/>
      <c r="G275" s="2"/>
      <c r="H275" s="204"/>
      <c r="I275" s="204"/>
      <c r="J275" s="204"/>
      <c r="K275" s="204"/>
      <c r="L275" s="332"/>
      <c r="M275" s="227"/>
      <c r="N275" s="227"/>
      <c r="O275" s="227"/>
      <c r="P275" s="204"/>
      <c r="S275" s="186"/>
      <c r="V275" s="90"/>
    </row>
    <row r="276" spans="1:22" x14ac:dyDescent="0.35">
      <c r="A276">
        <f t="shared" si="23"/>
        <v>0</v>
      </c>
      <c r="B276" s="187"/>
      <c r="C276" s="188"/>
      <c r="D276" s="188"/>
      <c r="E276" s="188"/>
      <c r="F276" s="188"/>
      <c r="G276" s="2"/>
      <c r="H276" s="204"/>
      <c r="I276" s="204"/>
      <c r="J276" s="204"/>
      <c r="K276" s="204"/>
      <c r="L276" s="332"/>
      <c r="M276" s="227"/>
      <c r="N276" s="227"/>
      <c r="O276" s="227"/>
      <c r="P276" s="204"/>
      <c r="S276" s="186"/>
      <c r="V276" s="90"/>
    </row>
    <row r="277" spans="1:22" x14ac:dyDescent="0.35">
      <c r="A277">
        <f t="shared" si="23"/>
        <v>0</v>
      </c>
      <c r="G277" s="2"/>
      <c r="H277" s="204"/>
      <c r="I277" s="204"/>
      <c r="J277" s="204"/>
      <c r="K277" s="204"/>
      <c r="L277" s="332"/>
      <c r="M277" s="227"/>
      <c r="N277" s="227"/>
      <c r="O277" s="227"/>
      <c r="P277" s="204"/>
      <c r="S277" s="186"/>
      <c r="V277" s="90"/>
    </row>
    <row r="278" spans="1:22" x14ac:dyDescent="0.35">
      <c r="A278">
        <f t="shared" si="23"/>
        <v>0</v>
      </c>
      <c r="G278" s="2"/>
      <c r="H278" s="204"/>
      <c r="I278" s="204"/>
      <c r="J278" s="204"/>
      <c r="K278" s="204"/>
      <c r="L278" s="332"/>
      <c r="M278" s="227"/>
      <c r="N278" s="227"/>
      <c r="O278" s="227"/>
      <c r="P278" s="204"/>
      <c r="S278" s="186"/>
      <c r="V278" s="90"/>
    </row>
    <row r="279" spans="1:22" x14ac:dyDescent="0.35">
      <c r="A279">
        <f t="shared" si="23"/>
        <v>0</v>
      </c>
      <c r="G279" s="2"/>
      <c r="H279" s="204"/>
      <c r="I279" s="204"/>
      <c r="J279" s="204"/>
      <c r="K279" s="204"/>
      <c r="L279" s="332"/>
      <c r="M279" s="227"/>
      <c r="N279" s="227"/>
      <c r="O279" s="227"/>
      <c r="P279" s="204"/>
      <c r="S279" s="186"/>
      <c r="V279" s="90"/>
    </row>
    <row r="280" spans="1:22" x14ac:dyDescent="0.35">
      <c r="A280">
        <f t="shared" si="23"/>
        <v>0</v>
      </c>
      <c r="G280" s="2"/>
      <c r="H280" s="204"/>
      <c r="I280" s="204"/>
      <c r="J280" s="204"/>
      <c r="K280" s="204"/>
      <c r="L280" s="332"/>
      <c r="M280" s="227"/>
      <c r="N280" s="227"/>
      <c r="O280" s="227"/>
      <c r="P280" s="204"/>
      <c r="S280" s="186"/>
      <c r="V280" s="90"/>
    </row>
    <row r="281" spans="1:22" x14ac:dyDescent="0.35">
      <c r="A281">
        <f t="shared" si="23"/>
        <v>0</v>
      </c>
      <c r="G281" s="2"/>
      <c r="H281" s="204"/>
      <c r="I281" s="204"/>
      <c r="J281" s="204"/>
      <c r="K281" s="204"/>
      <c r="L281" s="332"/>
      <c r="M281" s="227"/>
      <c r="N281" s="227"/>
      <c r="O281" s="227"/>
      <c r="P281" s="204"/>
      <c r="S281" s="186"/>
      <c r="V281" s="90"/>
    </row>
    <row r="282" spans="1:22" x14ac:dyDescent="0.35">
      <c r="A282">
        <f t="shared" si="23"/>
        <v>0</v>
      </c>
      <c r="G282" s="2"/>
      <c r="H282" s="204"/>
      <c r="I282" s="204"/>
      <c r="J282" s="204"/>
      <c r="K282" s="204"/>
      <c r="L282" s="332"/>
      <c r="M282" s="227"/>
      <c r="N282" s="227"/>
      <c r="O282" s="227"/>
      <c r="P282" s="204"/>
      <c r="S282" s="186"/>
      <c r="V282" s="90"/>
    </row>
    <row r="283" spans="1:22" x14ac:dyDescent="0.35">
      <c r="A283">
        <f t="shared" si="23"/>
        <v>0</v>
      </c>
      <c r="G283" s="2"/>
      <c r="H283" s="204"/>
      <c r="I283" s="204"/>
      <c r="J283" s="204"/>
      <c r="K283" s="204"/>
      <c r="L283" s="332"/>
      <c r="M283" s="227"/>
      <c r="N283" s="227"/>
      <c r="O283" s="227"/>
      <c r="P283" s="204"/>
      <c r="S283" s="186"/>
      <c r="V283" s="90"/>
    </row>
    <row r="284" spans="1:22" x14ac:dyDescent="0.35">
      <c r="A284">
        <f t="shared" si="23"/>
        <v>0</v>
      </c>
      <c r="G284" s="2"/>
      <c r="H284" s="204"/>
      <c r="I284" s="204"/>
      <c r="J284" s="204"/>
      <c r="K284" s="204"/>
      <c r="L284" s="332"/>
      <c r="M284" s="227"/>
      <c r="N284" s="227"/>
      <c r="O284" s="227"/>
      <c r="P284" s="204"/>
      <c r="S284" s="186"/>
      <c r="V284" s="90"/>
    </row>
    <row r="285" spans="1:22" x14ac:dyDescent="0.35">
      <c r="A285">
        <f t="shared" si="23"/>
        <v>0</v>
      </c>
      <c r="G285" s="2"/>
      <c r="H285" s="204"/>
      <c r="I285" s="204"/>
      <c r="J285" s="204"/>
      <c r="K285" s="204"/>
      <c r="L285" s="332"/>
      <c r="M285" s="227"/>
      <c r="N285" s="227"/>
      <c r="O285" s="227"/>
      <c r="P285" s="204"/>
      <c r="S285" s="186"/>
      <c r="V285" s="90"/>
    </row>
    <row r="286" spans="1:22" x14ac:dyDescent="0.35">
      <c r="A286">
        <f t="shared" si="23"/>
        <v>0</v>
      </c>
      <c r="G286" s="2"/>
      <c r="H286" s="204"/>
      <c r="I286" s="204"/>
      <c r="J286" s="204"/>
      <c r="K286" s="204"/>
      <c r="L286" s="332"/>
      <c r="M286" s="227"/>
      <c r="N286" s="227"/>
      <c r="O286" s="227"/>
      <c r="P286" s="204"/>
      <c r="S286" s="186"/>
      <c r="V286" s="90"/>
    </row>
    <row r="287" spans="1:22" x14ac:dyDescent="0.35">
      <c r="A287">
        <f t="shared" si="23"/>
        <v>0</v>
      </c>
      <c r="G287" s="2"/>
      <c r="H287" s="204"/>
      <c r="I287" s="204"/>
      <c r="J287" s="204"/>
      <c r="K287" s="204"/>
      <c r="L287" s="332"/>
      <c r="M287" s="227"/>
      <c r="N287" s="227"/>
      <c r="O287" s="227"/>
      <c r="P287" s="204"/>
      <c r="S287" s="186"/>
      <c r="V287" s="90"/>
    </row>
    <row r="288" spans="1:22" x14ac:dyDescent="0.35">
      <c r="A288">
        <f t="shared" si="23"/>
        <v>0</v>
      </c>
      <c r="G288" s="2"/>
      <c r="H288" s="204"/>
      <c r="I288" s="204"/>
      <c r="J288" s="204"/>
      <c r="K288" s="204"/>
      <c r="L288" s="332"/>
      <c r="M288" s="227"/>
      <c r="N288" s="227"/>
      <c r="O288" s="227"/>
      <c r="P288" s="204"/>
      <c r="S288" s="186"/>
      <c r="V288" s="90"/>
    </row>
    <row r="289" spans="1:22" x14ac:dyDescent="0.35">
      <c r="A289">
        <f t="shared" si="23"/>
        <v>0</v>
      </c>
      <c r="G289" s="2"/>
      <c r="H289" s="204"/>
      <c r="I289" s="204"/>
      <c r="J289" s="204"/>
      <c r="K289" s="204"/>
      <c r="L289" s="332"/>
      <c r="M289" s="227"/>
      <c r="N289" s="227"/>
      <c r="O289" s="227"/>
      <c r="P289" s="204"/>
      <c r="S289" s="186"/>
      <c r="V289" s="90"/>
    </row>
    <row r="290" spans="1:22" x14ac:dyDescent="0.35">
      <c r="A290">
        <f t="shared" si="23"/>
        <v>0</v>
      </c>
      <c r="G290" s="2"/>
      <c r="H290" s="204"/>
      <c r="I290" s="204"/>
      <c r="J290" s="204"/>
      <c r="K290" s="204"/>
      <c r="L290" s="332"/>
      <c r="M290" s="227"/>
      <c r="N290" s="227"/>
      <c r="O290" s="227"/>
      <c r="P290" s="204"/>
      <c r="S290" s="186"/>
      <c r="V290" s="90"/>
    </row>
    <row r="291" spans="1:22" x14ac:dyDescent="0.35">
      <c r="A291">
        <f t="shared" si="23"/>
        <v>0</v>
      </c>
      <c r="G291" s="2"/>
      <c r="H291" s="204"/>
      <c r="I291" s="204"/>
      <c r="J291" s="204"/>
      <c r="K291" s="204"/>
      <c r="L291" s="332"/>
      <c r="M291" s="227"/>
      <c r="N291" s="227"/>
      <c r="O291" s="227"/>
      <c r="P291" s="204"/>
      <c r="S291" s="186"/>
      <c r="V291" s="90"/>
    </row>
    <row r="292" spans="1:22" x14ac:dyDescent="0.35">
      <c r="A292">
        <f t="shared" si="23"/>
        <v>0</v>
      </c>
      <c r="G292" s="2"/>
      <c r="H292" s="204"/>
      <c r="I292" s="204"/>
      <c r="J292" s="204"/>
      <c r="K292" s="204"/>
      <c r="L292" s="332"/>
      <c r="M292" s="227"/>
      <c r="N292" s="227"/>
      <c r="O292" s="227"/>
      <c r="P292" s="204"/>
      <c r="S292" s="186"/>
      <c r="V292" s="90"/>
    </row>
    <row r="293" spans="1:22" x14ac:dyDescent="0.35">
      <c r="A293">
        <f t="shared" si="23"/>
        <v>0</v>
      </c>
      <c r="G293" s="2"/>
      <c r="H293" s="204"/>
      <c r="I293" s="204"/>
      <c r="J293" s="204"/>
      <c r="K293" s="204"/>
      <c r="L293" s="332"/>
      <c r="M293" s="227"/>
      <c r="N293" s="227"/>
      <c r="O293" s="227"/>
      <c r="P293" s="204"/>
      <c r="S293" s="186"/>
      <c r="V293" s="90"/>
    </row>
    <row r="294" spans="1:22" x14ac:dyDescent="0.35">
      <c r="A294">
        <f t="shared" si="23"/>
        <v>0</v>
      </c>
      <c r="G294" s="2"/>
      <c r="H294" s="204"/>
      <c r="I294" s="204"/>
      <c r="J294" s="204"/>
      <c r="K294" s="204"/>
      <c r="L294" s="332"/>
      <c r="M294" s="227"/>
      <c r="N294" s="227"/>
      <c r="O294" s="227"/>
      <c r="P294" s="204"/>
      <c r="S294" s="186"/>
      <c r="V294" s="90"/>
    </row>
    <row r="295" spans="1:22" x14ac:dyDescent="0.35">
      <c r="A295">
        <f t="shared" si="23"/>
        <v>0</v>
      </c>
      <c r="G295" s="2"/>
      <c r="H295" s="204"/>
      <c r="I295" s="204"/>
      <c r="J295" s="204"/>
      <c r="K295" s="204"/>
      <c r="L295" s="332"/>
      <c r="M295" s="227"/>
      <c r="N295" s="227"/>
      <c r="O295" s="227"/>
      <c r="P295" s="204"/>
      <c r="S295" s="186"/>
      <c r="V295" s="90"/>
    </row>
    <row r="296" spans="1:22" x14ac:dyDescent="0.35">
      <c r="A296">
        <f t="shared" si="23"/>
        <v>0</v>
      </c>
      <c r="G296" s="2"/>
      <c r="H296" s="204"/>
      <c r="I296" s="204"/>
      <c r="J296" s="204"/>
      <c r="K296" s="204"/>
      <c r="L296" s="332"/>
      <c r="M296" s="227"/>
      <c r="N296" s="227"/>
      <c r="O296" s="227"/>
      <c r="P296" s="204"/>
      <c r="S296" s="186"/>
      <c r="V296" s="90"/>
    </row>
    <row r="297" spans="1:22" x14ac:dyDescent="0.35">
      <c r="A297">
        <f t="shared" si="23"/>
        <v>0</v>
      </c>
      <c r="G297" s="2"/>
      <c r="H297" s="204"/>
      <c r="I297" s="204"/>
      <c r="J297" s="204"/>
      <c r="K297" s="204"/>
      <c r="L297" s="332"/>
      <c r="M297" s="227"/>
      <c r="N297" s="227"/>
      <c r="O297" s="227"/>
      <c r="P297" s="204"/>
      <c r="S297" s="186"/>
      <c r="V297" s="90"/>
    </row>
    <row r="298" spans="1:22" x14ac:dyDescent="0.35">
      <c r="A298">
        <f t="shared" si="23"/>
        <v>0</v>
      </c>
      <c r="G298" s="2"/>
      <c r="H298" s="204"/>
      <c r="I298" s="204"/>
      <c r="J298" s="204"/>
      <c r="K298" s="204"/>
      <c r="L298" s="332"/>
      <c r="M298" s="227"/>
      <c r="N298" s="227"/>
      <c r="O298" s="227"/>
      <c r="P298" s="204"/>
      <c r="S298" s="186"/>
      <c r="V298" s="90"/>
    </row>
    <row r="299" spans="1:22" x14ac:dyDescent="0.35">
      <c r="A299">
        <f t="shared" si="23"/>
        <v>0</v>
      </c>
      <c r="G299" s="2"/>
      <c r="H299" s="204"/>
      <c r="I299" s="204"/>
      <c r="J299" s="204"/>
      <c r="K299" s="204"/>
      <c r="L299" s="332"/>
      <c r="M299" s="227"/>
      <c r="N299" s="227"/>
      <c r="O299" s="227"/>
      <c r="P299" s="204"/>
      <c r="S299" s="186"/>
      <c r="V299" s="90"/>
    </row>
    <row r="300" spans="1:22" x14ac:dyDescent="0.35">
      <c r="A300">
        <f t="shared" si="23"/>
        <v>0</v>
      </c>
      <c r="G300" s="2"/>
      <c r="H300" s="204"/>
      <c r="I300" s="204"/>
      <c r="J300" s="204"/>
      <c r="K300" s="204"/>
      <c r="L300" s="332"/>
      <c r="M300" s="227"/>
      <c r="N300" s="227"/>
      <c r="O300" s="227"/>
      <c r="P300" s="204"/>
      <c r="S300" s="186"/>
      <c r="V300" s="90"/>
    </row>
    <row r="301" spans="1:22" x14ac:dyDescent="0.35">
      <c r="A301">
        <f t="shared" si="23"/>
        <v>0</v>
      </c>
      <c r="G301" s="2"/>
      <c r="H301" s="204"/>
      <c r="I301" s="204"/>
      <c r="J301" s="204"/>
      <c r="K301" s="204"/>
      <c r="L301" s="332"/>
      <c r="M301" s="227"/>
      <c r="N301" s="227"/>
      <c r="O301" s="227"/>
      <c r="P301" s="204"/>
      <c r="S301" s="186"/>
      <c r="V301" s="90"/>
    </row>
    <row r="302" spans="1:22" x14ac:dyDescent="0.35">
      <c r="A302">
        <f t="shared" si="23"/>
        <v>0</v>
      </c>
      <c r="G302" s="2"/>
      <c r="H302" s="204"/>
      <c r="I302" s="204"/>
      <c r="J302" s="204"/>
      <c r="K302" s="204"/>
      <c r="L302" s="332"/>
      <c r="M302" s="227"/>
      <c r="N302" s="227"/>
      <c r="O302" s="227"/>
      <c r="P302" s="204"/>
      <c r="S302" s="186"/>
      <c r="V302" s="90"/>
    </row>
    <row r="303" spans="1:22" x14ac:dyDescent="0.35">
      <c r="A303">
        <f t="shared" si="23"/>
        <v>0</v>
      </c>
      <c r="G303" s="2"/>
      <c r="H303" s="204"/>
      <c r="I303" s="204"/>
      <c r="J303" s="204"/>
      <c r="K303" s="204"/>
      <c r="L303" s="332"/>
      <c r="M303" s="227"/>
      <c r="N303" s="227"/>
      <c r="O303" s="227"/>
      <c r="P303" s="204"/>
      <c r="S303" s="186"/>
      <c r="V303" s="90"/>
    </row>
    <row r="304" spans="1:22" x14ac:dyDescent="0.35">
      <c r="A304">
        <f t="shared" si="23"/>
        <v>0</v>
      </c>
      <c r="G304" s="2"/>
      <c r="H304" s="204"/>
      <c r="I304" s="204"/>
      <c r="J304" s="204"/>
      <c r="K304" s="204"/>
      <c r="L304" s="332"/>
      <c r="M304" s="227"/>
      <c r="N304" s="227"/>
      <c r="O304" s="227"/>
      <c r="P304" s="204"/>
      <c r="S304" s="186"/>
      <c r="V304" s="90"/>
    </row>
    <row r="305" spans="1:22" x14ac:dyDescent="0.35">
      <c r="A305">
        <f t="shared" si="23"/>
        <v>0</v>
      </c>
      <c r="G305" s="2"/>
      <c r="H305" s="204"/>
      <c r="I305" s="204"/>
      <c r="J305" s="204"/>
      <c r="K305" s="204"/>
      <c r="L305" s="332"/>
      <c r="M305" s="227"/>
      <c r="N305" s="227"/>
      <c r="O305" s="227"/>
      <c r="P305" s="204"/>
      <c r="S305" s="186"/>
      <c r="V305" s="90"/>
    </row>
    <row r="306" spans="1:22" x14ac:dyDescent="0.35">
      <c r="A306">
        <f t="shared" si="23"/>
        <v>0</v>
      </c>
      <c r="G306" s="2"/>
      <c r="H306" s="204"/>
      <c r="I306" s="204"/>
      <c r="J306" s="204"/>
      <c r="K306" s="204"/>
      <c r="L306" s="332"/>
      <c r="M306" s="227"/>
      <c r="N306" s="227"/>
      <c r="O306" s="227"/>
      <c r="P306" s="204"/>
      <c r="S306" s="186"/>
      <c r="V306" s="90"/>
    </row>
    <row r="307" spans="1:22" x14ac:dyDescent="0.35">
      <c r="A307">
        <f t="shared" si="23"/>
        <v>0</v>
      </c>
      <c r="G307" s="2"/>
      <c r="H307" s="204"/>
      <c r="I307" s="204"/>
      <c r="J307" s="204"/>
      <c r="K307" s="204"/>
      <c r="L307" s="332"/>
      <c r="M307" s="227"/>
      <c r="N307" s="227"/>
      <c r="O307" s="227"/>
      <c r="P307" s="204"/>
      <c r="S307" s="186"/>
      <c r="V307" s="90"/>
    </row>
    <row r="308" spans="1:22" x14ac:dyDescent="0.35">
      <c r="A308">
        <f t="shared" si="23"/>
        <v>0</v>
      </c>
      <c r="G308" s="2"/>
      <c r="H308" s="204"/>
      <c r="I308" s="204"/>
      <c r="J308" s="204"/>
      <c r="K308" s="204"/>
      <c r="L308" s="332"/>
      <c r="M308" s="227"/>
      <c r="N308" s="227"/>
      <c r="O308" s="227"/>
      <c r="P308" s="204"/>
      <c r="S308" s="186"/>
      <c r="V308" s="90"/>
    </row>
    <row r="309" spans="1:22" x14ac:dyDescent="0.35">
      <c r="A309">
        <f t="shared" si="23"/>
        <v>0</v>
      </c>
      <c r="G309" s="2"/>
      <c r="H309" s="204"/>
      <c r="I309" s="204"/>
      <c r="J309" s="204"/>
      <c r="K309" s="204"/>
      <c r="L309" s="332"/>
      <c r="M309" s="227"/>
      <c r="N309" s="227"/>
      <c r="O309" s="227"/>
      <c r="P309" s="204"/>
      <c r="S309" s="186"/>
      <c r="V309" s="90"/>
    </row>
    <row r="310" spans="1:22" x14ac:dyDescent="0.35">
      <c r="A310">
        <f t="shared" si="23"/>
        <v>0</v>
      </c>
      <c r="G310" s="2"/>
      <c r="H310" s="204"/>
      <c r="I310" s="204"/>
      <c r="J310" s="204"/>
      <c r="K310" s="204"/>
      <c r="L310" s="332"/>
      <c r="M310" s="227"/>
      <c r="N310" s="227"/>
      <c r="O310" s="227"/>
      <c r="P310" s="204"/>
      <c r="S310" s="186"/>
      <c r="V310" s="90"/>
    </row>
    <row r="311" spans="1:22" x14ac:dyDescent="0.35">
      <c r="A311">
        <f t="shared" si="23"/>
        <v>0</v>
      </c>
      <c r="G311" s="2"/>
      <c r="H311" s="204"/>
      <c r="I311" s="204"/>
      <c r="J311" s="204"/>
      <c r="K311" s="204"/>
      <c r="L311" s="332"/>
      <c r="M311" s="227"/>
      <c r="N311" s="227"/>
      <c r="O311" s="227"/>
      <c r="P311" s="204"/>
      <c r="S311" s="186"/>
      <c r="V311" s="90"/>
    </row>
    <row r="312" spans="1:22" x14ac:dyDescent="0.35">
      <c r="A312">
        <f t="shared" si="23"/>
        <v>0</v>
      </c>
      <c r="G312" s="2"/>
      <c r="H312" s="204"/>
      <c r="I312" s="204"/>
      <c r="J312" s="204"/>
      <c r="K312" s="204"/>
      <c r="L312" s="332"/>
      <c r="M312" s="227"/>
      <c r="N312" s="227"/>
      <c r="O312" s="227"/>
      <c r="P312" s="204"/>
      <c r="S312" s="186"/>
      <c r="V312" s="90"/>
    </row>
    <row r="313" spans="1:22" x14ac:dyDescent="0.35">
      <c r="A313">
        <f t="shared" si="23"/>
        <v>0</v>
      </c>
      <c r="G313" s="2"/>
      <c r="H313" s="204"/>
      <c r="I313" s="204"/>
      <c r="J313" s="204"/>
      <c r="K313" s="204"/>
      <c r="L313" s="332"/>
      <c r="M313" s="227"/>
      <c r="N313" s="227"/>
      <c r="O313" s="227"/>
      <c r="P313" s="204"/>
      <c r="S313" s="186"/>
      <c r="V313" s="90"/>
    </row>
    <row r="314" spans="1:22" x14ac:dyDescent="0.35">
      <c r="A314">
        <f t="shared" si="23"/>
        <v>0</v>
      </c>
      <c r="G314" s="2"/>
      <c r="H314" s="204"/>
      <c r="I314" s="204"/>
      <c r="J314" s="204"/>
      <c r="K314" s="204"/>
      <c r="L314" s="332"/>
      <c r="M314" s="227"/>
      <c r="N314" s="227"/>
      <c r="O314" s="227"/>
      <c r="P314" s="204"/>
      <c r="S314" s="186"/>
      <c r="V314" s="90"/>
    </row>
    <row r="315" spans="1:22" x14ac:dyDescent="0.35">
      <c r="A315">
        <f t="shared" si="23"/>
        <v>0</v>
      </c>
      <c r="G315" s="2"/>
      <c r="H315" s="204"/>
      <c r="I315" s="204"/>
      <c r="J315" s="204"/>
      <c r="K315" s="204"/>
      <c r="L315" s="332"/>
      <c r="M315" s="227"/>
      <c r="N315" s="227"/>
      <c r="O315" s="227"/>
      <c r="P315" s="204"/>
      <c r="S315" s="186"/>
      <c r="V315" s="90"/>
    </row>
    <row r="316" spans="1:22" x14ac:dyDescent="0.35">
      <c r="A316">
        <f t="shared" si="23"/>
        <v>0</v>
      </c>
      <c r="G316" s="2"/>
      <c r="H316" s="204"/>
      <c r="I316" s="204"/>
      <c r="J316" s="204"/>
      <c r="K316" s="204"/>
      <c r="L316" s="332"/>
      <c r="M316" s="227"/>
      <c r="N316" s="227"/>
      <c r="O316" s="227"/>
      <c r="P316" s="204"/>
      <c r="S316" s="186"/>
      <c r="V316" s="90"/>
    </row>
    <row r="317" spans="1:22" x14ac:dyDescent="0.35">
      <c r="A317">
        <f t="shared" si="23"/>
        <v>0</v>
      </c>
      <c r="G317" s="2"/>
      <c r="H317" s="204"/>
      <c r="I317" s="204"/>
      <c r="J317" s="204"/>
      <c r="K317" s="204"/>
      <c r="L317" s="332"/>
      <c r="M317" s="227"/>
      <c r="N317" s="227"/>
      <c r="O317" s="227"/>
      <c r="P317" s="204"/>
      <c r="S317" s="186"/>
      <c r="V317" s="90"/>
    </row>
    <row r="318" spans="1:22" x14ac:dyDescent="0.35">
      <c r="A318">
        <f t="shared" si="23"/>
        <v>0</v>
      </c>
      <c r="G318" s="2"/>
      <c r="H318" s="204"/>
      <c r="I318" s="204"/>
      <c r="J318" s="204"/>
      <c r="K318" s="204"/>
      <c r="L318" s="332"/>
      <c r="M318" s="227"/>
      <c r="N318" s="227"/>
      <c r="O318" s="227"/>
      <c r="P318" s="204"/>
      <c r="S318" s="186"/>
      <c r="V318" s="90"/>
    </row>
    <row r="319" spans="1:22" x14ac:dyDescent="0.35">
      <c r="A319">
        <f t="shared" si="23"/>
        <v>0</v>
      </c>
      <c r="G319" s="2"/>
      <c r="H319" s="204"/>
      <c r="I319" s="204"/>
      <c r="J319" s="204"/>
      <c r="K319" s="204"/>
      <c r="L319" s="332"/>
      <c r="M319" s="227"/>
      <c r="N319" s="227"/>
      <c r="O319" s="227"/>
      <c r="P319" s="204"/>
      <c r="S319" s="186"/>
      <c r="V319" s="90"/>
    </row>
    <row r="320" spans="1:22" x14ac:dyDescent="0.35">
      <c r="A320">
        <f t="shared" si="23"/>
        <v>0</v>
      </c>
      <c r="G320" s="2"/>
      <c r="H320" s="204"/>
      <c r="I320" s="204"/>
      <c r="J320" s="204"/>
      <c r="K320" s="204"/>
      <c r="L320" s="332"/>
      <c r="M320" s="227"/>
      <c r="N320" s="227"/>
      <c r="O320" s="227"/>
      <c r="P320" s="204"/>
      <c r="S320" s="186"/>
      <c r="V320" s="90"/>
    </row>
    <row r="321" spans="1:22" x14ac:dyDescent="0.35">
      <c r="A321">
        <f t="shared" si="23"/>
        <v>0</v>
      </c>
      <c r="G321" s="2"/>
      <c r="H321" s="204"/>
      <c r="I321" s="204"/>
      <c r="J321" s="204"/>
      <c r="K321" s="204"/>
      <c r="L321" s="332"/>
      <c r="M321" s="227"/>
      <c r="N321" s="227"/>
      <c r="O321" s="227"/>
      <c r="P321" s="204"/>
      <c r="S321" s="186"/>
      <c r="V321" s="90"/>
    </row>
    <row r="322" spans="1:22" x14ac:dyDescent="0.35">
      <c r="A322">
        <f t="shared" si="23"/>
        <v>0</v>
      </c>
      <c r="G322" s="2"/>
      <c r="H322" s="204"/>
      <c r="I322" s="204"/>
      <c r="J322" s="204"/>
      <c r="K322" s="204"/>
      <c r="L322" s="332"/>
      <c r="M322" s="227"/>
      <c r="N322" s="227"/>
      <c r="O322" s="227"/>
      <c r="P322" s="204"/>
      <c r="S322" s="186"/>
      <c r="V322" s="90"/>
    </row>
    <row r="323" spans="1:22" x14ac:dyDescent="0.35">
      <c r="A323">
        <f t="shared" si="23"/>
        <v>0</v>
      </c>
      <c r="G323" s="2"/>
      <c r="H323" s="204"/>
      <c r="I323" s="204"/>
      <c r="J323" s="204"/>
      <c r="K323" s="204"/>
      <c r="L323" s="332"/>
      <c r="M323" s="227"/>
      <c r="N323" s="227"/>
      <c r="O323" s="227"/>
      <c r="P323" s="204"/>
      <c r="S323" s="186"/>
      <c r="V323" s="90"/>
    </row>
    <row r="324" spans="1:22" x14ac:dyDescent="0.35">
      <c r="A324">
        <f t="shared" si="23"/>
        <v>0</v>
      </c>
      <c r="G324" s="2"/>
      <c r="H324" s="204"/>
      <c r="I324" s="204"/>
      <c r="J324" s="204"/>
      <c r="K324" s="204"/>
      <c r="L324" s="332"/>
      <c r="M324" s="227"/>
      <c r="N324" s="227"/>
      <c r="O324" s="227"/>
      <c r="P324" s="204"/>
      <c r="S324" s="186"/>
      <c r="V324" s="90"/>
    </row>
    <row r="325" spans="1:22" x14ac:dyDescent="0.35">
      <c r="A325">
        <f t="shared" si="23"/>
        <v>0</v>
      </c>
      <c r="G325" s="2"/>
      <c r="H325" s="204"/>
      <c r="I325" s="204"/>
      <c r="J325" s="204"/>
      <c r="K325" s="204"/>
      <c r="L325" s="332"/>
      <c r="M325" s="227"/>
      <c r="N325" s="227"/>
      <c r="O325" s="227"/>
      <c r="P325" s="204"/>
      <c r="S325" s="186"/>
      <c r="V325" s="90"/>
    </row>
    <row r="326" spans="1:22" x14ac:dyDescent="0.35">
      <c r="A326">
        <f t="shared" si="23"/>
        <v>0</v>
      </c>
      <c r="G326" s="2"/>
      <c r="H326" s="204"/>
      <c r="I326" s="204"/>
      <c r="J326" s="204"/>
      <c r="K326" s="204"/>
      <c r="L326" s="332"/>
      <c r="M326" s="227"/>
      <c r="N326" s="227"/>
      <c r="O326" s="227"/>
      <c r="P326" s="204"/>
      <c r="S326" s="186"/>
      <c r="V326" s="90"/>
    </row>
    <row r="327" spans="1:22" x14ac:dyDescent="0.35">
      <c r="A327">
        <f t="shared" si="23"/>
        <v>0</v>
      </c>
      <c r="G327" s="2"/>
      <c r="H327" s="204"/>
      <c r="I327" s="204"/>
      <c r="J327" s="204"/>
      <c r="K327" s="204"/>
      <c r="L327" s="332"/>
      <c r="M327" s="227"/>
      <c r="N327" s="227"/>
      <c r="O327" s="227"/>
      <c r="P327" s="204"/>
      <c r="S327" s="186"/>
      <c r="V327" s="90"/>
    </row>
    <row r="328" spans="1:22" x14ac:dyDescent="0.35">
      <c r="A328">
        <f t="shared" ref="A328:A391" si="24">IF(B328="",0,COUNTIFS($B$7:$B$999,B328,$C$7:$C$999,C328))</f>
        <v>0</v>
      </c>
      <c r="G328" s="2"/>
      <c r="H328" s="204"/>
      <c r="I328" s="204"/>
      <c r="J328" s="204"/>
      <c r="K328" s="204"/>
      <c r="L328" s="332"/>
      <c r="M328" s="227"/>
      <c r="N328" s="227"/>
      <c r="O328" s="227"/>
      <c r="P328" s="204"/>
      <c r="S328" s="186"/>
      <c r="V328" s="90"/>
    </row>
    <row r="329" spans="1:22" x14ac:dyDescent="0.35">
      <c r="A329">
        <f t="shared" si="24"/>
        <v>0</v>
      </c>
      <c r="G329" s="2"/>
      <c r="H329" s="204"/>
      <c r="I329" s="204"/>
      <c r="J329" s="204"/>
      <c r="K329" s="204"/>
      <c r="L329" s="332"/>
      <c r="M329" s="227"/>
      <c r="N329" s="227"/>
      <c r="O329" s="227"/>
      <c r="P329" s="204"/>
      <c r="S329" s="186"/>
      <c r="V329" s="90"/>
    </row>
    <row r="330" spans="1:22" x14ac:dyDescent="0.35">
      <c r="A330">
        <f t="shared" si="24"/>
        <v>0</v>
      </c>
      <c r="G330" s="2"/>
      <c r="H330" s="204"/>
      <c r="I330" s="204"/>
      <c r="J330" s="204"/>
      <c r="K330" s="204"/>
      <c r="L330" s="332"/>
      <c r="M330" s="227"/>
      <c r="N330" s="227"/>
      <c r="O330" s="227"/>
      <c r="P330" s="204"/>
      <c r="S330" s="186"/>
      <c r="V330" s="90"/>
    </row>
    <row r="331" spans="1:22" x14ac:dyDescent="0.35">
      <c r="A331">
        <f t="shared" si="24"/>
        <v>0</v>
      </c>
      <c r="G331" s="2"/>
      <c r="H331" s="204"/>
      <c r="I331" s="204"/>
      <c r="J331" s="204"/>
      <c r="K331" s="204"/>
      <c r="L331" s="332"/>
      <c r="M331" s="227"/>
      <c r="N331" s="227"/>
      <c r="O331" s="227"/>
      <c r="P331" s="204"/>
      <c r="S331" s="186"/>
      <c r="V331" s="90"/>
    </row>
    <row r="332" spans="1:22" x14ac:dyDescent="0.35">
      <c r="A332">
        <f t="shared" si="24"/>
        <v>0</v>
      </c>
      <c r="G332" s="2"/>
      <c r="H332" s="204"/>
      <c r="I332" s="204"/>
      <c r="J332" s="204"/>
      <c r="K332" s="204"/>
      <c r="L332" s="332"/>
      <c r="M332" s="227"/>
      <c r="N332" s="227"/>
      <c r="O332" s="227"/>
      <c r="P332" s="204"/>
      <c r="S332" s="186"/>
      <c r="V332" s="90"/>
    </row>
    <row r="333" spans="1:22" x14ac:dyDescent="0.35">
      <c r="A333">
        <f t="shared" si="24"/>
        <v>0</v>
      </c>
      <c r="G333" s="2"/>
      <c r="H333" s="204"/>
      <c r="I333" s="204"/>
      <c r="J333" s="204"/>
      <c r="K333" s="204"/>
      <c r="L333" s="332"/>
      <c r="M333" s="227"/>
      <c r="N333" s="227"/>
      <c r="O333" s="227"/>
      <c r="P333" s="204"/>
      <c r="S333" s="186"/>
      <c r="V333" s="90"/>
    </row>
    <row r="334" spans="1:22" x14ac:dyDescent="0.35">
      <c r="A334">
        <f t="shared" si="24"/>
        <v>0</v>
      </c>
      <c r="G334" s="2"/>
      <c r="H334" s="204"/>
      <c r="I334" s="204"/>
      <c r="J334" s="204"/>
      <c r="K334" s="204"/>
      <c r="L334" s="332"/>
      <c r="M334" s="227"/>
      <c r="N334" s="227"/>
      <c r="O334" s="227"/>
      <c r="P334" s="204"/>
      <c r="S334" s="186"/>
      <c r="V334" s="90"/>
    </row>
    <row r="335" spans="1:22" x14ac:dyDescent="0.35">
      <c r="A335">
        <f t="shared" si="24"/>
        <v>0</v>
      </c>
      <c r="G335" s="2"/>
      <c r="H335" s="204"/>
      <c r="I335" s="204"/>
      <c r="J335" s="204"/>
      <c r="K335" s="204"/>
      <c r="L335" s="332"/>
      <c r="M335" s="227"/>
      <c r="N335" s="227"/>
      <c r="O335" s="227"/>
      <c r="P335" s="204"/>
      <c r="S335" s="186"/>
      <c r="V335" s="90"/>
    </row>
    <row r="336" spans="1:22" x14ac:dyDescent="0.35">
      <c r="A336">
        <f t="shared" si="24"/>
        <v>0</v>
      </c>
      <c r="G336" s="2"/>
      <c r="H336" s="204"/>
      <c r="I336" s="204"/>
      <c r="J336" s="204"/>
      <c r="K336" s="204"/>
      <c r="L336" s="332"/>
      <c r="M336" s="227"/>
      <c r="N336" s="227"/>
      <c r="O336" s="227"/>
      <c r="P336" s="204"/>
      <c r="S336" s="186"/>
      <c r="V336" s="90"/>
    </row>
    <row r="337" spans="1:22" x14ac:dyDescent="0.35">
      <c r="A337">
        <f t="shared" si="24"/>
        <v>0</v>
      </c>
      <c r="G337" s="2"/>
      <c r="H337" s="204"/>
      <c r="I337" s="204"/>
      <c r="J337" s="204"/>
      <c r="K337" s="204"/>
      <c r="L337" s="332"/>
      <c r="M337" s="227"/>
      <c r="N337" s="227"/>
      <c r="O337" s="227"/>
      <c r="P337" s="204"/>
      <c r="S337" s="186"/>
      <c r="V337" s="90"/>
    </row>
    <row r="338" spans="1:22" x14ac:dyDescent="0.35">
      <c r="A338">
        <f t="shared" si="24"/>
        <v>0</v>
      </c>
      <c r="G338" s="2"/>
      <c r="H338" s="204"/>
      <c r="I338" s="204"/>
      <c r="J338" s="204"/>
      <c r="K338" s="204"/>
      <c r="L338" s="332"/>
      <c r="M338" s="227"/>
      <c r="N338" s="227"/>
      <c r="O338" s="227"/>
      <c r="P338" s="204"/>
      <c r="S338" s="186"/>
      <c r="V338" s="90"/>
    </row>
    <row r="339" spans="1:22" x14ac:dyDescent="0.35">
      <c r="A339">
        <f t="shared" si="24"/>
        <v>0</v>
      </c>
      <c r="G339" s="2"/>
      <c r="H339" s="204"/>
      <c r="I339" s="204"/>
      <c r="J339" s="204"/>
      <c r="K339" s="204"/>
      <c r="L339" s="332"/>
      <c r="M339" s="227"/>
      <c r="N339" s="227"/>
      <c r="O339" s="227"/>
      <c r="P339" s="204"/>
      <c r="S339" s="186"/>
      <c r="V339" s="90"/>
    </row>
    <row r="340" spans="1:22" x14ac:dyDescent="0.35">
      <c r="A340">
        <f t="shared" si="24"/>
        <v>0</v>
      </c>
      <c r="G340" s="2"/>
      <c r="H340" s="204"/>
      <c r="I340" s="204"/>
      <c r="J340" s="204"/>
      <c r="K340" s="204"/>
      <c r="L340" s="332"/>
      <c r="M340" s="227"/>
      <c r="N340" s="227"/>
      <c r="O340" s="227"/>
      <c r="P340" s="204"/>
      <c r="S340" s="186"/>
      <c r="V340" s="90"/>
    </row>
    <row r="341" spans="1:22" x14ac:dyDescent="0.35">
      <c r="A341">
        <f t="shared" si="24"/>
        <v>0</v>
      </c>
      <c r="G341" s="2"/>
      <c r="H341" s="204"/>
      <c r="I341" s="204"/>
      <c r="J341" s="204"/>
      <c r="K341" s="204"/>
      <c r="L341" s="332"/>
      <c r="M341" s="227"/>
      <c r="N341" s="227"/>
      <c r="O341" s="227"/>
      <c r="P341" s="204"/>
      <c r="S341" s="186"/>
      <c r="V341" s="90"/>
    </row>
    <row r="342" spans="1:22" x14ac:dyDescent="0.35">
      <c r="A342">
        <f t="shared" si="24"/>
        <v>0</v>
      </c>
      <c r="G342" s="2"/>
      <c r="H342" s="204"/>
      <c r="I342" s="204"/>
      <c r="J342" s="204"/>
      <c r="K342" s="204"/>
      <c r="L342" s="332"/>
      <c r="M342" s="227"/>
      <c r="N342" s="227"/>
      <c r="O342" s="227"/>
      <c r="P342" s="204"/>
      <c r="S342" s="186"/>
      <c r="V342" s="90"/>
    </row>
    <row r="343" spans="1:22" x14ac:dyDescent="0.35">
      <c r="A343">
        <f t="shared" si="24"/>
        <v>0</v>
      </c>
      <c r="G343" s="2"/>
      <c r="H343" s="204"/>
      <c r="I343" s="204"/>
      <c r="J343" s="204"/>
      <c r="K343" s="204"/>
      <c r="L343" s="332"/>
      <c r="M343" s="227"/>
      <c r="N343" s="227"/>
      <c r="O343" s="227"/>
      <c r="P343" s="204"/>
      <c r="S343" s="186"/>
      <c r="V343" s="90"/>
    </row>
    <row r="344" spans="1:22" x14ac:dyDescent="0.35">
      <c r="A344">
        <f t="shared" si="24"/>
        <v>0</v>
      </c>
      <c r="G344" s="2"/>
      <c r="H344" s="204"/>
      <c r="I344" s="204"/>
      <c r="J344" s="204"/>
      <c r="K344" s="204"/>
      <c r="L344" s="332"/>
      <c r="M344" s="227"/>
      <c r="N344" s="227"/>
      <c r="O344" s="227"/>
      <c r="P344" s="204"/>
      <c r="S344" s="186"/>
      <c r="V344" s="90"/>
    </row>
    <row r="345" spans="1:22" x14ac:dyDescent="0.35">
      <c r="A345">
        <f t="shared" si="24"/>
        <v>0</v>
      </c>
      <c r="G345" s="2"/>
      <c r="H345" s="204"/>
      <c r="I345" s="204"/>
      <c r="J345" s="204"/>
      <c r="K345" s="204"/>
      <c r="L345" s="332"/>
      <c r="M345" s="227"/>
      <c r="N345" s="227"/>
      <c r="O345" s="227"/>
      <c r="P345" s="204"/>
      <c r="S345" s="186"/>
      <c r="V345" s="90"/>
    </row>
    <row r="346" spans="1:22" x14ac:dyDescent="0.35">
      <c r="A346">
        <f t="shared" si="24"/>
        <v>0</v>
      </c>
      <c r="G346" s="2"/>
      <c r="H346" s="204"/>
      <c r="I346" s="204"/>
      <c r="J346" s="204"/>
      <c r="K346" s="204"/>
      <c r="L346" s="332"/>
      <c r="M346" s="227"/>
      <c r="N346" s="227"/>
      <c r="O346" s="227"/>
      <c r="P346" s="204"/>
      <c r="S346" s="186"/>
      <c r="V346" s="90"/>
    </row>
    <row r="347" spans="1:22" x14ac:dyDescent="0.35">
      <c r="A347">
        <f t="shared" si="24"/>
        <v>0</v>
      </c>
      <c r="G347" s="2"/>
      <c r="H347" s="204"/>
      <c r="I347" s="204"/>
      <c r="J347" s="204"/>
      <c r="K347" s="204"/>
      <c r="L347" s="332"/>
      <c r="M347" s="227"/>
      <c r="N347" s="227"/>
      <c r="O347" s="227"/>
      <c r="P347" s="204"/>
      <c r="S347" s="186"/>
      <c r="V347" s="90"/>
    </row>
    <row r="348" spans="1:22" x14ac:dyDescent="0.35">
      <c r="A348">
        <f t="shared" si="24"/>
        <v>0</v>
      </c>
      <c r="G348" s="2"/>
      <c r="H348" s="204"/>
      <c r="I348" s="204"/>
      <c r="J348" s="204"/>
      <c r="K348" s="204"/>
      <c r="L348" s="332"/>
      <c r="M348" s="227"/>
      <c r="N348" s="227"/>
      <c r="O348" s="227"/>
      <c r="P348" s="204"/>
      <c r="S348" s="186"/>
      <c r="V348" s="90"/>
    </row>
    <row r="349" spans="1:22" x14ac:dyDescent="0.35">
      <c r="A349">
        <f t="shared" si="24"/>
        <v>0</v>
      </c>
      <c r="G349" s="2"/>
      <c r="H349" s="204"/>
      <c r="I349" s="204"/>
      <c r="J349" s="204"/>
      <c r="K349" s="204"/>
      <c r="L349" s="332"/>
      <c r="M349" s="227"/>
      <c r="N349" s="227"/>
      <c r="O349" s="227"/>
      <c r="P349" s="204"/>
      <c r="S349" s="186"/>
      <c r="V349" s="90"/>
    </row>
    <row r="350" spans="1:22" x14ac:dyDescent="0.35">
      <c r="A350">
        <f t="shared" si="24"/>
        <v>0</v>
      </c>
      <c r="G350" s="2"/>
      <c r="H350" s="204"/>
      <c r="I350" s="204"/>
      <c r="J350" s="204"/>
      <c r="K350" s="204"/>
      <c r="L350" s="332"/>
      <c r="M350" s="227"/>
      <c r="N350" s="227"/>
      <c r="O350" s="227"/>
      <c r="P350" s="204"/>
      <c r="S350" s="186"/>
      <c r="V350" s="90"/>
    </row>
    <row r="351" spans="1:22" x14ac:dyDescent="0.35">
      <c r="A351">
        <f t="shared" si="24"/>
        <v>0</v>
      </c>
      <c r="G351" s="2"/>
      <c r="H351" s="204"/>
      <c r="I351" s="204"/>
      <c r="J351" s="204"/>
      <c r="K351" s="204"/>
      <c r="L351" s="332"/>
      <c r="M351" s="227"/>
      <c r="N351" s="227"/>
      <c r="O351" s="227"/>
      <c r="P351" s="204"/>
      <c r="S351" s="186"/>
      <c r="V351" s="90"/>
    </row>
    <row r="352" spans="1:22" x14ac:dyDescent="0.35">
      <c r="A352">
        <f t="shared" si="24"/>
        <v>0</v>
      </c>
      <c r="G352" s="2"/>
      <c r="H352" s="204"/>
      <c r="I352" s="204"/>
      <c r="J352" s="204"/>
      <c r="K352" s="204"/>
      <c r="L352" s="332"/>
      <c r="M352" s="227"/>
      <c r="N352" s="227"/>
      <c r="O352" s="227"/>
      <c r="P352" s="204"/>
      <c r="S352" s="186"/>
      <c r="V352" s="90"/>
    </row>
    <row r="353" spans="1:22" x14ac:dyDescent="0.35">
      <c r="A353">
        <f t="shared" si="24"/>
        <v>0</v>
      </c>
      <c r="G353" s="2"/>
      <c r="H353" s="204"/>
      <c r="I353" s="204"/>
      <c r="J353" s="204"/>
      <c r="K353" s="204"/>
      <c r="L353" s="332"/>
      <c r="M353" s="227"/>
      <c r="N353" s="227"/>
      <c r="O353" s="227"/>
      <c r="P353" s="204"/>
      <c r="S353" s="186"/>
      <c r="V353" s="90"/>
    </row>
    <row r="354" spans="1:22" x14ac:dyDescent="0.35">
      <c r="A354">
        <f t="shared" si="24"/>
        <v>0</v>
      </c>
      <c r="G354" s="2"/>
      <c r="H354" s="204"/>
      <c r="I354" s="204"/>
      <c r="J354" s="204"/>
      <c r="K354" s="204"/>
      <c r="L354" s="332"/>
      <c r="M354" s="227"/>
      <c r="N354" s="227"/>
      <c r="O354" s="227"/>
      <c r="P354" s="204"/>
      <c r="S354" s="186"/>
      <c r="V354" s="90"/>
    </row>
    <row r="355" spans="1:22" x14ac:dyDescent="0.35">
      <c r="A355">
        <f t="shared" si="24"/>
        <v>0</v>
      </c>
      <c r="G355" s="2"/>
      <c r="H355" s="204"/>
      <c r="I355" s="204"/>
      <c r="J355" s="204"/>
      <c r="K355" s="204"/>
      <c r="L355" s="332"/>
      <c r="M355" s="227"/>
      <c r="N355" s="227"/>
      <c r="O355" s="227"/>
      <c r="P355" s="204"/>
      <c r="S355" s="186"/>
      <c r="V355" s="90"/>
    </row>
    <row r="356" spans="1:22" x14ac:dyDescent="0.35">
      <c r="A356">
        <f t="shared" si="24"/>
        <v>0</v>
      </c>
      <c r="G356" s="2"/>
      <c r="H356" s="204"/>
      <c r="I356" s="204"/>
      <c r="J356" s="204"/>
      <c r="K356" s="204"/>
      <c r="L356" s="332"/>
      <c r="M356" s="227"/>
      <c r="N356" s="227"/>
      <c r="O356" s="227"/>
      <c r="P356" s="204"/>
      <c r="S356" s="186"/>
      <c r="V356" s="90"/>
    </row>
    <row r="357" spans="1:22" x14ac:dyDescent="0.35">
      <c r="A357">
        <f t="shared" si="24"/>
        <v>0</v>
      </c>
      <c r="G357" s="2"/>
      <c r="H357" s="204"/>
      <c r="I357" s="204"/>
      <c r="J357" s="204"/>
      <c r="K357" s="204"/>
      <c r="L357" s="332"/>
      <c r="M357" s="227"/>
      <c r="N357" s="227"/>
      <c r="O357" s="227"/>
      <c r="P357" s="204"/>
      <c r="S357" s="186"/>
      <c r="V357" s="90"/>
    </row>
    <row r="358" spans="1:22" x14ac:dyDescent="0.35">
      <c r="A358">
        <f t="shared" si="24"/>
        <v>0</v>
      </c>
      <c r="G358" s="2"/>
      <c r="H358" s="204"/>
      <c r="I358" s="204"/>
      <c r="J358" s="204"/>
      <c r="K358" s="204"/>
      <c r="L358" s="332"/>
      <c r="M358" s="227"/>
      <c r="N358" s="227"/>
      <c r="O358" s="227"/>
      <c r="P358" s="204"/>
      <c r="S358" s="186"/>
      <c r="V358" s="90"/>
    </row>
    <row r="359" spans="1:22" x14ac:dyDescent="0.35">
      <c r="A359">
        <f t="shared" si="24"/>
        <v>0</v>
      </c>
      <c r="G359" s="2"/>
      <c r="H359" s="204"/>
      <c r="I359" s="204"/>
      <c r="J359" s="204"/>
      <c r="K359" s="204"/>
      <c r="L359" s="332"/>
      <c r="M359" s="227"/>
      <c r="N359" s="227"/>
      <c r="O359" s="227"/>
      <c r="P359" s="204"/>
      <c r="S359" s="186"/>
      <c r="V359" s="90"/>
    </row>
    <row r="360" spans="1:22" x14ac:dyDescent="0.35">
      <c r="A360">
        <f t="shared" si="24"/>
        <v>0</v>
      </c>
      <c r="G360" s="2"/>
      <c r="H360" s="204"/>
      <c r="I360" s="204"/>
      <c r="J360" s="204"/>
      <c r="K360" s="204"/>
      <c r="L360" s="332"/>
      <c r="M360" s="227"/>
      <c r="N360" s="227"/>
      <c r="O360" s="227"/>
      <c r="P360" s="204"/>
      <c r="S360" s="186"/>
      <c r="V360" s="90"/>
    </row>
    <row r="361" spans="1:22" x14ac:dyDescent="0.35">
      <c r="A361">
        <f t="shared" si="24"/>
        <v>0</v>
      </c>
      <c r="G361" s="2"/>
      <c r="H361" s="204"/>
      <c r="I361" s="204"/>
      <c r="J361" s="204"/>
      <c r="K361" s="204"/>
      <c r="L361" s="332"/>
      <c r="M361" s="227"/>
      <c r="N361" s="227"/>
      <c r="O361" s="227"/>
      <c r="P361" s="204"/>
      <c r="S361" s="186"/>
      <c r="V361" s="90"/>
    </row>
    <row r="362" spans="1:22" x14ac:dyDescent="0.35">
      <c r="A362">
        <f t="shared" si="24"/>
        <v>0</v>
      </c>
      <c r="G362" s="2"/>
      <c r="H362" s="204"/>
      <c r="I362" s="204"/>
      <c r="J362" s="204"/>
      <c r="K362" s="204"/>
      <c r="L362" s="332"/>
      <c r="M362" s="227"/>
      <c r="N362" s="227"/>
      <c r="O362" s="227"/>
      <c r="P362" s="204"/>
      <c r="S362" s="186"/>
      <c r="V362" s="90"/>
    </row>
    <row r="363" spans="1:22" x14ac:dyDescent="0.35">
      <c r="A363">
        <f t="shared" si="24"/>
        <v>0</v>
      </c>
      <c r="G363" s="2"/>
      <c r="H363" s="204"/>
      <c r="I363" s="204"/>
      <c r="J363" s="204"/>
      <c r="K363" s="204"/>
      <c r="L363" s="332"/>
      <c r="M363" s="227"/>
      <c r="N363" s="227"/>
      <c r="O363" s="227"/>
      <c r="P363" s="204"/>
      <c r="S363" s="186"/>
      <c r="V363" s="90"/>
    </row>
    <row r="364" spans="1:22" x14ac:dyDescent="0.35">
      <c r="A364">
        <f t="shared" si="24"/>
        <v>0</v>
      </c>
      <c r="G364" s="2"/>
      <c r="H364" s="204"/>
      <c r="I364" s="204"/>
      <c r="J364" s="204"/>
      <c r="K364" s="204"/>
      <c r="L364" s="332"/>
      <c r="M364" s="227"/>
      <c r="N364" s="227"/>
      <c r="O364" s="227"/>
      <c r="P364" s="204"/>
      <c r="S364" s="186"/>
      <c r="V364" s="90"/>
    </row>
    <row r="365" spans="1:22" x14ac:dyDescent="0.35">
      <c r="A365">
        <f t="shared" si="24"/>
        <v>0</v>
      </c>
      <c r="G365" s="2"/>
      <c r="H365" s="204"/>
      <c r="I365" s="204"/>
      <c r="J365" s="204"/>
      <c r="K365" s="204"/>
      <c r="L365" s="332"/>
      <c r="M365" s="227"/>
      <c r="N365" s="227"/>
      <c r="O365" s="227"/>
      <c r="P365" s="204"/>
      <c r="S365" s="186"/>
      <c r="V365" s="90"/>
    </row>
    <row r="366" spans="1:22" x14ac:dyDescent="0.35">
      <c r="A366">
        <f t="shared" si="24"/>
        <v>0</v>
      </c>
      <c r="G366" s="2"/>
      <c r="H366" s="204"/>
      <c r="I366" s="204"/>
      <c r="J366" s="204"/>
      <c r="K366" s="204"/>
      <c r="L366" s="332"/>
      <c r="M366" s="227"/>
      <c r="N366" s="227"/>
      <c r="O366" s="227"/>
      <c r="P366" s="204"/>
      <c r="S366" s="186"/>
      <c r="V366" s="90"/>
    </row>
    <row r="367" spans="1:22" x14ac:dyDescent="0.35">
      <c r="A367">
        <f t="shared" si="24"/>
        <v>0</v>
      </c>
      <c r="G367" s="2"/>
      <c r="H367" s="204"/>
      <c r="I367" s="204"/>
      <c r="J367" s="204"/>
      <c r="K367" s="204"/>
      <c r="L367" s="332"/>
      <c r="M367" s="227"/>
      <c r="N367" s="227"/>
      <c r="O367" s="227"/>
      <c r="P367" s="204"/>
      <c r="S367" s="186"/>
      <c r="V367" s="90"/>
    </row>
    <row r="368" spans="1:22" x14ac:dyDescent="0.35">
      <c r="A368">
        <f t="shared" si="24"/>
        <v>0</v>
      </c>
      <c r="G368" s="2"/>
      <c r="H368" s="204"/>
      <c r="I368" s="204"/>
      <c r="J368" s="204"/>
      <c r="K368" s="204"/>
      <c r="L368" s="332"/>
      <c r="M368" s="227"/>
      <c r="N368" s="227"/>
      <c r="O368" s="227"/>
      <c r="P368" s="204"/>
      <c r="S368" s="186"/>
      <c r="V368" s="90"/>
    </row>
    <row r="369" spans="1:22" x14ac:dyDescent="0.35">
      <c r="A369">
        <f t="shared" si="24"/>
        <v>0</v>
      </c>
      <c r="G369" s="2"/>
      <c r="H369" s="204"/>
      <c r="I369" s="204"/>
      <c r="J369" s="204"/>
      <c r="K369" s="204"/>
      <c r="L369" s="332"/>
      <c r="M369" s="227"/>
      <c r="N369" s="227"/>
      <c r="O369" s="227"/>
      <c r="P369" s="204"/>
      <c r="S369" s="186"/>
      <c r="V369" s="90"/>
    </row>
    <row r="370" spans="1:22" x14ac:dyDescent="0.35">
      <c r="A370">
        <f t="shared" si="24"/>
        <v>0</v>
      </c>
      <c r="G370" s="2"/>
      <c r="H370" s="204"/>
      <c r="I370" s="204"/>
      <c r="J370" s="204"/>
      <c r="K370" s="204"/>
      <c r="L370" s="332"/>
      <c r="M370" s="227"/>
      <c r="N370" s="227"/>
      <c r="O370" s="227"/>
      <c r="P370" s="204"/>
      <c r="S370" s="186"/>
      <c r="V370" s="90"/>
    </row>
    <row r="371" spans="1:22" x14ac:dyDescent="0.35">
      <c r="A371">
        <f t="shared" si="24"/>
        <v>0</v>
      </c>
      <c r="G371" s="2"/>
      <c r="H371" s="204"/>
      <c r="I371" s="204"/>
      <c r="J371" s="204"/>
      <c r="K371" s="204"/>
      <c r="L371" s="332"/>
      <c r="M371" s="227"/>
      <c r="N371" s="227"/>
      <c r="O371" s="227"/>
      <c r="P371" s="204"/>
      <c r="S371" s="186"/>
      <c r="V371" s="90"/>
    </row>
    <row r="372" spans="1:22" x14ac:dyDescent="0.35">
      <c r="A372">
        <f t="shared" si="24"/>
        <v>0</v>
      </c>
      <c r="G372" s="2"/>
      <c r="H372" s="204"/>
      <c r="I372" s="204"/>
      <c r="J372" s="204"/>
      <c r="K372" s="204"/>
      <c r="L372" s="332"/>
      <c r="M372" s="227"/>
      <c r="N372" s="227"/>
      <c r="O372" s="227"/>
      <c r="P372" s="204"/>
      <c r="S372" s="186"/>
      <c r="V372" s="90"/>
    </row>
    <row r="373" spans="1:22" x14ac:dyDescent="0.35">
      <c r="A373">
        <f t="shared" si="24"/>
        <v>0</v>
      </c>
      <c r="G373" s="2"/>
      <c r="H373" s="204"/>
      <c r="I373" s="204"/>
      <c r="J373" s="204"/>
      <c r="K373" s="204"/>
      <c r="L373" s="332"/>
      <c r="M373" s="227"/>
      <c r="N373" s="227"/>
      <c r="O373" s="227"/>
      <c r="P373" s="204"/>
      <c r="S373" s="186"/>
      <c r="V373" s="90"/>
    </row>
    <row r="374" spans="1:22" x14ac:dyDescent="0.35">
      <c r="A374">
        <f t="shared" si="24"/>
        <v>0</v>
      </c>
      <c r="G374" s="2"/>
      <c r="H374" s="204"/>
      <c r="I374" s="204"/>
      <c r="J374" s="204"/>
      <c r="K374" s="204"/>
      <c r="L374" s="332"/>
      <c r="M374" s="227"/>
      <c r="N374" s="227"/>
      <c r="O374" s="227"/>
      <c r="P374" s="204"/>
      <c r="S374" s="186"/>
      <c r="V374" s="90"/>
    </row>
    <row r="375" spans="1:22" x14ac:dyDescent="0.35">
      <c r="A375">
        <f t="shared" si="24"/>
        <v>0</v>
      </c>
      <c r="G375" s="2"/>
      <c r="H375" s="204"/>
      <c r="I375" s="204"/>
      <c r="J375" s="204"/>
      <c r="K375" s="204"/>
      <c r="L375" s="332"/>
      <c r="M375" s="227"/>
      <c r="N375" s="227"/>
      <c r="O375" s="227"/>
      <c r="P375" s="204"/>
      <c r="S375" s="186"/>
      <c r="V375" s="90"/>
    </row>
    <row r="376" spans="1:22" x14ac:dyDescent="0.35">
      <c r="A376">
        <f t="shared" si="24"/>
        <v>0</v>
      </c>
      <c r="G376" s="2"/>
      <c r="H376" s="204"/>
      <c r="I376" s="204"/>
      <c r="J376" s="204"/>
      <c r="K376" s="204"/>
      <c r="L376" s="332"/>
      <c r="M376" s="227"/>
      <c r="N376" s="227"/>
      <c r="O376" s="227"/>
      <c r="P376" s="204"/>
      <c r="S376" s="186"/>
      <c r="V376" s="90"/>
    </row>
    <row r="377" spans="1:22" x14ac:dyDescent="0.35">
      <c r="A377">
        <f t="shared" si="24"/>
        <v>0</v>
      </c>
      <c r="G377" s="2"/>
      <c r="H377" s="204"/>
      <c r="I377" s="204"/>
      <c r="J377" s="204"/>
      <c r="K377" s="204"/>
      <c r="L377" s="332"/>
      <c r="M377" s="227"/>
      <c r="N377" s="227"/>
      <c r="O377" s="227"/>
      <c r="P377" s="204"/>
      <c r="S377" s="186"/>
      <c r="V377" s="90"/>
    </row>
    <row r="378" spans="1:22" x14ac:dyDescent="0.35">
      <c r="A378">
        <f t="shared" si="24"/>
        <v>0</v>
      </c>
      <c r="G378" s="2"/>
      <c r="H378" s="204"/>
      <c r="I378" s="204"/>
      <c r="J378" s="204"/>
      <c r="K378" s="204"/>
      <c r="L378" s="332"/>
      <c r="M378" s="227"/>
      <c r="N378" s="227"/>
      <c r="O378" s="227"/>
      <c r="P378" s="204"/>
      <c r="S378" s="186"/>
      <c r="V378" s="90"/>
    </row>
    <row r="379" spans="1:22" x14ac:dyDescent="0.35">
      <c r="A379">
        <f t="shared" si="24"/>
        <v>0</v>
      </c>
      <c r="G379" s="2"/>
      <c r="H379" s="204"/>
      <c r="I379" s="204"/>
      <c r="J379" s="204"/>
      <c r="K379" s="204"/>
      <c r="L379" s="332"/>
      <c r="M379" s="227"/>
      <c r="N379" s="227"/>
      <c r="O379" s="227"/>
      <c r="P379" s="204"/>
      <c r="S379" s="186"/>
      <c r="V379" s="90"/>
    </row>
    <row r="380" spans="1:22" x14ac:dyDescent="0.35">
      <c r="A380">
        <f t="shared" si="24"/>
        <v>0</v>
      </c>
      <c r="G380" s="2"/>
      <c r="H380" s="204"/>
      <c r="I380" s="204"/>
      <c r="J380" s="204"/>
      <c r="K380" s="204"/>
      <c r="L380" s="332"/>
      <c r="M380" s="227"/>
      <c r="N380" s="227"/>
      <c r="O380" s="227"/>
      <c r="P380" s="204"/>
      <c r="S380" s="186"/>
      <c r="V380" s="90"/>
    </row>
    <row r="381" spans="1:22" x14ac:dyDescent="0.35">
      <c r="A381">
        <f t="shared" si="24"/>
        <v>0</v>
      </c>
      <c r="G381" s="2"/>
      <c r="H381" s="204"/>
      <c r="I381" s="204"/>
      <c r="J381" s="204"/>
      <c r="K381" s="204"/>
      <c r="L381" s="332"/>
      <c r="M381" s="227"/>
      <c r="N381" s="227"/>
      <c r="O381" s="227"/>
      <c r="P381" s="204"/>
      <c r="S381" s="186"/>
      <c r="V381" s="90"/>
    </row>
    <row r="382" spans="1:22" x14ac:dyDescent="0.35">
      <c r="A382">
        <f t="shared" si="24"/>
        <v>0</v>
      </c>
      <c r="G382" s="2"/>
      <c r="H382" s="204"/>
      <c r="I382" s="204"/>
      <c r="J382" s="204"/>
      <c r="K382" s="204"/>
      <c r="L382" s="332"/>
      <c r="M382" s="227"/>
      <c r="N382" s="227"/>
      <c r="O382" s="227"/>
      <c r="P382" s="204"/>
      <c r="S382" s="186"/>
      <c r="V382" s="90"/>
    </row>
    <row r="383" spans="1:22" x14ac:dyDescent="0.35">
      <c r="A383">
        <f t="shared" si="24"/>
        <v>0</v>
      </c>
      <c r="G383" s="2"/>
      <c r="H383" s="204"/>
      <c r="I383" s="204"/>
      <c r="J383" s="204"/>
      <c r="K383" s="204"/>
      <c r="L383" s="332"/>
      <c r="M383" s="227"/>
      <c r="N383" s="227"/>
      <c r="O383" s="227"/>
      <c r="P383" s="204"/>
      <c r="S383" s="186"/>
      <c r="V383" s="90"/>
    </row>
    <row r="384" spans="1:22" x14ac:dyDescent="0.35">
      <c r="A384">
        <f t="shared" si="24"/>
        <v>0</v>
      </c>
      <c r="G384" s="2"/>
      <c r="H384" s="204"/>
      <c r="I384" s="204"/>
      <c r="J384" s="204"/>
      <c r="K384" s="204"/>
      <c r="L384" s="332"/>
      <c r="M384" s="227"/>
      <c r="N384" s="227"/>
      <c r="O384" s="227"/>
      <c r="P384" s="204"/>
      <c r="S384" s="186"/>
      <c r="V384" s="90"/>
    </row>
    <row r="385" spans="1:22" x14ac:dyDescent="0.35">
      <c r="A385">
        <f t="shared" si="24"/>
        <v>0</v>
      </c>
      <c r="G385" s="2"/>
      <c r="H385" s="204"/>
      <c r="I385" s="204"/>
      <c r="J385" s="204"/>
      <c r="K385" s="204"/>
      <c r="L385" s="332"/>
      <c r="M385" s="227"/>
      <c r="N385" s="227"/>
      <c r="O385" s="227"/>
      <c r="P385" s="204"/>
      <c r="S385" s="186"/>
      <c r="V385" s="90"/>
    </row>
    <row r="386" spans="1:22" x14ac:dyDescent="0.35">
      <c r="A386">
        <f t="shared" si="24"/>
        <v>0</v>
      </c>
      <c r="G386" s="2"/>
      <c r="H386" s="204"/>
      <c r="I386" s="204"/>
      <c r="J386" s="204"/>
      <c r="K386" s="204"/>
      <c r="L386" s="332"/>
      <c r="M386" s="227"/>
      <c r="N386" s="227"/>
      <c r="O386" s="227"/>
      <c r="P386" s="204"/>
      <c r="S386" s="186"/>
      <c r="V386" s="90"/>
    </row>
    <row r="387" spans="1:22" x14ac:dyDescent="0.35">
      <c r="A387">
        <f t="shared" si="24"/>
        <v>0</v>
      </c>
      <c r="G387" s="2"/>
      <c r="H387" s="204"/>
      <c r="I387" s="204"/>
      <c r="J387" s="204"/>
      <c r="K387" s="204"/>
      <c r="L387" s="332"/>
      <c r="M387" s="227"/>
      <c r="N387" s="227"/>
      <c r="O387" s="227"/>
      <c r="P387" s="204"/>
      <c r="S387" s="186"/>
      <c r="V387" s="90"/>
    </row>
    <row r="388" spans="1:22" x14ac:dyDescent="0.35">
      <c r="A388">
        <f t="shared" si="24"/>
        <v>0</v>
      </c>
      <c r="G388" s="2"/>
      <c r="H388" s="204"/>
      <c r="I388" s="204"/>
      <c r="J388" s="204"/>
      <c r="K388" s="204"/>
      <c r="L388" s="332"/>
      <c r="M388" s="227"/>
      <c r="N388" s="227"/>
      <c r="O388" s="227"/>
      <c r="P388" s="204"/>
      <c r="S388" s="186"/>
      <c r="V388" s="90"/>
    </row>
    <row r="389" spans="1:22" x14ac:dyDescent="0.35">
      <c r="A389">
        <f t="shared" si="24"/>
        <v>0</v>
      </c>
      <c r="G389" s="2"/>
      <c r="H389" s="204"/>
      <c r="I389" s="204"/>
      <c r="J389" s="204"/>
      <c r="K389" s="204"/>
      <c r="L389" s="332"/>
      <c r="M389" s="227"/>
      <c r="N389" s="227"/>
      <c r="O389" s="227"/>
      <c r="P389" s="204"/>
      <c r="S389" s="186"/>
      <c r="V389" s="90"/>
    </row>
    <row r="390" spans="1:22" x14ac:dyDescent="0.35">
      <c r="A390">
        <f t="shared" si="24"/>
        <v>0</v>
      </c>
      <c r="G390" s="2"/>
      <c r="H390" s="204"/>
      <c r="I390" s="204"/>
      <c r="J390" s="204"/>
      <c r="K390" s="204"/>
      <c r="L390" s="332"/>
      <c r="M390" s="227"/>
      <c r="N390" s="227"/>
      <c r="O390" s="227"/>
      <c r="P390" s="204"/>
      <c r="S390" s="186"/>
      <c r="V390" s="90"/>
    </row>
    <row r="391" spans="1:22" x14ac:dyDescent="0.35">
      <c r="A391">
        <f t="shared" si="24"/>
        <v>0</v>
      </c>
      <c r="G391" s="2"/>
      <c r="H391" s="204"/>
      <c r="I391" s="204"/>
      <c r="J391" s="204"/>
      <c r="K391" s="204"/>
      <c r="L391" s="332"/>
      <c r="M391" s="227"/>
      <c r="N391" s="227"/>
      <c r="O391" s="227"/>
      <c r="P391" s="204"/>
      <c r="S391" s="186"/>
      <c r="V391" s="90"/>
    </row>
    <row r="392" spans="1:22" x14ac:dyDescent="0.35">
      <c r="A392">
        <f t="shared" ref="A392:A455" si="25">IF(B392="",0,COUNTIFS($B$7:$B$999,B392,$C$7:$C$999,C392))</f>
        <v>0</v>
      </c>
      <c r="G392" s="2"/>
      <c r="H392" s="204"/>
      <c r="I392" s="204"/>
      <c r="J392" s="204"/>
      <c r="K392" s="204"/>
      <c r="L392" s="332"/>
      <c r="M392" s="227"/>
      <c r="N392" s="227"/>
      <c r="O392" s="227"/>
      <c r="P392" s="204"/>
      <c r="S392" s="186"/>
      <c r="V392" s="90"/>
    </row>
    <row r="393" spans="1:22" x14ac:dyDescent="0.35">
      <c r="A393">
        <f t="shared" si="25"/>
        <v>0</v>
      </c>
      <c r="G393" s="2"/>
      <c r="H393" s="204"/>
      <c r="I393" s="204"/>
      <c r="J393" s="204"/>
      <c r="K393" s="204"/>
      <c r="L393" s="332"/>
      <c r="M393" s="227"/>
      <c r="N393" s="227"/>
      <c r="O393" s="227"/>
      <c r="P393" s="204"/>
      <c r="S393" s="186"/>
      <c r="V393" s="90"/>
    </row>
    <row r="394" spans="1:22" x14ac:dyDescent="0.35">
      <c r="A394">
        <f t="shared" si="25"/>
        <v>0</v>
      </c>
      <c r="G394" s="2"/>
      <c r="H394" s="204"/>
      <c r="I394" s="204"/>
      <c r="J394" s="204"/>
      <c r="K394" s="204"/>
      <c r="L394" s="332"/>
      <c r="M394" s="227"/>
      <c r="N394" s="227"/>
      <c r="O394" s="227"/>
      <c r="P394" s="204"/>
      <c r="S394" s="186"/>
      <c r="V394" s="90"/>
    </row>
    <row r="395" spans="1:22" x14ac:dyDescent="0.35">
      <c r="A395">
        <f t="shared" si="25"/>
        <v>0</v>
      </c>
      <c r="G395" s="2"/>
      <c r="H395" s="204"/>
      <c r="I395" s="204"/>
      <c r="J395" s="204"/>
      <c r="K395" s="204"/>
      <c r="L395" s="332"/>
      <c r="M395" s="227"/>
      <c r="N395" s="227"/>
      <c r="O395" s="227"/>
      <c r="P395" s="204"/>
      <c r="S395" s="186"/>
      <c r="V395" s="90"/>
    </row>
    <row r="396" spans="1:22" x14ac:dyDescent="0.35">
      <c r="A396">
        <f t="shared" si="25"/>
        <v>0</v>
      </c>
      <c r="G396" s="2"/>
      <c r="H396" s="204"/>
      <c r="I396" s="204"/>
      <c r="J396" s="204"/>
      <c r="K396" s="204"/>
      <c r="L396" s="332"/>
      <c r="M396" s="227"/>
      <c r="N396" s="227"/>
      <c r="O396" s="227"/>
      <c r="P396" s="204"/>
      <c r="S396" s="186"/>
      <c r="V396" s="90"/>
    </row>
    <row r="397" spans="1:22" x14ac:dyDescent="0.35">
      <c r="A397">
        <f t="shared" si="25"/>
        <v>0</v>
      </c>
      <c r="G397" s="2"/>
      <c r="H397" s="204"/>
      <c r="I397" s="204"/>
      <c r="J397" s="204"/>
      <c r="K397" s="204"/>
      <c r="L397" s="332"/>
      <c r="M397" s="227"/>
      <c r="N397" s="227"/>
      <c r="O397" s="227"/>
      <c r="P397" s="204"/>
      <c r="S397" s="186"/>
      <c r="V397" s="90"/>
    </row>
    <row r="398" spans="1:22" x14ac:dyDescent="0.35">
      <c r="A398">
        <f t="shared" si="25"/>
        <v>0</v>
      </c>
      <c r="G398" s="2"/>
      <c r="H398" s="204"/>
      <c r="I398" s="204"/>
      <c r="J398" s="204"/>
      <c r="K398" s="204"/>
      <c r="L398" s="332"/>
      <c r="M398" s="227"/>
      <c r="N398" s="227"/>
      <c r="O398" s="227"/>
      <c r="P398" s="204"/>
      <c r="S398" s="186"/>
      <c r="V398" s="90"/>
    </row>
    <row r="399" spans="1:22" x14ac:dyDescent="0.35">
      <c r="A399">
        <f t="shared" si="25"/>
        <v>0</v>
      </c>
      <c r="G399" s="2"/>
      <c r="H399" s="204"/>
      <c r="I399" s="204"/>
      <c r="J399" s="204"/>
      <c r="K399" s="204"/>
      <c r="L399" s="332"/>
      <c r="M399" s="227"/>
      <c r="N399" s="227"/>
      <c r="O399" s="227"/>
      <c r="P399" s="204"/>
      <c r="S399" s="186"/>
      <c r="V399" s="90"/>
    </row>
    <row r="400" spans="1:22" x14ac:dyDescent="0.35">
      <c r="A400">
        <f t="shared" si="25"/>
        <v>0</v>
      </c>
      <c r="G400" s="2"/>
      <c r="H400" s="204"/>
      <c r="I400" s="204"/>
      <c r="J400" s="204"/>
      <c r="K400" s="204"/>
      <c r="L400" s="332"/>
      <c r="M400" s="227"/>
      <c r="N400" s="227"/>
      <c r="O400" s="227"/>
      <c r="P400" s="204"/>
      <c r="S400" s="186"/>
      <c r="V400" s="90"/>
    </row>
    <row r="401" spans="1:22" x14ac:dyDescent="0.35">
      <c r="A401">
        <f t="shared" si="25"/>
        <v>0</v>
      </c>
      <c r="G401" s="2"/>
      <c r="H401" s="204"/>
      <c r="I401" s="204"/>
      <c r="J401" s="204"/>
      <c r="K401" s="204"/>
      <c r="L401" s="332"/>
      <c r="M401" s="227"/>
      <c r="N401" s="227"/>
      <c r="O401" s="227"/>
      <c r="P401" s="204"/>
      <c r="S401" s="186"/>
      <c r="V401" s="90"/>
    </row>
    <row r="402" spans="1:22" x14ac:dyDescent="0.35">
      <c r="A402">
        <f t="shared" si="25"/>
        <v>0</v>
      </c>
      <c r="G402" s="2"/>
      <c r="H402" s="204"/>
      <c r="I402" s="204"/>
      <c r="J402" s="204"/>
      <c r="K402" s="204"/>
      <c r="L402" s="332"/>
      <c r="M402" s="227"/>
      <c r="N402" s="227"/>
      <c r="O402" s="227"/>
      <c r="P402" s="204"/>
      <c r="S402" s="186"/>
      <c r="V402" s="90"/>
    </row>
    <row r="403" spans="1:22" x14ac:dyDescent="0.35">
      <c r="A403">
        <f t="shared" si="25"/>
        <v>0</v>
      </c>
      <c r="G403" s="2"/>
      <c r="H403" s="204"/>
      <c r="I403" s="204"/>
      <c r="J403" s="204"/>
      <c r="K403" s="204"/>
      <c r="L403" s="332"/>
      <c r="M403" s="227"/>
      <c r="N403" s="227"/>
      <c r="O403" s="227"/>
      <c r="P403" s="204"/>
      <c r="S403" s="186"/>
      <c r="V403" s="90"/>
    </row>
    <row r="404" spans="1:22" x14ac:dyDescent="0.35">
      <c r="A404">
        <f t="shared" si="25"/>
        <v>0</v>
      </c>
      <c r="G404" s="2"/>
      <c r="H404" s="204"/>
      <c r="I404" s="204"/>
      <c r="J404" s="204"/>
      <c r="K404" s="204"/>
      <c r="L404" s="332"/>
      <c r="M404" s="227"/>
      <c r="N404" s="227"/>
      <c r="O404" s="227"/>
      <c r="P404" s="204"/>
      <c r="S404" s="186"/>
      <c r="V404" s="90"/>
    </row>
    <row r="405" spans="1:22" x14ac:dyDescent="0.35">
      <c r="A405">
        <f t="shared" si="25"/>
        <v>0</v>
      </c>
      <c r="G405" s="2"/>
      <c r="H405" s="204"/>
      <c r="I405" s="204"/>
      <c r="J405" s="204"/>
      <c r="K405" s="204"/>
      <c r="L405" s="332"/>
      <c r="M405" s="227"/>
      <c r="N405" s="227"/>
      <c r="O405" s="227"/>
      <c r="P405" s="204"/>
      <c r="S405" s="186"/>
      <c r="V405" s="90"/>
    </row>
    <row r="406" spans="1:22" x14ac:dyDescent="0.35">
      <c r="A406">
        <f t="shared" si="25"/>
        <v>0</v>
      </c>
      <c r="G406" s="2"/>
      <c r="H406" s="204"/>
      <c r="I406" s="204"/>
      <c r="J406" s="204"/>
      <c r="K406" s="204"/>
      <c r="L406" s="332"/>
      <c r="M406" s="227"/>
      <c r="N406" s="227"/>
      <c r="O406" s="227"/>
      <c r="P406" s="204"/>
      <c r="S406" s="186"/>
      <c r="V406" s="90"/>
    </row>
    <row r="407" spans="1:22" x14ac:dyDescent="0.35">
      <c r="A407">
        <f t="shared" si="25"/>
        <v>0</v>
      </c>
      <c r="G407" s="2"/>
      <c r="H407" s="204"/>
      <c r="I407" s="204"/>
      <c r="J407" s="204"/>
      <c r="K407" s="204"/>
      <c r="L407" s="332"/>
      <c r="M407" s="227"/>
      <c r="N407" s="227"/>
      <c r="O407" s="227"/>
      <c r="P407" s="204"/>
      <c r="S407" s="186"/>
      <c r="V407" s="90"/>
    </row>
    <row r="408" spans="1:22" x14ac:dyDescent="0.35">
      <c r="A408">
        <f t="shared" si="25"/>
        <v>0</v>
      </c>
      <c r="G408" s="2"/>
      <c r="H408" s="204"/>
      <c r="I408" s="204"/>
      <c r="J408" s="204"/>
      <c r="K408" s="204"/>
      <c r="L408" s="332"/>
      <c r="M408" s="227"/>
      <c r="N408" s="227"/>
      <c r="O408" s="227"/>
      <c r="P408" s="204"/>
      <c r="S408" s="186"/>
      <c r="V408" s="90"/>
    </row>
    <row r="409" spans="1:22" x14ac:dyDescent="0.35">
      <c r="A409">
        <f t="shared" si="25"/>
        <v>0</v>
      </c>
      <c r="G409" s="2"/>
      <c r="H409" s="204"/>
      <c r="I409" s="204"/>
      <c r="J409" s="204"/>
      <c r="K409" s="204"/>
      <c r="L409" s="332"/>
      <c r="M409" s="227"/>
      <c r="N409" s="227"/>
      <c r="O409" s="227"/>
      <c r="P409" s="204"/>
      <c r="S409" s="186"/>
      <c r="V409" s="90"/>
    </row>
    <row r="410" spans="1:22" x14ac:dyDescent="0.35">
      <c r="A410">
        <f t="shared" si="25"/>
        <v>0</v>
      </c>
      <c r="G410" s="2"/>
      <c r="H410" s="204"/>
      <c r="I410" s="204"/>
      <c r="J410" s="204"/>
      <c r="K410" s="204"/>
      <c r="L410" s="332"/>
      <c r="M410" s="227"/>
      <c r="N410" s="227"/>
      <c r="O410" s="227"/>
      <c r="P410" s="204"/>
      <c r="S410" s="186"/>
      <c r="V410" s="90"/>
    </row>
    <row r="411" spans="1:22" x14ac:dyDescent="0.35">
      <c r="A411">
        <f t="shared" si="25"/>
        <v>0</v>
      </c>
      <c r="G411" s="2"/>
      <c r="H411" s="204"/>
      <c r="I411" s="204"/>
      <c r="J411" s="204"/>
      <c r="K411" s="204"/>
      <c r="L411" s="332"/>
      <c r="M411" s="227"/>
      <c r="N411" s="227"/>
      <c r="O411" s="227"/>
      <c r="P411" s="204"/>
      <c r="S411" s="186"/>
      <c r="V411" s="90"/>
    </row>
    <row r="412" spans="1:22" x14ac:dyDescent="0.35">
      <c r="A412">
        <f t="shared" si="25"/>
        <v>0</v>
      </c>
      <c r="G412" s="2"/>
      <c r="H412" s="204"/>
      <c r="I412" s="204"/>
      <c r="J412" s="204"/>
      <c r="K412" s="204"/>
      <c r="L412" s="332"/>
      <c r="M412" s="227"/>
      <c r="N412" s="227"/>
      <c r="O412" s="227"/>
      <c r="P412" s="204"/>
      <c r="S412" s="186"/>
      <c r="V412" s="90"/>
    </row>
    <row r="413" spans="1:22" x14ac:dyDescent="0.35">
      <c r="A413">
        <f t="shared" si="25"/>
        <v>0</v>
      </c>
      <c r="G413" s="2"/>
      <c r="H413" s="204"/>
      <c r="I413" s="204"/>
      <c r="J413" s="204"/>
      <c r="K413" s="204"/>
      <c r="L413" s="332"/>
      <c r="M413" s="227"/>
      <c r="N413" s="227"/>
      <c r="O413" s="227"/>
      <c r="P413" s="204"/>
      <c r="S413" s="186"/>
      <c r="V413" s="90"/>
    </row>
    <row r="414" spans="1:22" x14ac:dyDescent="0.35">
      <c r="A414">
        <f t="shared" si="25"/>
        <v>0</v>
      </c>
      <c r="G414" s="2"/>
      <c r="H414" s="204"/>
      <c r="I414" s="204"/>
      <c r="J414" s="204"/>
      <c r="K414" s="204"/>
      <c r="L414" s="332"/>
      <c r="M414" s="227"/>
      <c r="N414" s="227"/>
      <c r="O414" s="227"/>
      <c r="P414" s="204"/>
      <c r="S414" s="186"/>
      <c r="V414" s="90"/>
    </row>
    <row r="415" spans="1:22" x14ac:dyDescent="0.35">
      <c r="A415">
        <f t="shared" si="25"/>
        <v>0</v>
      </c>
      <c r="G415" s="2"/>
      <c r="H415" s="204"/>
      <c r="I415" s="204"/>
      <c r="J415" s="204"/>
      <c r="K415" s="204"/>
      <c r="L415" s="332"/>
      <c r="M415" s="227"/>
      <c r="N415" s="227"/>
      <c r="O415" s="227"/>
      <c r="P415" s="204"/>
      <c r="S415" s="186"/>
      <c r="V415" s="90"/>
    </row>
    <row r="416" spans="1:22" x14ac:dyDescent="0.35">
      <c r="A416">
        <f t="shared" si="25"/>
        <v>0</v>
      </c>
      <c r="G416" s="2"/>
      <c r="H416" s="204"/>
      <c r="I416" s="204"/>
      <c r="J416" s="204"/>
      <c r="K416" s="204"/>
      <c r="L416" s="332"/>
      <c r="M416" s="227"/>
      <c r="N416" s="227"/>
      <c r="O416" s="227"/>
      <c r="P416" s="204"/>
      <c r="S416" s="186"/>
      <c r="V416" s="90"/>
    </row>
    <row r="417" spans="1:22" x14ac:dyDescent="0.35">
      <c r="A417">
        <f t="shared" si="25"/>
        <v>0</v>
      </c>
      <c r="G417" s="2"/>
      <c r="H417" s="204"/>
      <c r="I417" s="204"/>
      <c r="J417" s="204"/>
      <c r="K417" s="204"/>
      <c r="L417" s="332"/>
      <c r="M417" s="227"/>
      <c r="N417" s="227"/>
      <c r="O417" s="227"/>
      <c r="P417" s="204"/>
      <c r="S417" s="186"/>
      <c r="V417" s="90"/>
    </row>
    <row r="418" spans="1:22" x14ac:dyDescent="0.35">
      <c r="A418">
        <f t="shared" si="25"/>
        <v>0</v>
      </c>
      <c r="G418" s="2"/>
      <c r="H418" s="204"/>
      <c r="I418" s="204"/>
      <c r="J418" s="204"/>
      <c r="K418" s="204"/>
      <c r="L418" s="332"/>
      <c r="M418" s="227"/>
      <c r="N418" s="227"/>
      <c r="O418" s="227"/>
      <c r="P418" s="204"/>
      <c r="S418" s="186"/>
      <c r="V418" s="90"/>
    </row>
    <row r="419" spans="1:22" x14ac:dyDescent="0.35">
      <c r="A419">
        <f t="shared" si="25"/>
        <v>0</v>
      </c>
      <c r="G419" s="2"/>
      <c r="H419" s="204"/>
      <c r="I419" s="204"/>
      <c r="J419" s="204"/>
      <c r="K419" s="204"/>
      <c r="L419" s="332"/>
      <c r="M419" s="227"/>
      <c r="N419" s="227"/>
      <c r="O419" s="227"/>
      <c r="P419" s="204"/>
      <c r="S419" s="186"/>
      <c r="V419" s="90"/>
    </row>
    <row r="420" spans="1:22" x14ac:dyDescent="0.35">
      <c r="A420">
        <f t="shared" si="25"/>
        <v>0</v>
      </c>
      <c r="G420" s="2"/>
      <c r="H420" s="204"/>
      <c r="I420" s="204"/>
      <c r="J420" s="204"/>
      <c r="K420" s="204"/>
      <c r="L420" s="332"/>
      <c r="M420" s="227"/>
      <c r="N420" s="227"/>
      <c r="O420" s="227"/>
      <c r="P420" s="204"/>
      <c r="S420" s="186"/>
      <c r="V420" s="90"/>
    </row>
    <row r="421" spans="1:22" x14ac:dyDescent="0.35">
      <c r="A421">
        <f t="shared" si="25"/>
        <v>0</v>
      </c>
      <c r="G421" s="2"/>
      <c r="H421" s="204"/>
      <c r="I421" s="204"/>
      <c r="J421" s="204"/>
      <c r="K421" s="204"/>
      <c r="L421" s="332"/>
      <c r="M421" s="227"/>
      <c r="N421" s="227"/>
      <c r="O421" s="227"/>
      <c r="P421" s="204"/>
      <c r="S421" s="186"/>
      <c r="V421" s="90"/>
    </row>
    <row r="422" spans="1:22" x14ac:dyDescent="0.35">
      <c r="A422">
        <f t="shared" si="25"/>
        <v>0</v>
      </c>
      <c r="G422" s="2"/>
      <c r="H422" s="204"/>
      <c r="I422" s="204"/>
      <c r="J422" s="204"/>
      <c r="K422" s="204"/>
      <c r="L422" s="332"/>
      <c r="M422" s="227"/>
      <c r="N422" s="227"/>
      <c r="O422" s="227"/>
      <c r="P422" s="204"/>
      <c r="S422" s="186"/>
      <c r="V422" s="90"/>
    </row>
    <row r="423" spans="1:22" x14ac:dyDescent="0.35">
      <c r="A423">
        <f t="shared" si="25"/>
        <v>0</v>
      </c>
      <c r="G423" s="2"/>
      <c r="H423" s="204"/>
      <c r="I423" s="204"/>
      <c r="J423" s="204"/>
      <c r="K423" s="204"/>
      <c r="L423" s="332"/>
      <c r="M423" s="227"/>
      <c r="N423" s="227"/>
      <c r="O423" s="227"/>
      <c r="P423" s="204"/>
      <c r="S423" s="186"/>
      <c r="V423" s="90"/>
    </row>
    <row r="424" spans="1:22" x14ac:dyDescent="0.35">
      <c r="A424">
        <f t="shared" si="25"/>
        <v>0</v>
      </c>
      <c r="G424" s="2"/>
      <c r="H424" s="204"/>
      <c r="I424" s="204"/>
      <c r="J424" s="204"/>
      <c r="K424" s="204"/>
      <c r="L424" s="332"/>
      <c r="M424" s="227"/>
      <c r="N424" s="227"/>
      <c r="O424" s="227"/>
      <c r="P424" s="204"/>
      <c r="S424" s="186"/>
      <c r="V424" s="90"/>
    </row>
    <row r="425" spans="1:22" x14ac:dyDescent="0.35">
      <c r="A425">
        <f t="shared" si="25"/>
        <v>0</v>
      </c>
      <c r="G425" s="2"/>
      <c r="H425" s="204"/>
      <c r="I425" s="204"/>
      <c r="J425" s="204"/>
      <c r="K425" s="204"/>
      <c r="L425" s="332"/>
      <c r="M425" s="227"/>
      <c r="N425" s="227"/>
      <c r="O425" s="227"/>
      <c r="P425" s="204"/>
      <c r="S425" s="186"/>
      <c r="V425" s="90"/>
    </row>
    <row r="426" spans="1:22" x14ac:dyDescent="0.35">
      <c r="A426">
        <f t="shared" si="25"/>
        <v>0</v>
      </c>
      <c r="G426" s="2"/>
      <c r="H426" s="204"/>
      <c r="I426" s="204"/>
      <c r="J426" s="204"/>
      <c r="K426" s="204"/>
      <c r="L426" s="332"/>
      <c r="M426" s="227"/>
      <c r="N426" s="227"/>
      <c r="O426" s="227"/>
      <c r="P426" s="204"/>
      <c r="S426" s="186"/>
      <c r="V426" s="90"/>
    </row>
    <row r="427" spans="1:22" x14ac:dyDescent="0.35">
      <c r="A427">
        <f t="shared" si="25"/>
        <v>0</v>
      </c>
      <c r="G427" s="2"/>
      <c r="H427" s="204"/>
      <c r="I427" s="204"/>
      <c r="J427" s="204"/>
      <c r="K427" s="204"/>
      <c r="L427" s="332"/>
      <c r="M427" s="227"/>
      <c r="N427" s="227"/>
      <c r="O427" s="227"/>
      <c r="P427" s="204"/>
      <c r="S427" s="186"/>
      <c r="V427" s="90"/>
    </row>
    <row r="428" spans="1:22" x14ac:dyDescent="0.35">
      <c r="A428">
        <f t="shared" si="25"/>
        <v>0</v>
      </c>
      <c r="G428" s="2"/>
      <c r="H428" s="204"/>
      <c r="I428" s="204"/>
      <c r="J428" s="204"/>
      <c r="K428" s="204"/>
      <c r="L428" s="332"/>
      <c r="M428" s="227"/>
      <c r="N428" s="227"/>
      <c r="O428" s="227"/>
      <c r="P428" s="204"/>
      <c r="S428" s="186"/>
      <c r="V428" s="90"/>
    </row>
    <row r="429" spans="1:22" x14ac:dyDescent="0.35">
      <c r="A429">
        <f t="shared" si="25"/>
        <v>0</v>
      </c>
      <c r="G429" s="2"/>
      <c r="H429" s="204"/>
      <c r="I429" s="204"/>
      <c r="J429" s="204"/>
      <c r="K429" s="204"/>
      <c r="L429" s="332"/>
      <c r="M429" s="227"/>
      <c r="N429" s="227"/>
      <c r="O429" s="227"/>
      <c r="P429" s="204"/>
      <c r="S429" s="186"/>
      <c r="V429" s="90"/>
    </row>
    <row r="430" spans="1:22" x14ac:dyDescent="0.35">
      <c r="A430">
        <f t="shared" si="25"/>
        <v>0</v>
      </c>
      <c r="G430" s="2"/>
      <c r="H430" s="204"/>
      <c r="I430" s="204"/>
      <c r="J430" s="204"/>
      <c r="K430" s="204"/>
      <c r="L430" s="332"/>
      <c r="M430" s="227"/>
      <c r="N430" s="227"/>
      <c r="O430" s="227"/>
      <c r="P430" s="204"/>
      <c r="S430" s="186"/>
      <c r="V430" s="90"/>
    </row>
    <row r="431" spans="1:22" x14ac:dyDescent="0.35">
      <c r="A431">
        <f t="shared" si="25"/>
        <v>0</v>
      </c>
      <c r="G431" s="2"/>
      <c r="H431" s="204"/>
      <c r="I431" s="204"/>
      <c r="J431" s="204"/>
      <c r="K431" s="204"/>
      <c r="L431" s="332"/>
      <c r="M431" s="227"/>
      <c r="N431" s="227"/>
      <c r="O431" s="227"/>
      <c r="P431" s="204"/>
      <c r="S431" s="186"/>
      <c r="V431" s="90"/>
    </row>
    <row r="432" spans="1:22" x14ac:dyDescent="0.35">
      <c r="A432">
        <f t="shared" si="25"/>
        <v>0</v>
      </c>
      <c r="G432" s="2"/>
      <c r="H432" s="204"/>
      <c r="I432" s="204"/>
      <c r="J432" s="204"/>
      <c r="K432" s="204"/>
      <c r="L432" s="332"/>
      <c r="M432" s="227"/>
      <c r="N432" s="227"/>
      <c r="O432" s="227"/>
      <c r="P432" s="204"/>
      <c r="S432" s="186"/>
      <c r="V432" s="90"/>
    </row>
    <row r="433" spans="1:22" x14ac:dyDescent="0.35">
      <c r="A433">
        <f t="shared" si="25"/>
        <v>0</v>
      </c>
      <c r="G433" s="2"/>
      <c r="H433" s="204"/>
      <c r="I433" s="204"/>
      <c r="J433" s="204"/>
      <c r="K433" s="204"/>
      <c r="L433" s="332"/>
      <c r="M433" s="227"/>
      <c r="N433" s="227"/>
      <c r="O433" s="227"/>
      <c r="P433" s="204"/>
      <c r="S433" s="186"/>
      <c r="V433" s="90"/>
    </row>
    <row r="434" spans="1:22" x14ac:dyDescent="0.35">
      <c r="A434">
        <f t="shared" si="25"/>
        <v>0</v>
      </c>
      <c r="G434" s="2"/>
      <c r="H434" s="204"/>
      <c r="I434" s="204"/>
      <c r="J434" s="204"/>
      <c r="K434" s="204"/>
      <c r="L434" s="332"/>
      <c r="M434" s="227"/>
      <c r="N434" s="227"/>
      <c r="O434" s="227"/>
      <c r="P434" s="204"/>
      <c r="S434" s="186"/>
      <c r="V434" s="90"/>
    </row>
    <row r="435" spans="1:22" x14ac:dyDescent="0.35">
      <c r="A435">
        <f t="shared" si="25"/>
        <v>0</v>
      </c>
      <c r="G435" s="2"/>
      <c r="H435" s="204"/>
      <c r="I435" s="204"/>
      <c r="J435" s="204"/>
      <c r="K435" s="204"/>
      <c r="L435" s="332"/>
      <c r="M435" s="227"/>
      <c r="N435" s="227"/>
      <c r="O435" s="227"/>
      <c r="P435" s="204"/>
      <c r="S435" s="186"/>
      <c r="V435" s="90"/>
    </row>
    <row r="436" spans="1:22" x14ac:dyDescent="0.35">
      <c r="A436">
        <f t="shared" si="25"/>
        <v>0</v>
      </c>
      <c r="G436" s="2"/>
      <c r="H436" s="204"/>
      <c r="I436" s="204"/>
      <c r="J436" s="204"/>
      <c r="K436" s="204"/>
      <c r="L436" s="332"/>
      <c r="M436" s="227"/>
      <c r="N436" s="227"/>
      <c r="O436" s="227"/>
      <c r="P436" s="204"/>
      <c r="S436" s="186"/>
      <c r="V436" s="90"/>
    </row>
    <row r="437" spans="1:22" x14ac:dyDescent="0.35">
      <c r="A437">
        <f t="shared" si="25"/>
        <v>0</v>
      </c>
      <c r="G437" s="2"/>
      <c r="H437" s="204"/>
      <c r="I437" s="204"/>
      <c r="J437" s="204"/>
      <c r="K437" s="204"/>
      <c r="L437" s="332"/>
      <c r="M437" s="227"/>
      <c r="N437" s="227"/>
      <c r="O437" s="227"/>
      <c r="P437" s="204"/>
      <c r="S437" s="186"/>
      <c r="V437" s="90"/>
    </row>
    <row r="438" spans="1:22" x14ac:dyDescent="0.35">
      <c r="A438">
        <f t="shared" si="25"/>
        <v>0</v>
      </c>
      <c r="G438" s="2"/>
      <c r="H438" s="204"/>
      <c r="I438" s="204"/>
      <c r="J438" s="204"/>
      <c r="K438" s="204"/>
      <c r="L438" s="332"/>
      <c r="M438" s="227"/>
      <c r="N438" s="227"/>
      <c r="O438" s="227"/>
      <c r="P438" s="204"/>
      <c r="S438" s="186"/>
      <c r="V438" s="90"/>
    </row>
    <row r="439" spans="1:22" x14ac:dyDescent="0.35">
      <c r="A439">
        <f t="shared" si="25"/>
        <v>0</v>
      </c>
      <c r="G439" s="2"/>
      <c r="H439" s="204"/>
      <c r="I439" s="204"/>
      <c r="J439" s="204"/>
      <c r="K439" s="204"/>
      <c r="L439" s="332"/>
      <c r="M439" s="227"/>
      <c r="N439" s="227"/>
      <c r="O439" s="227"/>
      <c r="P439" s="204"/>
      <c r="S439" s="186"/>
      <c r="V439" s="90"/>
    </row>
    <row r="440" spans="1:22" x14ac:dyDescent="0.35">
      <c r="A440">
        <f t="shared" si="25"/>
        <v>0</v>
      </c>
      <c r="G440" s="2"/>
      <c r="H440" s="204"/>
      <c r="I440" s="204"/>
      <c r="J440" s="204"/>
      <c r="K440" s="204"/>
      <c r="L440" s="332"/>
      <c r="M440" s="227"/>
      <c r="N440" s="227"/>
      <c r="O440" s="227"/>
      <c r="P440" s="204"/>
      <c r="S440" s="186"/>
      <c r="V440" s="90"/>
    </row>
    <row r="441" spans="1:22" x14ac:dyDescent="0.35">
      <c r="A441">
        <f t="shared" si="25"/>
        <v>0</v>
      </c>
      <c r="G441" s="2"/>
      <c r="H441" s="204"/>
      <c r="I441" s="204"/>
      <c r="J441" s="204"/>
      <c r="K441" s="204"/>
      <c r="L441" s="332"/>
      <c r="M441" s="227"/>
      <c r="N441" s="227"/>
      <c r="O441" s="227"/>
      <c r="P441" s="204"/>
      <c r="S441" s="186"/>
      <c r="V441" s="90"/>
    </row>
    <row r="442" spans="1:22" x14ac:dyDescent="0.35">
      <c r="A442">
        <f t="shared" si="25"/>
        <v>0</v>
      </c>
      <c r="G442" s="2"/>
      <c r="H442" s="204"/>
      <c r="I442" s="204"/>
      <c r="J442" s="204"/>
      <c r="K442" s="204"/>
      <c r="L442" s="332"/>
      <c r="M442" s="227"/>
      <c r="N442" s="227"/>
      <c r="O442" s="227"/>
      <c r="P442" s="204"/>
      <c r="S442" s="186"/>
      <c r="V442" s="90"/>
    </row>
    <row r="443" spans="1:22" x14ac:dyDescent="0.35">
      <c r="A443">
        <f t="shared" si="25"/>
        <v>0</v>
      </c>
      <c r="G443" s="2"/>
      <c r="H443" s="204"/>
      <c r="I443" s="204"/>
      <c r="J443" s="204"/>
      <c r="K443" s="204"/>
      <c r="L443" s="332"/>
      <c r="M443" s="227"/>
      <c r="N443" s="227"/>
      <c r="O443" s="227"/>
      <c r="P443" s="204"/>
      <c r="S443" s="186"/>
      <c r="V443" s="90"/>
    </row>
    <row r="444" spans="1:22" x14ac:dyDescent="0.35">
      <c r="A444">
        <f t="shared" si="25"/>
        <v>0</v>
      </c>
      <c r="G444" s="2"/>
      <c r="H444" s="204"/>
      <c r="I444" s="204"/>
      <c r="J444" s="204"/>
      <c r="K444" s="204"/>
      <c r="L444" s="332"/>
      <c r="M444" s="227"/>
      <c r="N444" s="227"/>
      <c r="O444" s="227"/>
      <c r="P444" s="204"/>
      <c r="S444" s="186"/>
      <c r="V444" s="90"/>
    </row>
    <row r="445" spans="1:22" x14ac:dyDescent="0.35">
      <c r="A445">
        <f t="shared" si="25"/>
        <v>0</v>
      </c>
      <c r="G445" s="2"/>
      <c r="H445" s="204"/>
      <c r="I445" s="204"/>
      <c r="J445" s="204"/>
      <c r="K445" s="204"/>
      <c r="L445" s="332"/>
      <c r="M445" s="227"/>
      <c r="N445" s="227"/>
      <c r="O445" s="227"/>
      <c r="P445" s="204"/>
      <c r="S445" s="186"/>
      <c r="V445" s="90"/>
    </row>
    <row r="446" spans="1:22" x14ac:dyDescent="0.35">
      <c r="A446">
        <f t="shared" si="25"/>
        <v>0</v>
      </c>
      <c r="G446" s="2"/>
      <c r="H446" s="204"/>
      <c r="I446" s="204"/>
      <c r="J446" s="204"/>
      <c r="K446" s="204"/>
      <c r="L446" s="332"/>
      <c r="M446" s="227"/>
      <c r="N446" s="227"/>
      <c r="O446" s="227"/>
      <c r="P446" s="204"/>
      <c r="S446" s="186"/>
      <c r="V446" s="90"/>
    </row>
    <row r="447" spans="1:22" x14ac:dyDescent="0.35">
      <c r="A447">
        <f t="shared" si="25"/>
        <v>0</v>
      </c>
      <c r="G447" s="2"/>
      <c r="H447" s="204"/>
      <c r="I447" s="204"/>
      <c r="J447" s="204"/>
      <c r="K447" s="204"/>
      <c r="L447" s="332"/>
      <c r="M447" s="227"/>
      <c r="N447" s="227"/>
      <c r="O447" s="227"/>
      <c r="P447" s="204"/>
      <c r="S447" s="186"/>
      <c r="V447" s="90"/>
    </row>
    <row r="448" spans="1:22" x14ac:dyDescent="0.35">
      <c r="A448">
        <f t="shared" si="25"/>
        <v>0</v>
      </c>
      <c r="G448" s="2"/>
      <c r="H448" s="204"/>
      <c r="I448" s="204"/>
      <c r="J448" s="204"/>
      <c r="K448" s="204"/>
      <c r="L448" s="332"/>
      <c r="M448" s="227"/>
      <c r="N448" s="227"/>
      <c r="O448" s="227"/>
      <c r="P448" s="204"/>
      <c r="S448" s="186"/>
      <c r="V448" s="90"/>
    </row>
    <row r="449" spans="1:22" x14ac:dyDescent="0.35">
      <c r="A449">
        <f t="shared" si="25"/>
        <v>0</v>
      </c>
      <c r="G449" s="2"/>
      <c r="H449" s="204"/>
      <c r="I449" s="204"/>
      <c r="J449" s="204"/>
      <c r="K449" s="204"/>
      <c r="L449" s="332"/>
      <c r="M449" s="227"/>
      <c r="N449" s="227"/>
      <c r="O449" s="227"/>
      <c r="P449" s="204"/>
      <c r="S449" s="186"/>
      <c r="V449" s="90"/>
    </row>
    <row r="450" spans="1:22" x14ac:dyDescent="0.35">
      <c r="A450">
        <f t="shared" si="25"/>
        <v>0</v>
      </c>
      <c r="G450" s="2"/>
      <c r="H450" s="204"/>
      <c r="I450" s="204"/>
      <c r="J450" s="204"/>
      <c r="K450" s="204"/>
      <c r="L450" s="332"/>
      <c r="M450" s="227"/>
      <c r="N450" s="227"/>
      <c r="O450" s="227"/>
      <c r="P450" s="204"/>
      <c r="S450" s="186"/>
      <c r="V450" s="90"/>
    </row>
    <row r="451" spans="1:22" x14ac:dyDescent="0.35">
      <c r="A451">
        <f t="shared" si="25"/>
        <v>0</v>
      </c>
      <c r="G451" s="2"/>
      <c r="H451" s="204"/>
      <c r="I451" s="204"/>
      <c r="J451" s="204"/>
      <c r="K451" s="204"/>
      <c r="L451" s="332"/>
      <c r="M451" s="227"/>
      <c r="N451" s="227"/>
      <c r="O451" s="227"/>
      <c r="P451" s="204"/>
      <c r="S451" s="186"/>
      <c r="V451" s="90"/>
    </row>
    <row r="452" spans="1:22" x14ac:dyDescent="0.35">
      <c r="A452">
        <f t="shared" si="25"/>
        <v>0</v>
      </c>
      <c r="G452" s="2"/>
      <c r="H452" s="204"/>
      <c r="I452" s="204"/>
      <c r="J452" s="204"/>
      <c r="K452" s="204"/>
      <c r="L452" s="332"/>
      <c r="M452" s="227"/>
      <c r="N452" s="227"/>
      <c r="O452" s="227"/>
      <c r="P452" s="204"/>
      <c r="S452" s="186"/>
      <c r="V452" s="90"/>
    </row>
    <row r="453" spans="1:22" x14ac:dyDescent="0.35">
      <c r="A453">
        <f t="shared" si="25"/>
        <v>0</v>
      </c>
      <c r="G453" s="2"/>
      <c r="H453" s="204"/>
      <c r="I453" s="204"/>
      <c r="J453" s="204"/>
      <c r="K453" s="204"/>
      <c r="L453" s="332"/>
      <c r="M453" s="227"/>
      <c r="N453" s="227"/>
      <c r="O453" s="227"/>
      <c r="P453" s="204"/>
      <c r="S453" s="186"/>
      <c r="V453" s="90"/>
    </row>
    <row r="454" spans="1:22" x14ac:dyDescent="0.35">
      <c r="A454">
        <f t="shared" si="25"/>
        <v>0</v>
      </c>
      <c r="G454" s="2"/>
      <c r="H454" s="204"/>
      <c r="I454" s="204"/>
      <c r="J454" s="204"/>
      <c r="K454" s="204"/>
      <c r="L454" s="332"/>
      <c r="M454" s="227"/>
      <c r="N454" s="227"/>
      <c r="O454" s="227"/>
      <c r="P454" s="204"/>
      <c r="S454" s="186"/>
      <c r="V454" s="90"/>
    </row>
    <row r="455" spans="1:22" x14ac:dyDescent="0.35">
      <c r="A455">
        <f t="shared" si="25"/>
        <v>0</v>
      </c>
      <c r="G455" s="2"/>
      <c r="H455" s="204"/>
      <c r="I455" s="204"/>
      <c r="J455" s="204"/>
      <c r="K455" s="204"/>
      <c r="L455" s="332"/>
      <c r="M455" s="227"/>
      <c r="N455" s="227"/>
      <c r="O455" s="227"/>
      <c r="P455" s="204"/>
      <c r="S455" s="186"/>
      <c r="V455" s="90"/>
    </row>
    <row r="456" spans="1:22" x14ac:dyDescent="0.35">
      <c r="A456">
        <f t="shared" ref="A456:A519" si="26">IF(B456="",0,COUNTIFS($B$7:$B$999,B456,$C$7:$C$999,C456))</f>
        <v>0</v>
      </c>
      <c r="G456" s="2"/>
      <c r="H456" s="204"/>
      <c r="I456" s="204"/>
      <c r="J456" s="204"/>
      <c r="K456" s="204"/>
      <c r="L456" s="332"/>
      <c r="M456" s="227"/>
      <c r="N456" s="227"/>
      <c r="O456" s="227"/>
      <c r="P456" s="204"/>
      <c r="S456" s="186"/>
      <c r="V456" s="90"/>
    </row>
    <row r="457" spans="1:22" x14ac:dyDescent="0.35">
      <c r="A457">
        <f t="shared" si="26"/>
        <v>0</v>
      </c>
      <c r="G457" s="2"/>
      <c r="H457" s="204"/>
      <c r="I457" s="204"/>
      <c r="J457" s="204"/>
      <c r="K457" s="204"/>
      <c r="L457" s="332"/>
      <c r="M457" s="227"/>
      <c r="N457" s="227"/>
      <c r="O457" s="227"/>
      <c r="P457" s="204"/>
      <c r="S457" s="186"/>
      <c r="V457" s="90"/>
    </row>
    <row r="458" spans="1:22" x14ac:dyDescent="0.35">
      <c r="A458">
        <f t="shared" si="26"/>
        <v>0</v>
      </c>
      <c r="G458" s="2"/>
      <c r="H458" s="204"/>
      <c r="I458" s="204"/>
      <c r="J458" s="204"/>
      <c r="K458" s="204"/>
      <c r="L458" s="332"/>
      <c r="M458" s="227"/>
      <c r="N458" s="227"/>
      <c r="O458" s="227"/>
      <c r="P458" s="204"/>
      <c r="S458" s="186"/>
      <c r="V458" s="90"/>
    </row>
    <row r="459" spans="1:22" x14ac:dyDescent="0.35">
      <c r="A459">
        <f t="shared" si="26"/>
        <v>0</v>
      </c>
      <c r="G459" s="2"/>
      <c r="H459" s="204"/>
      <c r="I459" s="204"/>
      <c r="J459" s="204"/>
      <c r="K459" s="204"/>
      <c r="L459" s="332"/>
      <c r="M459" s="227"/>
      <c r="N459" s="227"/>
      <c r="O459" s="227"/>
      <c r="P459" s="204"/>
      <c r="S459" s="186"/>
      <c r="V459" s="90"/>
    </row>
    <row r="460" spans="1:22" x14ac:dyDescent="0.35">
      <c r="A460">
        <f t="shared" si="26"/>
        <v>0</v>
      </c>
      <c r="G460" s="2"/>
      <c r="H460" s="204"/>
      <c r="I460" s="204"/>
      <c r="J460" s="204"/>
      <c r="K460" s="204"/>
      <c r="L460" s="332"/>
      <c r="M460" s="227"/>
      <c r="N460" s="227"/>
      <c r="O460" s="227"/>
      <c r="P460" s="204"/>
      <c r="S460" s="186"/>
      <c r="V460" s="90"/>
    </row>
    <row r="461" spans="1:22" x14ac:dyDescent="0.35">
      <c r="A461">
        <f t="shared" si="26"/>
        <v>0</v>
      </c>
      <c r="G461" s="2"/>
      <c r="H461" s="204"/>
      <c r="I461" s="204"/>
      <c r="J461" s="204"/>
      <c r="K461" s="204"/>
      <c r="L461" s="332"/>
      <c r="M461" s="227"/>
      <c r="N461" s="227"/>
      <c r="O461" s="227"/>
      <c r="P461" s="204"/>
      <c r="S461" s="186"/>
      <c r="V461" s="90"/>
    </row>
    <row r="462" spans="1:22" x14ac:dyDescent="0.35">
      <c r="A462">
        <f t="shared" si="26"/>
        <v>0</v>
      </c>
      <c r="G462" s="2"/>
      <c r="H462" s="204"/>
      <c r="I462" s="204"/>
      <c r="J462" s="204"/>
      <c r="K462" s="204"/>
      <c r="L462" s="332"/>
      <c r="M462" s="227"/>
      <c r="N462" s="227"/>
      <c r="O462" s="227"/>
      <c r="P462" s="204"/>
      <c r="S462" s="186"/>
      <c r="V462" s="90"/>
    </row>
    <row r="463" spans="1:22" x14ac:dyDescent="0.35">
      <c r="A463">
        <f t="shared" si="26"/>
        <v>0</v>
      </c>
      <c r="G463" s="2"/>
      <c r="H463" s="204"/>
      <c r="I463" s="204"/>
      <c r="J463" s="204"/>
      <c r="K463" s="204"/>
      <c r="L463" s="332"/>
      <c r="M463" s="227"/>
      <c r="N463" s="227"/>
      <c r="O463" s="227"/>
      <c r="P463" s="204"/>
      <c r="S463" s="186"/>
      <c r="V463" s="90"/>
    </row>
    <row r="464" spans="1:22" x14ac:dyDescent="0.35">
      <c r="A464">
        <f t="shared" si="26"/>
        <v>0</v>
      </c>
      <c r="G464" s="2"/>
      <c r="H464" s="204"/>
      <c r="I464" s="204"/>
      <c r="J464" s="204"/>
      <c r="K464" s="204"/>
      <c r="L464" s="332"/>
      <c r="M464" s="227"/>
      <c r="N464" s="227"/>
      <c r="O464" s="227"/>
      <c r="P464" s="204"/>
      <c r="S464" s="186"/>
      <c r="V464" s="90"/>
    </row>
    <row r="465" spans="1:22" x14ac:dyDescent="0.35">
      <c r="A465">
        <f t="shared" si="26"/>
        <v>0</v>
      </c>
      <c r="G465" s="2"/>
      <c r="H465" s="204"/>
      <c r="I465" s="204"/>
      <c r="J465" s="204"/>
      <c r="K465" s="204"/>
      <c r="L465" s="332"/>
      <c r="M465" s="227"/>
      <c r="N465" s="227"/>
      <c r="O465" s="227"/>
      <c r="P465" s="204"/>
      <c r="S465" s="186"/>
      <c r="V465" s="90"/>
    </row>
    <row r="466" spans="1:22" x14ac:dyDescent="0.35">
      <c r="A466">
        <f t="shared" si="26"/>
        <v>0</v>
      </c>
      <c r="G466" s="2"/>
      <c r="H466" s="204"/>
      <c r="I466" s="204"/>
      <c r="J466" s="204"/>
      <c r="K466" s="204"/>
      <c r="L466" s="332"/>
      <c r="M466" s="227"/>
      <c r="N466" s="227"/>
      <c r="O466" s="227"/>
      <c r="P466" s="204"/>
      <c r="S466" s="186"/>
      <c r="V466" s="90"/>
    </row>
    <row r="467" spans="1:22" x14ac:dyDescent="0.35">
      <c r="A467">
        <f t="shared" si="26"/>
        <v>0</v>
      </c>
      <c r="G467" s="2"/>
      <c r="H467" s="204"/>
      <c r="I467" s="204"/>
      <c r="J467" s="204"/>
      <c r="K467" s="204"/>
      <c r="L467" s="332"/>
      <c r="M467" s="227"/>
      <c r="N467" s="227"/>
      <c r="O467" s="227"/>
      <c r="P467" s="204"/>
      <c r="S467" s="186"/>
      <c r="V467" s="90"/>
    </row>
    <row r="468" spans="1:22" x14ac:dyDescent="0.35">
      <c r="A468">
        <f t="shared" si="26"/>
        <v>0</v>
      </c>
      <c r="G468" s="2"/>
      <c r="H468" s="204"/>
      <c r="I468" s="204"/>
      <c r="J468" s="204"/>
      <c r="K468" s="204"/>
      <c r="L468" s="332"/>
      <c r="M468" s="227"/>
      <c r="N468" s="227"/>
      <c r="O468" s="227"/>
      <c r="P468" s="204"/>
      <c r="S468" s="186"/>
      <c r="V468" s="90"/>
    </row>
    <row r="469" spans="1:22" x14ac:dyDescent="0.35">
      <c r="A469">
        <f t="shared" si="26"/>
        <v>0</v>
      </c>
      <c r="G469" s="2"/>
      <c r="H469" s="204"/>
      <c r="I469" s="204"/>
      <c r="J469" s="204"/>
      <c r="K469" s="204"/>
      <c r="L469" s="332"/>
      <c r="M469" s="227"/>
      <c r="N469" s="227"/>
      <c r="O469" s="227"/>
      <c r="P469" s="204"/>
      <c r="S469" s="186"/>
      <c r="V469" s="90"/>
    </row>
    <row r="470" spans="1:22" x14ac:dyDescent="0.35">
      <c r="A470">
        <f t="shared" si="26"/>
        <v>0</v>
      </c>
      <c r="G470" s="2"/>
      <c r="H470" s="204"/>
      <c r="I470" s="204"/>
      <c r="J470" s="204"/>
      <c r="K470" s="204"/>
      <c r="L470" s="332"/>
      <c r="M470" s="227"/>
      <c r="N470" s="227"/>
      <c r="O470" s="227"/>
      <c r="P470" s="204"/>
      <c r="S470" s="186"/>
      <c r="V470" s="90"/>
    </row>
    <row r="471" spans="1:22" x14ac:dyDescent="0.35">
      <c r="A471">
        <f t="shared" si="26"/>
        <v>0</v>
      </c>
      <c r="G471" s="2"/>
      <c r="H471" s="204"/>
      <c r="I471" s="204"/>
      <c r="J471" s="204"/>
      <c r="K471" s="204"/>
      <c r="L471" s="332"/>
      <c r="M471" s="227"/>
      <c r="N471" s="227"/>
      <c r="O471" s="227"/>
      <c r="P471" s="204"/>
      <c r="S471" s="186"/>
      <c r="V471" s="90"/>
    </row>
    <row r="472" spans="1:22" x14ac:dyDescent="0.35">
      <c r="A472">
        <f t="shared" si="26"/>
        <v>0</v>
      </c>
      <c r="G472" s="2"/>
      <c r="H472" s="204"/>
      <c r="I472" s="204"/>
      <c r="J472" s="204"/>
      <c r="K472" s="204"/>
      <c r="L472" s="332"/>
      <c r="M472" s="227"/>
      <c r="N472" s="227"/>
      <c r="O472" s="227"/>
      <c r="P472" s="204"/>
      <c r="S472" s="186"/>
      <c r="V472" s="90"/>
    </row>
    <row r="473" spans="1:22" x14ac:dyDescent="0.35">
      <c r="A473">
        <f t="shared" si="26"/>
        <v>0</v>
      </c>
      <c r="G473" s="2"/>
      <c r="H473" s="204"/>
      <c r="I473" s="204"/>
      <c r="J473" s="204"/>
      <c r="K473" s="204"/>
      <c r="L473" s="332"/>
      <c r="M473" s="227"/>
      <c r="N473" s="227"/>
      <c r="O473" s="227"/>
      <c r="P473" s="204"/>
      <c r="S473" s="186"/>
      <c r="V473" s="90"/>
    </row>
    <row r="474" spans="1:22" x14ac:dyDescent="0.35">
      <c r="A474">
        <f t="shared" si="26"/>
        <v>0</v>
      </c>
      <c r="G474" s="2"/>
      <c r="H474" s="204"/>
      <c r="I474" s="204"/>
      <c r="J474" s="204"/>
      <c r="K474" s="204"/>
      <c r="L474" s="332"/>
      <c r="M474" s="227"/>
      <c r="N474" s="227"/>
      <c r="O474" s="227"/>
      <c r="P474" s="204"/>
      <c r="S474" s="186"/>
      <c r="V474" s="90"/>
    </row>
    <row r="475" spans="1:22" x14ac:dyDescent="0.35">
      <c r="A475">
        <f t="shared" si="26"/>
        <v>0</v>
      </c>
      <c r="G475" s="2"/>
      <c r="H475" s="204"/>
      <c r="I475" s="204"/>
      <c r="J475" s="204"/>
      <c r="K475" s="204"/>
      <c r="L475" s="332"/>
      <c r="M475" s="227"/>
      <c r="N475" s="227"/>
      <c r="O475" s="227"/>
      <c r="P475" s="204"/>
      <c r="S475" s="186"/>
      <c r="V475" s="90"/>
    </row>
    <row r="476" spans="1:22" x14ac:dyDescent="0.35">
      <c r="A476">
        <f t="shared" si="26"/>
        <v>0</v>
      </c>
      <c r="G476" s="2"/>
      <c r="H476" s="204"/>
      <c r="I476" s="204"/>
      <c r="J476" s="204"/>
      <c r="K476" s="204"/>
      <c r="L476" s="332"/>
      <c r="M476" s="227"/>
      <c r="N476" s="227"/>
      <c r="O476" s="227"/>
      <c r="P476" s="204"/>
      <c r="S476" s="186"/>
      <c r="V476" s="90"/>
    </row>
    <row r="477" spans="1:22" x14ac:dyDescent="0.35">
      <c r="A477">
        <f t="shared" si="26"/>
        <v>0</v>
      </c>
      <c r="G477" s="2"/>
      <c r="H477" s="204"/>
      <c r="I477" s="204"/>
      <c r="J477" s="204"/>
      <c r="K477" s="204"/>
      <c r="L477" s="332"/>
      <c r="M477" s="227"/>
      <c r="N477" s="227"/>
      <c r="O477" s="227"/>
      <c r="P477" s="204"/>
      <c r="S477" s="186"/>
      <c r="V477" s="90"/>
    </row>
    <row r="478" spans="1:22" x14ac:dyDescent="0.35">
      <c r="A478">
        <f t="shared" si="26"/>
        <v>0</v>
      </c>
      <c r="G478" s="2"/>
      <c r="H478" s="204"/>
      <c r="I478" s="204"/>
      <c r="J478" s="204"/>
      <c r="K478" s="204"/>
      <c r="L478" s="332"/>
      <c r="M478" s="227"/>
      <c r="N478" s="227"/>
      <c r="O478" s="227"/>
      <c r="P478" s="204"/>
      <c r="S478" s="186"/>
      <c r="V478" s="90"/>
    </row>
    <row r="479" spans="1:22" x14ac:dyDescent="0.35">
      <c r="A479">
        <f t="shared" si="26"/>
        <v>0</v>
      </c>
      <c r="G479" s="2"/>
      <c r="H479" s="204"/>
      <c r="I479" s="204"/>
      <c r="J479" s="204"/>
      <c r="K479" s="204"/>
      <c r="L479" s="332"/>
      <c r="M479" s="227"/>
      <c r="N479" s="227"/>
      <c r="O479" s="227"/>
      <c r="P479" s="204"/>
      <c r="S479" s="186"/>
      <c r="V479" s="90"/>
    </row>
    <row r="480" spans="1:22" x14ac:dyDescent="0.35">
      <c r="A480">
        <f t="shared" si="26"/>
        <v>0</v>
      </c>
      <c r="G480" s="2"/>
      <c r="H480" s="204"/>
      <c r="I480" s="204"/>
      <c r="J480" s="204"/>
      <c r="K480" s="204"/>
      <c r="L480" s="332"/>
      <c r="M480" s="227"/>
      <c r="N480" s="227"/>
      <c r="O480" s="227"/>
      <c r="P480" s="204"/>
      <c r="S480" s="186"/>
      <c r="V480" s="90"/>
    </row>
    <row r="481" spans="1:22" x14ac:dyDescent="0.35">
      <c r="A481">
        <f t="shared" si="26"/>
        <v>0</v>
      </c>
      <c r="G481" s="2"/>
      <c r="H481" s="204"/>
      <c r="I481" s="204"/>
      <c r="J481" s="204"/>
      <c r="K481" s="204"/>
      <c r="L481" s="332"/>
      <c r="M481" s="227"/>
      <c r="N481" s="227"/>
      <c r="O481" s="227"/>
      <c r="P481" s="204"/>
      <c r="S481" s="186"/>
      <c r="V481" s="90"/>
    </row>
    <row r="482" spans="1:22" x14ac:dyDescent="0.35">
      <c r="A482">
        <f t="shared" si="26"/>
        <v>0</v>
      </c>
      <c r="G482" s="2"/>
      <c r="H482" s="204"/>
      <c r="I482" s="204"/>
      <c r="J482" s="204"/>
      <c r="K482" s="204"/>
      <c r="L482" s="332"/>
      <c r="M482" s="227"/>
      <c r="N482" s="227"/>
      <c r="O482" s="227"/>
      <c r="P482" s="204"/>
      <c r="S482" s="186"/>
      <c r="V482" s="90"/>
    </row>
    <row r="483" spans="1:22" x14ac:dyDescent="0.35">
      <c r="A483">
        <f t="shared" si="26"/>
        <v>0</v>
      </c>
      <c r="G483" s="2"/>
      <c r="H483" s="204"/>
      <c r="I483" s="204"/>
      <c r="J483" s="204"/>
      <c r="K483" s="204"/>
      <c r="L483" s="332"/>
      <c r="M483" s="227"/>
      <c r="N483" s="227"/>
      <c r="O483" s="227"/>
      <c r="P483" s="204"/>
      <c r="S483" s="186"/>
      <c r="V483" s="90"/>
    </row>
    <row r="484" spans="1:22" x14ac:dyDescent="0.35">
      <c r="A484">
        <f t="shared" si="26"/>
        <v>0</v>
      </c>
      <c r="G484" s="2"/>
      <c r="H484" s="204"/>
      <c r="I484" s="204"/>
      <c r="J484" s="204"/>
      <c r="K484" s="204"/>
      <c r="L484" s="332"/>
      <c r="M484" s="227"/>
      <c r="N484" s="227"/>
      <c r="O484" s="227"/>
      <c r="P484" s="204"/>
      <c r="S484" s="186"/>
      <c r="V484" s="90"/>
    </row>
    <row r="485" spans="1:22" x14ac:dyDescent="0.35">
      <c r="A485">
        <f t="shared" si="26"/>
        <v>0</v>
      </c>
      <c r="G485" s="2"/>
      <c r="H485" s="204"/>
      <c r="I485" s="204"/>
      <c r="J485" s="204"/>
      <c r="K485" s="204"/>
      <c r="L485" s="332"/>
      <c r="M485" s="227"/>
      <c r="N485" s="227"/>
      <c r="O485" s="227"/>
      <c r="P485" s="204"/>
      <c r="S485" s="186"/>
      <c r="V485" s="90"/>
    </row>
    <row r="486" spans="1:22" x14ac:dyDescent="0.35">
      <c r="A486">
        <f t="shared" si="26"/>
        <v>0</v>
      </c>
      <c r="G486" s="2"/>
      <c r="H486" s="204"/>
      <c r="I486" s="204"/>
      <c r="J486" s="204"/>
      <c r="K486" s="204"/>
      <c r="L486" s="332"/>
      <c r="M486" s="227"/>
      <c r="N486" s="227"/>
      <c r="O486" s="227"/>
      <c r="P486" s="204"/>
      <c r="S486" s="186"/>
      <c r="V486" s="90"/>
    </row>
    <row r="487" spans="1:22" x14ac:dyDescent="0.35">
      <c r="A487">
        <f t="shared" si="26"/>
        <v>0</v>
      </c>
      <c r="G487" s="2"/>
      <c r="H487" s="204"/>
      <c r="I487" s="204"/>
      <c r="J487" s="204"/>
      <c r="K487" s="204"/>
      <c r="L487" s="332"/>
      <c r="M487" s="227"/>
      <c r="N487" s="227"/>
      <c r="O487" s="227"/>
      <c r="P487" s="204"/>
      <c r="S487" s="186"/>
      <c r="V487" s="90"/>
    </row>
    <row r="488" spans="1:22" x14ac:dyDescent="0.35">
      <c r="A488">
        <f t="shared" si="26"/>
        <v>0</v>
      </c>
      <c r="G488" s="2"/>
      <c r="H488" s="204"/>
      <c r="I488" s="204"/>
      <c r="J488" s="204"/>
      <c r="K488" s="204"/>
      <c r="L488" s="332"/>
      <c r="M488" s="227"/>
      <c r="N488" s="227"/>
      <c r="O488" s="227"/>
      <c r="P488" s="204"/>
      <c r="S488" s="186"/>
      <c r="V488" s="90"/>
    </row>
    <row r="489" spans="1:22" x14ac:dyDescent="0.35">
      <c r="A489">
        <f t="shared" si="26"/>
        <v>0</v>
      </c>
      <c r="G489" s="2"/>
      <c r="H489" s="204"/>
      <c r="I489" s="204"/>
      <c r="J489" s="204"/>
      <c r="K489" s="204"/>
      <c r="L489" s="332"/>
      <c r="M489" s="227"/>
      <c r="N489" s="227"/>
      <c r="O489" s="227"/>
      <c r="P489" s="204"/>
      <c r="S489" s="186"/>
      <c r="V489" s="90"/>
    </row>
    <row r="490" spans="1:22" x14ac:dyDescent="0.35">
      <c r="A490">
        <f t="shared" si="26"/>
        <v>0</v>
      </c>
      <c r="G490" s="2"/>
      <c r="H490" s="204"/>
      <c r="I490" s="204"/>
      <c r="J490" s="204"/>
      <c r="K490" s="204"/>
      <c r="L490" s="332"/>
      <c r="M490" s="227"/>
      <c r="N490" s="227"/>
      <c r="O490" s="227"/>
      <c r="P490" s="204"/>
      <c r="S490" s="186"/>
      <c r="V490" s="90"/>
    </row>
    <row r="491" spans="1:22" x14ac:dyDescent="0.35">
      <c r="A491">
        <f t="shared" si="26"/>
        <v>0</v>
      </c>
      <c r="G491" s="2"/>
      <c r="H491" s="204"/>
      <c r="I491" s="204"/>
      <c r="J491" s="204"/>
      <c r="K491" s="204"/>
      <c r="L491" s="332"/>
      <c r="M491" s="227"/>
      <c r="N491" s="227"/>
      <c r="O491" s="227"/>
      <c r="P491" s="204"/>
      <c r="S491" s="186"/>
      <c r="V491" s="90"/>
    </row>
    <row r="492" spans="1:22" x14ac:dyDescent="0.35">
      <c r="A492">
        <f t="shared" si="26"/>
        <v>0</v>
      </c>
      <c r="G492" s="2"/>
      <c r="H492" s="204"/>
      <c r="I492" s="204"/>
      <c r="J492" s="204"/>
      <c r="K492" s="204"/>
      <c r="L492" s="332"/>
      <c r="M492" s="227"/>
      <c r="N492" s="227"/>
      <c r="O492" s="227"/>
      <c r="P492" s="204"/>
      <c r="S492" s="186"/>
      <c r="V492" s="90"/>
    </row>
    <row r="493" spans="1:22" x14ac:dyDescent="0.35">
      <c r="A493">
        <f t="shared" si="26"/>
        <v>0</v>
      </c>
      <c r="G493" s="2"/>
      <c r="H493" s="204"/>
      <c r="I493" s="204"/>
      <c r="J493" s="204"/>
      <c r="K493" s="204"/>
      <c r="L493" s="332"/>
      <c r="M493" s="227"/>
      <c r="N493" s="227"/>
      <c r="O493" s="227"/>
      <c r="P493" s="204"/>
      <c r="S493" s="186"/>
      <c r="V493" s="90"/>
    </row>
    <row r="494" spans="1:22" x14ac:dyDescent="0.35">
      <c r="A494">
        <f t="shared" si="26"/>
        <v>0</v>
      </c>
      <c r="G494" s="2"/>
      <c r="H494" s="204"/>
      <c r="I494" s="204"/>
      <c r="J494" s="204"/>
      <c r="K494" s="204"/>
      <c r="L494" s="332"/>
      <c r="M494" s="227"/>
      <c r="N494" s="227"/>
      <c r="O494" s="227"/>
      <c r="P494" s="204"/>
      <c r="S494" s="186"/>
      <c r="V494" s="90"/>
    </row>
    <row r="495" spans="1:22" x14ac:dyDescent="0.35">
      <c r="A495">
        <f t="shared" si="26"/>
        <v>0</v>
      </c>
      <c r="G495" s="2"/>
      <c r="H495" s="204"/>
      <c r="I495" s="204"/>
      <c r="J495" s="204"/>
      <c r="K495" s="204"/>
      <c r="L495" s="332"/>
      <c r="M495" s="227"/>
      <c r="N495" s="227"/>
      <c r="O495" s="227"/>
      <c r="P495" s="204"/>
      <c r="S495" s="186"/>
      <c r="V495" s="90"/>
    </row>
    <row r="496" spans="1:22" x14ac:dyDescent="0.35">
      <c r="A496">
        <f t="shared" si="26"/>
        <v>0</v>
      </c>
      <c r="G496" s="2"/>
      <c r="H496" s="204"/>
      <c r="I496" s="204"/>
      <c r="J496" s="204"/>
      <c r="K496" s="204"/>
      <c r="L496" s="332"/>
      <c r="M496" s="227"/>
      <c r="N496" s="227"/>
      <c r="O496" s="227"/>
      <c r="P496" s="204"/>
      <c r="S496" s="186"/>
      <c r="V496" s="90"/>
    </row>
    <row r="497" spans="1:22" x14ac:dyDescent="0.35">
      <c r="A497">
        <f t="shared" si="26"/>
        <v>0</v>
      </c>
      <c r="G497" s="2"/>
      <c r="H497" s="204"/>
      <c r="I497" s="204"/>
      <c r="J497" s="204"/>
      <c r="K497" s="204"/>
      <c r="L497" s="332"/>
      <c r="M497" s="227"/>
      <c r="N497" s="227"/>
      <c r="O497" s="227"/>
      <c r="P497" s="204"/>
      <c r="S497" s="186"/>
      <c r="V497" s="90"/>
    </row>
    <row r="498" spans="1:22" x14ac:dyDescent="0.35">
      <c r="A498">
        <f t="shared" si="26"/>
        <v>0</v>
      </c>
      <c r="G498" s="2"/>
      <c r="H498" s="204"/>
      <c r="I498" s="204"/>
      <c r="J498" s="204"/>
      <c r="K498" s="204"/>
      <c r="L498" s="332"/>
      <c r="M498" s="227"/>
      <c r="N498" s="227"/>
      <c r="O498" s="227"/>
      <c r="P498" s="204"/>
      <c r="S498" s="186"/>
      <c r="V498" s="90"/>
    </row>
    <row r="499" spans="1:22" x14ac:dyDescent="0.35">
      <c r="A499">
        <f t="shared" si="26"/>
        <v>0</v>
      </c>
      <c r="G499" s="2"/>
      <c r="H499" s="204"/>
      <c r="I499" s="204"/>
      <c r="J499" s="204"/>
      <c r="K499" s="204"/>
      <c r="L499" s="332"/>
      <c r="M499" s="227"/>
      <c r="N499" s="227"/>
      <c r="O499" s="227"/>
      <c r="P499" s="204"/>
      <c r="S499" s="186"/>
      <c r="V499" s="90"/>
    </row>
    <row r="500" spans="1:22" x14ac:dyDescent="0.35">
      <c r="A500">
        <f t="shared" si="26"/>
        <v>0</v>
      </c>
      <c r="G500" s="2"/>
      <c r="H500" s="204"/>
      <c r="I500" s="204"/>
      <c r="J500" s="204"/>
      <c r="K500" s="204"/>
      <c r="L500" s="332"/>
      <c r="M500" s="227"/>
      <c r="N500" s="227"/>
      <c r="O500" s="227"/>
      <c r="P500" s="204"/>
      <c r="S500" s="186"/>
      <c r="V500" s="90"/>
    </row>
    <row r="501" spans="1:22" x14ac:dyDescent="0.35">
      <c r="A501">
        <f t="shared" si="26"/>
        <v>0</v>
      </c>
      <c r="G501" s="2"/>
      <c r="H501" s="204"/>
      <c r="I501" s="204"/>
      <c r="J501" s="204"/>
      <c r="K501" s="204"/>
      <c r="L501" s="332"/>
      <c r="M501" s="227"/>
      <c r="N501" s="227"/>
      <c r="O501" s="227"/>
      <c r="P501" s="204"/>
      <c r="S501" s="186"/>
      <c r="V501" s="90"/>
    </row>
    <row r="502" spans="1:22" x14ac:dyDescent="0.35">
      <c r="A502">
        <f t="shared" si="26"/>
        <v>0</v>
      </c>
      <c r="G502" s="2"/>
      <c r="H502" s="204"/>
      <c r="I502" s="204"/>
      <c r="J502" s="204"/>
      <c r="K502" s="204"/>
      <c r="L502" s="332"/>
      <c r="M502" s="227"/>
      <c r="N502" s="227"/>
      <c r="O502" s="227"/>
      <c r="P502" s="204"/>
      <c r="S502" s="186"/>
      <c r="V502" s="90"/>
    </row>
    <row r="503" spans="1:22" x14ac:dyDescent="0.35">
      <c r="A503">
        <f t="shared" si="26"/>
        <v>0</v>
      </c>
      <c r="G503" s="2"/>
      <c r="H503" s="204"/>
      <c r="I503" s="204"/>
      <c r="J503" s="204"/>
      <c r="K503" s="204"/>
      <c r="L503" s="332"/>
      <c r="M503" s="227"/>
      <c r="N503" s="227"/>
      <c r="O503" s="227"/>
      <c r="P503" s="204"/>
      <c r="S503" s="186"/>
      <c r="V503" s="90"/>
    </row>
    <row r="504" spans="1:22" x14ac:dyDescent="0.35">
      <c r="A504">
        <f t="shared" si="26"/>
        <v>0</v>
      </c>
      <c r="G504" s="2"/>
      <c r="H504" s="204"/>
      <c r="I504" s="204"/>
      <c r="J504" s="204"/>
      <c r="K504" s="204"/>
      <c r="L504" s="332"/>
      <c r="M504" s="227"/>
      <c r="N504" s="227"/>
      <c r="O504" s="227"/>
      <c r="P504" s="204"/>
      <c r="S504" s="186"/>
      <c r="V504" s="90"/>
    </row>
    <row r="505" spans="1:22" x14ac:dyDescent="0.35">
      <c r="A505">
        <f t="shared" si="26"/>
        <v>0</v>
      </c>
      <c r="G505" s="2"/>
      <c r="H505" s="204"/>
      <c r="I505" s="204"/>
      <c r="J505" s="204"/>
      <c r="K505" s="204"/>
      <c r="L505" s="332"/>
      <c r="M505" s="227"/>
      <c r="N505" s="227"/>
      <c r="O505" s="227"/>
      <c r="P505" s="204"/>
      <c r="S505" s="186"/>
      <c r="V505" s="90"/>
    </row>
    <row r="506" spans="1:22" x14ac:dyDescent="0.35">
      <c r="A506">
        <f t="shared" si="26"/>
        <v>0</v>
      </c>
      <c r="G506" s="2"/>
      <c r="H506" s="204"/>
      <c r="I506" s="204"/>
      <c r="J506" s="204"/>
      <c r="K506" s="204"/>
      <c r="L506" s="332"/>
      <c r="M506" s="227"/>
      <c r="N506" s="227"/>
      <c r="O506" s="227"/>
      <c r="P506" s="204"/>
      <c r="S506" s="186"/>
      <c r="V506" s="90"/>
    </row>
    <row r="507" spans="1:22" x14ac:dyDescent="0.35">
      <c r="A507">
        <f t="shared" si="26"/>
        <v>0</v>
      </c>
      <c r="G507" s="2"/>
      <c r="H507" s="204"/>
      <c r="I507" s="204"/>
      <c r="J507" s="204"/>
      <c r="K507" s="204"/>
      <c r="L507" s="332"/>
      <c r="M507" s="227"/>
      <c r="N507" s="227"/>
      <c r="O507" s="227"/>
      <c r="P507" s="204"/>
      <c r="S507" s="186"/>
      <c r="V507" s="90"/>
    </row>
    <row r="508" spans="1:22" x14ac:dyDescent="0.35">
      <c r="A508">
        <f t="shared" si="26"/>
        <v>0</v>
      </c>
      <c r="G508" s="2"/>
      <c r="H508" s="204"/>
      <c r="I508" s="204"/>
      <c r="J508" s="204"/>
      <c r="K508" s="204"/>
      <c r="L508" s="332"/>
      <c r="M508" s="227"/>
      <c r="N508" s="227"/>
      <c r="O508" s="227"/>
      <c r="P508" s="204"/>
      <c r="S508" s="186"/>
      <c r="V508" s="90"/>
    </row>
    <row r="509" spans="1:22" x14ac:dyDescent="0.35">
      <c r="A509">
        <f t="shared" si="26"/>
        <v>0</v>
      </c>
      <c r="G509" s="2"/>
      <c r="H509" s="204"/>
      <c r="I509" s="204"/>
      <c r="J509" s="204"/>
      <c r="K509" s="204"/>
      <c r="L509" s="332"/>
      <c r="M509" s="227"/>
      <c r="N509" s="227"/>
      <c r="O509" s="227"/>
      <c r="P509" s="204"/>
      <c r="S509" s="186"/>
      <c r="V509" s="90"/>
    </row>
    <row r="510" spans="1:22" x14ac:dyDescent="0.35">
      <c r="A510">
        <f t="shared" si="26"/>
        <v>0</v>
      </c>
      <c r="G510" s="2"/>
      <c r="H510" s="204"/>
      <c r="I510" s="204"/>
      <c r="J510" s="204"/>
      <c r="K510" s="204"/>
      <c r="L510" s="332"/>
      <c r="M510" s="227"/>
      <c r="N510" s="227"/>
      <c r="O510" s="227"/>
      <c r="P510" s="204"/>
      <c r="S510" s="186"/>
      <c r="V510" s="90"/>
    </row>
    <row r="511" spans="1:22" x14ac:dyDescent="0.35">
      <c r="A511">
        <f t="shared" si="26"/>
        <v>0</v>
      </c>
      <c r="G511" s="2"/>
      <c r="H511" s="204"/>
      <c r="I511" s="204"/>
      <c r="J511" s="204"/>
      <c r="K511" s="204"/>
      <c r="L511" s="332"/>
      <c r="M511" s="227"/>
      <c r="N511" s="227"/>
      <c r="O511" s="227"/>
      <c r="P511" s="204"/>
      <c r="S511" s="186"/>
      <c r="V511" s="90"/>
    </row>
    <row r="512" spans="1:22" x14ac:dyDescent="0.35">
      <c r="A512">
        <f t="shared" si="26"/>
        <v>0</v>
      </c>
      <c r="G512" s="2"/>
      <c r="H512" s="204"/>
      <c r="I512" s="204"/>
      <c r="J512" s="204"/>
      <c r="K512" s="204"/>
      <c r="L512" s="332"/>
      <c r="M512" s="227"/>
      <c r="N512" s="227"/>
      <c r="O512" s="227"/>
      <c r="P512" s="204"/>
      <c r="S512" s="186"/>
      <c r="V512" s="90"/>
    </row>
    <row r="513" spans="1:22" x14ac:dyDescent="0.35">
      <c r="A513">
        <f t="shared" si="26"/>
        <v>0</v>
      </c>
      <c r="G513" s="2"/>
      <c r="H513" s="204"/>
      <c r="I513" s="204"/>
      <c r="J513" s="204"/>
      <c r="K513" s="204"/>
      <c r="L513" s="332"/>
      <c r="M513" s="227"/>
      <c r="N513" s="227"/>
      <c r="O513" s="227"/>
      <c r="P513" s="204"/>
      <c r="S513" s="186"/>
      <c r="V513" s="90"/>
    </row>
    <row r="514" spans="1:22" x14ac:dyDescent="0.35">
      <c r="A514">
        <f t="shared" si="26"/>
        <v>0</v>
      </c>
      <c r="G514" s="2"/>
      <c r="H514" s="204"/>
      <c r="I514" s="204"/>
      <c r="J514" s="204"/>
      <c r="K514" s="204"/>
      <c r="L514" s="332"/>
      <c r="M514" s="227"/>
      <c r="N514" s="227"/>
      <c r="O514" s="227"/>
      <c r="P514" s="204"/>
      <c r="S514" s="186"/>
      <c r="V514" s="90"/>
    </row>
    <row r="515" spans="1:22" x14ac:dyDescent="0.35">
      <c r="A515">
        <f t="shared" si="26"/>
        <v>0</v>
      </c>
      <c r="G515" s="2"/>
      <c r="H515" s="204"/>
      <c r="I515" s="204"/>
      <c r="J515" s="204"/>
      <c r="K515" s="204"/>
      <c r="L515" s="332"/>
      <c r="M515" s="227"/>
      <c r="N515" s="227"/>
      <c r="O515" s="227"/>
      <c r="P515" s="204"/>
      <c r="S515" s="186"/>
      <c r="V515" s="90"/>
    </row>
    <row r="516" spans="1:22" x14ac:dyDescent="0.35">
      <c r="A516">
        <f t="shared" si="26"/>
        <v>0</v>
      </c>
      <c r="G516" s="2"/>
      <c r="H516" s="204"/>
      <c r="I516" s="204"/>
      <c r="J516" s="204"/>
      <c r="K516" s="204"/>
      <c r="L516" s="332"/>
      <c r="M516" s="227"/>
      <c r="N516" s="227"/>
      <c r="O516" s="227"/>
      <c r="P516" s="204"/>
      <c r="S516" s="186"/>
      <c r="V516" s="90"/>
    </row>
    <row r="517" spans="1:22" x14ac:dyDescent="0.35">
      <c r="A517">
        <f t="shared" si="26"/>
        <v>0</v>
      </c>
      <c r="G517" s="2"/>
      <c r="H517" s="204"/>
      <c r="I517" s="204"/>
      <c r="J517" s="204"/>
      <c r="K517" s="204"/>
      <c r="L517" s="332"/>
      <c r="M517" s="227"/>
      <c r="N517" s="227"/>
      <c r="O517" s="227"/>
      <c r="P517" s="204"/>
      <c r="S517" s="186"/>
      <c r="V517" s="90"/>
    </row>
    <row r="518" spans="1:22" x14ac:dyDescent="0.35">
      <c r="A518">
        <f t="shared" si="26"/>
        <v>0</v>
      </c>
      <c r="G518" s="2"/>
      <c r="H518" s="204"/>
      <c r="I518" s="204"/>
      <c r="J518" s="204"/>
      <c r="K518" s="204"/>
      <c r="L518" s="332"/>
      <c r="M518" s="227"/>
      <c r="N518" s="227"/>
      <c r="O518" s="227"/>
      <c r="P518" s="204"/>
      <c r="S518" s="186"/>
      <c r="V518" s="90"/>
    </row>
    <row r="519" spans="1:22" x14ac:dyDescent="0.35">
      <c r="A519">
        <f t="shared" si="26"/>
        <v>0</v>
      </c>
      <c r="G519" s="2"/>
      <c r="H519" s="204"/>
      <c r="I519" s="204"/>
      <c r="J519" s="204"/>
      <c r="K519" s="204"/>
      <c r="L519" s="332"/>
      <c r="M519" s="227"/>
      <c r="N519" s="227"/>
      <c r="O519" s="227"/>
      <c r="P519" s="204"/>
      <c r="S519" s="186"/>
      <c r="V519" s="90"/>
    </row>
    <row r="520" spans="1:22" x14ac:dyDescent="0.35">
      <c r="A520">
        <f t="shared" ref="A520:A583" si="27">IF(B520="",0,COUNTIFS($B$7:$B$999,B520,$C$7:$C$999,C520))</f>
        <v>0</v>
      </c>
      <c r="G520" s="2"/>
      <c r="H520" s="204"/>
      <c r="I520" s="204"/>
      <c r="J520" s="204"/>
      <c r="K520" s="204"/>
      <c r="L520" s="332"/>
      <c r="M520" s="227"/>
      <c r="N520" s="227"/>
      <c r="O520" s="227"/>
      <c r="P520" s="204"/>
      <c r="S520" s="186"/>
      <c r="V520" s="90"/>
    </row>
    <row r="521" spans="1:22" x14ac:dyDescent="0.35">
      <c r="A521">
        <f t="shared" si="27"/>
        <v>0</v>
      </c>
      <c r="G521" s="2"/>
      <c r="H521" s="204"/>
      <c r="I521" s="204"/>
      <c r="J521" s="204"/>
      <c r="K521" s="204"/>
      <c r="L521" s="332"/>
      <c r="M521" s="227"/>
      <c r="N521" s="227"/>
      <c r="O521" s="227"/>
      <c r="P521" s="204"/>
      <c r="S521" s="186"/>
      <c r="V521" s="90"/>
    </row>
    <row r="522" spans="1:22" x14ac:dyDescent="0.35">
      <c r="A522">
        <f t="shared" si="27"/>
        <v>0</v>
      </c>
      <c r="G522" s="2"/>
      <c r="H522" s="204"/>
      <c r="I522" s="204"/>
      <c r="J522" s="204"/>
      <c r="K522" s="204"/>
      <c r="L522" s="332"/>
      <c r="M522" s="227"/>
      <c r="N522" s="227"/>
      <c r="O522" s="227"/>
      <c r="P522" s="204"/>
      <c r="S522" s="186"/>
      <c r="V522" s="90"/>
    </row>
    <row r="523" spans="1:22" x14ac:dyDescent="0.35">
      <c r="A523">
        <f t="shared" si="27"/>
        <v>0</v>
      </c>
      <c r="G523" s="2"/>
      <c r="H523" s="204"/>
      <c r="I523" s="204"/>
      <c r="J523" s="204"/>
      <c r="K523" s="204"/>
      <c r="L523" s="332"/>
      <c r="M523" s="227"/>
      <c r="N523" s="227"/>
      <c r="O523" s="227"/>
      <c r="P523" s="204"/>
      <c r="S523" s="186"/>
      <c r="V523" s="90"/>
    </row>
    <row r="524" spans="1:22" x14ac:dyDescent="0.35">
      <c r="A524">
        <f t="shared" si="27"/>
        <v>0</v>
      </c>
      <c r="G524" s="2"/>
      <c r="H524" s="204"/>
      <c r="I524" s="204"/>
      <c r="J524" s="204"/>
      <c r="K524" s="204"/>
      <c r="L524" s="332"/>
      <c r="M524" s="227"/>
      <c r="N524" s="227"/>
      <c r="O524" s="227"/>
      <c r="P524" s="204"/>
      <c r="S524" s="186"/>
      <c r="V524" s="90"/>
    </row>
    <row r="525" spans="1:22" x14ac:dyDescent="0.35">
      <c r="A525">
        <f t="shared" si="27"/>
        <v>0</v>
      </c>
      <c r="G525" s="2"/>
      <c r="H525" s="204"/>
      <c r="I525" s="204"/>
      <c r="J525" s="204"/>
      <c r="K525" s="204"/>
      <c r="L525" s="332"/>
      <c r="M525" s="227"/>
      <c r="N525" s="227"/>
      <c r="O525" s="227"/>
      <c r="P525" s="204"/>
      <c r="S525" s="186"/>
      <c r="V525" s="90"/>
    </row>
    <row r="526" spans="1:22" x14ac:dyDescent="0.35">
      <c r="A526">
        <f t="shared" si="27"/>
        <v>0</v>
      </c>
      <c r="G526" s="2"/>
      <c r="H526" s="204"/>
      <c r="I526" s="204"/>
      <c r="J526" s="204"/>
      <c r="K526" s="204"/>
      <c r="L526" s="332"/>
      <c r="M526" s="227"/>
      <c r="N526" s="227"/>
      <c r="O526" s="227"/>
      <c r="P526" s="204"/>
      <c r="S526" s="186"/>
      <c r="V526" s="90"/>
    </row>
    <row r="527" spans="1:22" x14ac:dyDescent="0.35">
      <c r="A527">
        <f t="shared" si="27"/>
        <v>0</v>
      </c>
      <c r="G527" s="2"/>
      <c r="H527" s="204"/>
      <c r="I527" s="204"/>
      <c r="J527" s="204"/>
      <c r="K527" s="204"/>
      <c r="L527" s="332"/>
      <c r="M527" s="227"/>
      <c r="N527" s="227"/>
      <c r="O527" s="227"/>
      <c r="P527" s="204"/>
      <c r="S527" s="186"/>
      <c r="V527" s="90"/>
    </row>
    <row r="528" spans="1:22" x14ac:dyDescent="0.35">
      <c r="A528">
        <f t="shared" si="27"/>
        <v>0</v>
      </c>
      <c r="G528" s="2"/>
      <c r="H528" s="204"/>
      <c r="I528" s="204"/>
      <c r="J528" s="204"/>
      <c r="K528" s="204"/>
      <c r="L528" s="332"/>
      <c r="M528" s="227"/>
      <c r="N528" s="227"/>
      <c r="O528" s="227"/>
      <c r="P528" s="204"/>
      <c r="S528" s="186"/>
      <c r="V528" s="90"/>
    </row>
    <row r="529" spans="1:22" x14ac:dyDescent="0.35">
      <c r="A529">
        <f t="shared" si="27"/>
        <v>0</v>
      </c>
      <c r="G529" s="2"/>
      <c r="H529" s="204"/>
      <c r="I529" s="204"/>
      <c r="J529" s="204"/>
      <c r="K529" s="204"/>
      <c r="L529" s="332"/>
      <c r="M529" s="227"/>
      <c r="N529" s="227"/>
      <c r="O529" s="227"/>
      <c r="P529" s="204"/>
      <c r="S529" s="186"/>
      <c r="V529" s="90"/>
    </row>
    <row r="530" spans="1:22" x14ac:dyDescent="0.35">
      <c r="A530">
        <f t="shared" si="27"/>
        <v>0</v>
      </c>
      <c r="G530" s="2"/>
      <c r="H530" s="204"/>
      <c r="I530" s="204"/>
      <c r="J530" s="204"/>
      <c r="K530" s="204"/>
      <c r="L530" s="332"/>
      <c r="M530" s="227"/>
      <c r="N530" s="227"/>
      <c r="O530" s="227"/>
      <c r="P530" s="204"/>
      <c r="S530" s="186"/>
      <c r="V530" s="90"/>
    </row>
    <row r="531" spans="1:22" x14ac:dyDescent="0.35">
      <c r="A531">
        <f t="shared" si="27"/>
        <v>0</v>
      </c>
      <c r="G531" s="2"/>
      <c r="H531" s="204"/>
      <c r="I531" s="204"/>
      <c r="J531" s="204"/>
      <c r="K531" s="204"/>
      <c r="L531" s="332"/>
      <c r="M531" s="227"/>
      <c r="N531" s="227"/>
      <c r="O531" s="227"/>
      <c r="P531" s="204"/>
      <c r="S531" s="186"/>
      <c r="V531" s="90"/>
    </row>
    <row r="532" spans="1:22" x14ac:dyDescent="0.35">
      <c r="A532">
        <f t="shared" si="27"/>
        <v>0</v>
      </c>
      <c r="G532" s="2"/>
      <c r="H532" s="204"/>
      <c r="I532" s="204"/>
      <c r="J532" s="204"/>
      <c r="K532" s="204"/>
      <c r="L532" s="332"/>
      <c r="M532" s="227"/>
      <c r="N532" s="227"/>
      <c r="O532" s="227"/>
      <c r="P532" s="204"/>
      <c r="S532" s="186"/>
      <c r="V532" s="90"/>
    </row>
    <row r="533" spans="1:22" x14ac:dyDescent="0.35">
      <c r="A533">
        <f t="shared" si="27"/>
        <v>0</v>
      </c>
      <c r="G533" s="2"/>
      <c r="H533" s="204"/>
      <c r="I533" s="204"/>
      <c r="J533" s="204"/>
      <c r="K533" s="204"/>
      <c r="L533" s="332"/>
      <c r="M533" s="227"/>
      <c r="N533" s="227"/>
      <c r="O533" s="227"/>
      <c r="P533" s="204"/>
      <c r="S533" s="186"/>
      <c r="V533" s="90"/>
    </row>
    <row r="534" spans="1:22" x14ac:dyDescent="0.35">
      <c r="A534">
        <f t="shared" si="27"/>
        <v>0</v>
      </c>
      <c r="G534" s="2"/>
      <c r="H534" s="204"/>
      <c r="I534" s="204"/>
      <c r="J534" s="204"/>
      <c r="K534" s="204"/>
      <c r="L534" s="332"/>
      <c r="M534" s="227"/>
      <c r="N534" s="227"/>
      <c r="O534" s="227"/>
      <c r="P534" s="204"/>
      <c r="S534" s="186"/>
      <c r="V534" s="90"/>
    </row>
    <row r="535" spans="1:22" x14ac:dyDescent="0.35">
      <c r="A535">
        <f t="shared" si="27"/>
        <v>0</v>
      </c>
      <c r="G535" s="2"/>
      <c r="H535" s="204"/>
      <c r="I535" s="204"/>
      <c r="J535" s="204"/>
      <c r="K535" s="204"/>
      <c r="L535" s="332"/>
      <c r="M535" s="227"/>
      <c r="N535" s="227"/>
      <c r="O535" s="227"/>
      <c r="P535" s="204"/>
      <c r="S535" s="186"/>
      <c r="V535" s="90"/>
    </row>
    <row r="536" spans="1:22" x14ac:dyDescent="0.35">
      <c r="A536">
        <f t="shared" si="27"/>
        <v>0</v>
      </c>
      <c r="G536" s="2"/>
      <c r="H536" s="204"/>
      <c r="I536" s="204"/>
      <c r="J536" s="204"/>
      <c r="K536" s="204"/>
      <c r="L536" s="332"/>
      <c r="M536" s="227"/>
      <c r="N536" s="227"/>
      <c r="O536" s="227"/>
      <c r="P536" s="204"/>
      <c r="S536" s="186"/>
      <c r="V536" s="90"/>
    </row>
    <row r="537" spans="1:22" x14ac:dyDescent="0.35">
      <c r="A537">
        <f t="shared" si="27"/>
        <v>0</v>
      </c>
      <c r="G537" s="2"/>
      <c r="H537" s="204"/>
      <c r="I537" s="204"/>
      <c r="J537" s="204"/>
      <c r="K537" s="204"/>
      <c r="L537" s="332"/>
      <c r="M537" s="227"/>
      <c r="N537" s="227"/>
      <c r="O537" s="227"/>
      <c r="P537" s="204"/>
      <c r="S537" s="186"/>
      <c r="V537" s="90"/>
    </row>
    <row r="538" spans="1:22" x14ac:dyDescent="0.35">
      <c r="A538">
        <f t="shared" si="27"/>
        <v>0</v>
      </c>
      <c r="G538" s="2"/>
      <c r="H538" s="204"/>
      <c r="I538" s="204"/>
      <c r="J538" s="204"/>
      <c r="K538" s="204"/>
      <c r="L538" s="332"/>
      <c r="M538" s="227"/>
      <c r="N538" s="227"/>
      <c r="O538" s="227"/>
      <c r="P538" s="204"/>
      <c r="S538" s="186"/>
      <c r="V538" s="90"/>
    </row>
    <row r="539" spans="1:22" x14ac:dyDescent="0.35">
      <c r="A539">
        <f t="shared" si="27"/>
        <v>0</v>
      </c>
      <c r="G539" s="2"/>
      <c r="H539" s="204"/>
      <c r="I539" s="204"/>
      <c r="J539" s="204"/>
      <c r="K539" s="204"/>
      <c r="L539" s="332"/>
      <c r="M539" s="227"/>
      <c r="N539" s="227"/>
      <c r="O539" s="227"/>
      <c r="P539" s="204"/>
      <c r="S539" s="186"/>
      <c r="V539" s="90"/>
    </row>
    <row r="540" spans="1:22" x14ac:dyDescent="0.35">
      <c r="A540">
        <f t="shared" si="27"/>
        <v>0</v>
      </c>
      <c r="G540" s="2"/>
      <c r="H540" s="204"/>
      <c r="I540" s="204"/>
      <c r="J540" s="204"/>
      <c r="K540" s="204"/>
      <c r="L540" s="332"/>
      <c r="M540" s="227"/>
      <c r="N540" s="227"/>
      <c r="O540" s="227"/>
      <c r="P540" s="204"/>
      <c r="S540" s="186"/>
      <c r="V540" s="90"/>
    </row>
    <row r="541" spans="1:22" x14ac:dyDescent="0.35">
      <c r="A541">
        <f t="shared" si="27"/>
        <v>0</v>
      </c>
      <c r="G541" s="2"/>
      <c r="H541" s="204"/>
      <c r="I541" s="204"/>
      <c r="J541" s="204"/>
      <c r="K541" s="204"/>
      <c r="L541" s="332"/>
      <c r="M541" s="227"/>
      <c r="N541" s="227"/>
      <c r="O541" s="227"/>
      <c r="P541" s="204"/>
      <c r="S541" s="186"/>
      <c r="V541" s="90"/>
    </row>
    <row r="542" spans="1:22" x14ac:dyDescent="0.35">
      <c r="A542">
        <f t="shared" si="27"/>
        <v>0</v>
      </c>
      <c r="G542" s="2"/>
      <c r="H542" s="204"/>
      <c r="I542" s="204"/>
      <c r="J542" s="204"/>
      <c r="K542" s="204"/>
      <c r="L542" s="332"/>
      <c r="M542" s="227"/>
      <c r="N542" s="227"/>
      <c r="O542" s="227"/>
      <c r="P542" s="204"/>
      <c r="S542" s="186"/>
      <c r="V542" s="90"/>
    </row>
    <row r="543" spans="1:22" x14ac:dyDescent="0.35">
      <c r="A543">
        <f t="shared" si="27"/>
        <v>0</v>
      </c>
      <c r="G543" s="2"/>
      <c r="H543" s="204"/>
      <c r="I543" s="204"/>
      <c r="J543" s="204"/>
      <c r="K543" s="204"/>
      <c r="L543" s="332"/>
      <c r="M543" s="227"/>
      <c r="N543" s="227"/>
      <c r="O543" s="227"/>
      <c r="P543" s="204"/>
      <c r="S543" s="186"/>
      <c r="V543" s="90"/>
    </row>
    <row r="544" spans="1:22" x14ac:dyDescent="0.35">
      <c r="A544">
        <f t="shared" si="27"/>
        <v>0</v>
      </c>
      <c r="G544" s="2"/>
      <c r="H544" s="204"/>
      <c r="I544" s="204"/>
      <c r="J544" s="204"/>
      <c r="K544" s="204"/>
      <c r="L544" s="332"/>
      <c r="M544" s="227"/>
      <c r="N544" s="227"/>
      <c r="O544" s="227"/>
      <c r="P544" s="204"/>
      <c r="S544" s="186"/>
      <c r="V544" s="90"/>
    </row>
    <row r="545" spans="1:22" x14ac:dyDescent="0.35">
      <c r="A545">
        <f t="shared" si="27"/>
        <v>0</v>
      </c>
      <c r="G545" s="2"/>
      <c r="H545" s="204"/>
      <c r="I545" s="204"/>
      <c r="J545" s="204"/>
      <c r="K545" s="204"/>
      <c r="L545" s="332"/>
      <c r="M545" s="227"/>
      <c r="N545" s="227"/>
      <c r="O545" s="227"/>
      <c r="P545" s="204"/>
      <c r="S545" s="186"/>
      <c r="V545" s="90"/>
    </row>
    <row r="546" spans="1:22" x14ac:dyDescent="0.35">
      <c r="A546">
        <f t="shared" si="27"/>
        <v>0</v>
      </c>
      <c r="G546" s="2"/>
      <c r="H546" s="204"/>
      <c r="I546" s="204"/>
      <c r="J546" s="204"/>
      <c r="K546" s="204"/>
      <c r="L546" s="332"/>
      <c r="M546" s="227"/>
      <c r="N546" s="227"/>
      <c r="O546" s="227"/>
      <c r="P546" s="204"/>
      <c r="S546" s="186"/>
      <c r="V546" s="90"/>
    </row>
    <row r="547" spans="1:22" x14ac:dyDescent="0.35">
      <c r="A547">
        <f t="shared" si="27"/>
        <v>0</v>
      </c>
      <c r="G547" s="2"/>
      <c r="H547" s="204"/>
      <c r="I547" s="204"/>
      <c r="J547" s="204"/>
      <c r="K547" s="204"/>
      <c r="L547" s="332"/>
      <c r="M547" s="227"/>
      <c r="N547" s="227"/>
      <c r="O547" s="227"/>
      <c r="P547" s="204"/>
      <c r="S547" s="186"/>
      <c r="V547" s="90"/>
    </row>
    <row r="548" spans="1:22" x14ac:dyDescent="0.35">
      <c r="A548">
        <f t="shared" si="27"/>
        <v>0</v>
      </c>
      <c r="G548" s="2"/>
      <c r="H548" s="204"/>
      <c r="I548" s="204"/>
      <c r="J548" s="204"/>
      <c r="K548" s="204"/>
      <c r="L548" s="332"/>
      <c r="M548" s="227"/>
      <c r="N548" s="227"/>
      <c r="O548" s="227"/>
      <c r="P548" s="204"/>
      <c r="S548" s="186"/>
      <c r="V548" s="90"/>
    </row>
    <row r="549" spans="1:22" x14ac:dyDescent="0.35">
      <c r="A549">
        <f t="shared" si="27"/>
        <v>0</v>
      </c>
      <c r="G549" s="2"/>
      <c r="H549" s="204"/>
      <c r="I549" s="204"/>
      <c r="J549" s="204"/>
      <c r="K549" s="204"/>
      <c r="L549" s="332"/>
      <c r="M549" s="227"/>
      <c r="N549" s="227"/>
      <c r="O549" s="227"/>
      <c r="P549" s="204"/>
      <c r="S549" s="186"/>
      <c r="V549" s="90"/>
    </row>
    <row r="550" spans="1:22" x14ac:dyDescent="0.35">
      <c r="A550">
        <f t="shared" si="27"/>
        <v>0</v>
      </c>
      <c r="G550" s="2"/>
      <c r="H550" s="204"/>
      <c r="I550" s="204"/>
      <c r="J550" s="204"/>
      <c r="K550" s="204"/>
      <c r="L550" s="332"/>
      <c r="M550" s="227"/>
      <c r="N550" s="227"/>
      <c r="O550" s="227"/>
      <c r="P550" s="204"/>
      <c r="S550" s="186"/>
      <c r="V550" s="90"/>
    </row>
    <row r="551" spans="1:22" x14ac:dyDescent="0.35">
      <c r="A551">
        <f t="shared" si="27"/>
        <v>0</v>
      </c>
      <c r="G551" s="2"/>
      <c r="H551" s="204"/>
      <c r="I551" s="204"/>
      <c r="J551" s="204"/>
      <c r="K551" s="204"/>
      <c r="L551" s="332"/>
      <c r="M551" s="227"/>
      <c r="N551" s="227"/>
      <c r="O551" s="227"/>
      <c r="P551" s="204"/>
      <c r="S551" s="186"/>
      <c r="V551" s="90"/>
    </row>
    <row r="552" spans="1:22" x14ac:dyDescent="0.35">
      <c r="A552">
        <f t="shared" si="27"/>
        <v>0</v>
      </c>
      <c r="G552" s="2"/>
      <c r="H552" s="204"/>
      <c r="I552" s="204"/>
      <c r="J552" s="204"/>
      <c r="K552" s="204"/>
      <c r="L552" s="332"/>
      <c r="M552" s="227"/>
      <c r="N552" s="227"/>
      <c r="O552" s="227"/>
      <c r="P552" s="204"/>
      <c r="S552" s="186"/>
      <c r="V552" s="90"/>
    </row>
    <row r="553" spans="1:22" x14ac:dyDescent="0.35">
      <c r="A553">
        <f t="shared" si="27"/>
        <v>0</v>
      </c>
      <c r="G553" s="2"/>
      <c r="H553" s="204"/>
      <c r="I553" s="204"/>
      <c r="J553" s="204"/>
      <c r="K553" s="204"/>
      <c r="L553" s="332"/>
      <c r="M553" s="227"/>
      <c r="N553" s="227"/>
      <c r="O553" s="227"/>
      <c r="P553" s="204"/>
      <c r="S553" s="186"/>
      <c r="V553" s="90"/>
    </row>
    <row r="554" spans="1:22" x14ac:dyDescent="0.35">
      <c r="A554">
        <f t="shared" si="27"/>
        <v>0</v>
      </c>
      <c r="G554" s="2"/>
      <c r="H554" s="204"/>
      <c r="I554" s="204"/>
      <c r="J554" s="204"/>
      <c r="K554" s="204"/>
      <c r="L554" s="332"/>
      <c r="M554" s="227"/>
      <c r="N554" s="227"/>
      <c r="O554" s="227"/>
      <c r="P554" s="204"/>
      <c r="S554" s="186"/>
      <c r="V554" s="90"/>
    </row>
    <row r="555" spans="1:22" x14ac:dyDescent="0.35">
      <c r="A555">
        <f t="shared" si="27"/>
        <v>0</v>
      </c>
      <c r="G555" s="2"/>
      <c r="H555" s="204"/>
      <c r="I555" s="204"/>
      <c r="J555" s="204"/>
      <c r="K555" s="204"/>
      <c r="L555" s="332"/>
      <c r="M555" s="227"/>
      <c r="N555" s="227"/>
      <c r="O555" s="227"/>
      <c r="P555" s="204"/>
      <c r="S555" s="186"/>
      <c r="V555" s="90"/>
    </row>
    <row r="556" spans="1:22" x14ac:dyDescent="0.35">
      <c r="A556">
        <f t="shared" si="27"/>
        <v>0</v>
      </c>
      <c r="G556" s="2"/>
      <c r="H556" s="204"/>
      <c r="I556" s="204"/>
      <c r="J556" s="204"/>
      <c r="K556" s="204"/>
      <c r="L556" s="332"/>
      <c r="M556" s="227"/>
      <c r="N556" s="227"/>
      <c r="O556" s="227"/>
      <c r="P556" s="204"/>
      <c r="S556" s="186"/>
      <c r="V556" s="90"/>
    </row>
    <row r="557" spans="1:22" x14ac:dyDescent="0.35">
      <c r="A557">
        <f t="shared" si="27"/>
        <v>0</v>
      </c>
      <c r="G557" s="2"/>
      <c r="H557" s="204"/>
      <c r="I557" s="204"/>
      <c r="J557" s="204"/>
      <c r="K557" s="204"/>
      <c r="L557" s="332"/>
      <c r="M557" s="227"/>
      <c r="N557" s="227"/>
      <c r="O557" s="227"/>
      <c r="P557" s="204"/>
      <c r="S557" s="186"/>
      <c r="V557" s="90"/>
    </row>
    <row r="558" spans="1:22" x14ac:dyDescent="0.35">
      <c r="A558">
        <f t="shared" si="27"/>
        <v>0</v>
      </c>
      <c r="G558" s="2"/>
      <c r="H558" s="204"/>
      <c r="I558" s="204"/>
      <c r="J558" s="204"/>
      <c r="K558" s="204"/>
      <c r="L558" s="332"/>
      <c r="M558" s="227"/>
      <c r="N558" s="227"/>
      <c r="O558" s="227"/>
      <c r="P558" s="204"/>
      <c r="S558" s="186"/>
      <c r="V558" s="90"/>
    </row>
    <row r="559" spans="1:22" x14ac:dyDescent="0.35">
      <c r="A559">
        <f t="shared" si="27"/>
        <v>0</v>
      </c>
      <c r="G559" s="2"/>
      <c r="H559" s="204"/>
      <c r="I559" s="204"/>
      <c r="J559" s="204"/>
      <c r="K559" s="204"/>
      <c r="L559" s="332"/>
      <c r="M559" s="227"/>
      <c r="N559" s="227"/>
      <c r="O559" s="227"/>
      <c r="P559" s="204"/>
      <c r="S559" s="186"/>
      <c r="V559" s="90"/>
    </row>
    <row r="560" spans="1:22" x14ac:dyDescent="0.35">
      <c r="A560">
        <f t="shared" si="27"/>
        <v>0</v>
      </c>
      <c r="G560" s="2"/>
      <c r="H560" s="204"/>
      <c r="I560" s="204"/>
      <c r="J560" s="204"/>
      <c r="K560" s="204"/>
      <c r="L560" s="332"/>
      <c r="M560" s="227"/>
      <c r="N560" s="227"/>
      <c r="O560" s="227"/>
      <c r="P560" s="204"/>
      <c r="S560" s="186"/>
      <c r="V560" s="90"/>
    </row>
    <row r="561" spans="1:22" x14ac:dyDescent="0.35">
      <c r="A561">
        <f t="shared" si="27"/>
        <v>0</v>
      </c>
      <c r="G561" s="2"/>
      <c r="H561" s="204"/>
      <c r="I561" s="204"/>
      <c r="J561" s="204"/>
      <c r="K561" s="204"/>
      <c r="L561" s="332"/>
      <c r="M561" s="227"/>
      <c r="N561" s="227"/>
      <c r="O561" s="227"/>
      <c r="P561" s="204"/>
      <c r="S561" s="186"/>
      <c r="V561" s="90"/>
    </row>
    <row r="562" spans="1:22" x14ac:dyDescent="0.35">
      <c r="A562">
        <f t="shared" si="27"/>
        <v>0</v>
      </c>
      <c r="G562" s="2"/>
      <c r="H562" s="204"/>
      <c r="I562" s="204"/>
      <c r="J562" s="204"/>
      <c r="K562" s="204"/>
      <c r="L562" s="332"/>
      <c r="M562" s="227"/>
      <c r="N562" s="227"/>
      <c r="O562" s="227"/>
      <c r="P562" s="204"/>
      <c r="S562" s="186"/>
      <c r="V562" s="90"/>
    </row>
    <row r="563" spans="1:22" x14ac:dyDescent="0.35">
      <c r="A563">
        <f t="shared" si="27"/>
        <v>0</v>
      </c>
      <c r="G563" s="2"/>
      <c r="H563" s="204"/>
      <c r="I563" s="204"/>
      <c r="J563" s="204"/>
      <c r="K563" s="204"/>
      <c r="L563" s="332"/>
      <c r="M563" s="227"/>
      <c r="N563" s="227"/>
      <c r="O563" s="227"/>
      <c r="P563" s="204"/>
      <c r="S563" s="186"/>
      <c r="V563" s="90"/>
    </row>
    <row r="564" spans="1:22" x14ac:dyDescent="0.35">
      <c r="A564">
        <f t="shared" si="27"/>
        <v>0</v>
      </c>
      <c r="G564" s="2"/>
      <c r="H564" s="204"/>
      <c r="I564" s="204"/>
      <c r="J564" s="204"/>
      <c r="K564" s="204"/>
      <c r="L564" s="332"/>
      <c r="M564" s="227"/>
      <c r="N564" s="227"/>
      <c r="O564" s="227"/>
      <c r="P564" s="204"/>
      <c r="S564" s="186"/>
      <c r="V564" s="90"/>
    </row>
    <row r="565" spans="1:22" x14ac:dyDescent="0.35">
      <c r="A565">
        <f t="shared" si="27"/>
        <v>0</v>
      </c>
      <c r="G565" s="2"/>
      <c r="H565" s="204"/>
      <c r="I565" s="204"/>
      <c r="J565" s="204"/>
      <c r="K565" s="204"/>
      <c r="L565" s="332"/>
      <c r="M565" s="227"/>
      <c r="N565" s="227"/>
      <c r="O565" s="227"/>
      <c r="P565" s="204"/>
      <c r="S565" s="186"/>
      <c r="V565" s="90"/>
    </row>
    <row r="566" spans="1:22" x14ac:dyDescent="0.35">
      <c r="A566">
        <f t="shared" si="27"/>
        <v>0</v>
      </c>
      <c r="G566" s="2"/>
      <c r="H566" s="204"/>
      <c r="I566" s="204"/>
      <c r="J566" s="204"/>
      <c r="K566" s="204"/>
      <c r="L566" s="332"/>
      <c r="M566" s="227"/>
      <c r="N566" s="227"/>
      <c r="O566" s="227"/>
      <c r="P566" s="204"/>
      <c r="S566" s="186"/>
      <c r="V566" s="90"/>
    </row>
    <row r="567" spans="1:22" x14ac:dyDescent="0.35">
      <c r="A567">
        <f t="shared" si="27"/>
        <v>0</v>
      </c>
      <c r="G567" s="2"/>
      <c r="H567" s="204"/>
      <c r="I567" s="204"/>
      <c r="J567" s="204"/>
      <c r="K567" s="204"/>
      <c r="L567" s="332"/>
      <c r="M567" s="227"/>
      <c r="N567" s="227"/>
      <c r="O567" s="227"/>
      <c r="P567" s="204"/>
      <c r="S567" s="186"/>
      <c r="V567" s="90"/>
    </row>
    <row r="568" spans="1:22" x14ac:dyDescent="0.35">
      <c r="A568">
        <f t="shared" si="27"/>
        <v>0</v>
      </c>
      <c r="G568" s="2"/>
      <c r="H568" s="204"/>
      <c r="I568" s="204"/>
      <c r="J568" s="204"/>
      <c r="K568" s="204"/>
      <c r="L568" s="332"/>
      <c r="M568" s="227"/>
      <c r="N568" s="227"/>
      <c r="O568" s="227"/>
      <c r="P568" s="204"/>
      <c r="S568" s="186"/>
      <c r="V568" s="90"/>
    </row>
    <row r="569" spans="1:22" x14ac:dyDescent="0.35">
      <c r="A569">
        <f t="shared" si="27"/>
        <v>0</v>
      </c>
      <c r="G569" s="2"/>
      <c r="H569" s="204"/>
      <c r="I569" s="204"/>
      <c r="J569" s="204"/>
      <c r="K569" s="204"/>
      <c r="L569" s="332"/>
      <c r="M569" s="227"/>
      <c r="N569" s="227"/>
      <c r="O569" s="227"/>
      <c r="P569" s="204"/>
      <c r="S569" s="186"/>
      <c r="V569" s="90"/>
    </row>
    <row r="570" spans="1:22" x14ac:dyDescent="0.35">
      <c r="A570">
        <f t="shared" si="27"/>
        <v>0</v>
      </c>
      <c r="G570" s="2"/>
      <c r="H570" s="204"/>
      <c r="I570" s="204"/>
      <c r="J570" s="204"/>
      <c r="K570" s="204"/>
      <c r="L570" s="332"/>
      <c r="M570" s="227"/>
      <c r="N570" s="227"/>
      <c r="O570" s="227"/>
      <c r="P570" s="204"/>
      <c r="S570" s="186"/>
      <c r="V570" s="90"/>
    </row>
    <row r="571" spans="1:22" x14ac:dyDescent="0.35">
      <c r="A571">
        <f t="shared" si="27"/>
        <v>0</v>
      </c>
      <c r="G571" s="2"/>
      <c r="H571" s="204"/>
      <c r="I571" s="204"/>
      <c r="J571" s="204"/>
      <c r="K571" s="204"/>
      <c r="L571" s="332"/>
      <c r="M571" s="227"/>
      <c r="N571" s="227"/>
      <c r="O571" s="227"/>
      <c r="P571" s="204"/>
      <c r="S571" s="186"/>
      <c r="V571" s="90"/>
    </row>
    <row r="572" spans="1:22" x14ac:dyDescent="0.35">
      <c r="A572">
        <f t="shared" si="27"/>
        <v>0</v>
      </c>
      <c r="G572" s="2"/>
      <c r="H572" s="204"/>
      <c r="I572" s="204"/>
      <c r="J572" s="204"/>
      <c r="K572" s="204"/>
      <c r="L572" s="332"/>
      <c r="M572" s="227"/>
      <c r="N572" s="227"/>
      <c r="O572" s="227"/>
      <c r="P572" s="204"/>
      <c r="S572" s="186"/>
      <c r="V572" s="90"/>
    </row>
    <row r="573" spans="1:22" x14ac:dyDescent="0.35">
      <c r="A573">
        <f t="shared" si="27"/>
        <v>0</v>
      </c>
      <c r="G573" s="2"/>
      <c r="H573" s="204"/>
      <c r="I573" s="204"/>
      <c r="J573" s="204"/>
      <c r="K573" s="204"/>
      <c r="L573" s="332"/>
      <c r="M573" s="227"/>
      <c r="N573" s="227"/>
      <c r="O573" s="227"/>
      <c r="P573" s="204"/>
      <c r="S573" s="186"/>
      <c r="V573" s="90"/>
    </row>
    <row r="574" spans="1:22" x14ac:dyDescent="0.35">
      <c r="A574">
        <f t="shared" si="27"/>
        <v>0</v>
      </c>
      <c r="G574" s="2"/>
      <c r="H574" s="204"/>
      <c r="I574" s="204"/>
      <c r="J574" s="204"/>
      <c r="K574" s="204"/>
      <c r="L574" s="332"/>
      <c r="M574" s="227"/>
      <c r="N574" s="227"/>
      <c r="O574" s="227"/>
      <c r="P574" s="204"/>
      <c r="S574" s="186"/>
      <c r="V574" s="90"/>
    </row>
    <row r="575" spans="1:22" x14ac:dyDescent="0.35">
      <c r="A575">
        <f t="shared" si="27"/>
        <v>0</v>
      </c>
      <c r="G575" s="2"/>
      <c r="H575" s="204"/>
      <c r="I575" s="204"/>
      <c r="J575" s="204"/>
      <c r="K575" s="204"/>
      <c r="L575" s="332"/>
      <c r="M575" s="227"/>
      <c r="N575" s="227"/>
      <c r="O575" s="227"/>
      <c r="P575" s="204"/>
      <c r="S575" s="186"/>
      <c r="V575" s="90"/>
    </row>
    <row r="576" spans="1:22" x14ac:dyDescent="0.35">
      <c r="A576">
        <f t="shared" si="27"/>
        <v>0</v>
      </c>
      <c r="G576" s="2"/>
      <c r="H576" s="204"/>
      <c r="I576" s="204"/>
      <c r="J576" s="204"/>
      <c r="K576" s="204"/>
      <c r="L576" s="332"/>
      <c r="M576" s="227"/>
      <c r="N576" s="227"/>
      <c r="O576" s="227"/>
      <c r="P576" s="204"/>
      <c r="S576" s="186"/>
      <c r="V576" s="90"/>
    </row>
    <row r="577" spans="1:22" x14ac:dyDescent="0.35">
      <c r="A577">
        <f t="shared" si="27"/>
        <v>0</v>
      </c>
      <c r="G577" s="2"/>
      <c r="H577" s="204"/>
      <c r="I577" s="204"/>
      <c r="J577" s="204"/>
      <c r="K577" s="204"/>
      <c r="L577" s="332"/>
      <c r="M577" s="227"/>
      <c r="N577" s="227"/>
      <c r="O577" s="227"/>
      <c r="P577" s="204"/>
      <c r="S577" s="186"/>
      <c r="V577" s="90"/>
    </row>
    <row r="578" spans="1:22" x14ac:dyDescent="0.35">
      <c r="A578">
        <f t="shared" si="27"/>
        <v>0</v>
      </c>
      <c r="G578" s="2"/>
      <c r="H578" s="204"/>
      <c r="I578" s="204"/>
      <c r="J578" s="204"/>
      <c r="K578" s="204"/>
      <c r="L578" s="332"/>
      <c r="M578" s="227"/>
      <c r="N578" s="227"/>
      <c r="O578" s="227"/>
      <c r="P578" s="204"/>
      <c r="S578" s="186"/>
      <c r="V578" s="90"/>
    </row>
    <row r="579" spans="1:22" x14ac:dyDescent="0.35">
      <c r="A579">
        <f t="shared" si="27"/>
        <v>0</v>
      </c>
      <c r="G579" s="2"/>
      <c r="H579" s="204"/>
      <c r="I579" s="204"/>
      <c r="J579" s="204"/>
      <c r="K579" s="204"/>
      <c r="L579" s="332"/>
      <c r="M579" s="227"/>
      <c r="N579" s="227"/>
      <c r="O579" s="227"/>
      <c r="P579" s="204"/>
      <c r="S579" s="186"/>
      <c r="V579" s="90"/>
    </row>
    <row r="580" spans="1:22" x14ac:dyDescent="0.35">
      <c r="A580">
        <f t="shared" si="27"/>
        <v>0</v>
      </c>
      <c r="G580" s="2"/>
      <c r="H580" s="204"/>
      <c r="I580" s="204"/>
      <c r="J580" s="204"/>
      <c r="K580" s="204"/>
      <c r="L580" s="332"/>
      <c r="M580" s="227"/>
      <c r="N580" s="227"/>
      <c r="O580" s="227"/>
      <c r="P580" s="204"/>
      <c r="S580" s="186"/>
      <c r="V580" s="90"/>
    </row>
    <row r="581" spans="1:22" x14ac:dyDescent="0.35">
      <c r="A581">
        <f t="shared" si="27"/>
        <v>0</v>
      </c>
      <c r="G581" s="2"/>
      <c r="H581" s="204"/>
      <c r="I581" s="204"/>
      <c r="J581" s="204"/>
      <c r="K581" s="204"/>
      <c r="L581" s="332"/>
      <c r="M581" s="227"/>
      <c r="N581" s="227"/>
      <c r="O581" s="227"/>
      <c r="P581" s="204"/>
      <c r="S581" s="186"/>
      <c r="V581" s="90"/>
    </row>
    <row r="582" spans="1:22" x14ac:dyDescent="0.35">
      <c r="A582">
        <f t="shared" si="27"/>
        <v>0</v>
      </c>
      <c r="G582" s="2"/>
      <c r="H582" s="204"/>
      <c r="I582" s="204"/>
      <c r="J582" s="204"/>
      <c r="K582" s="204"/>
      <c r="L582" s="332"/>
      <c r="M582" s="227"/>
      <c r="N582" s="227"/>
      <c r="O582" s="227"/>
      <c r="P582" s="204"/>
      <c r="S582" s="186"/>
      <c r="V582" s="90"/>
    </row>
    <row r="583" spans="1:22" x14ac:dyDescent="0.35">
      <c r="A583">
        <f t="shared" si="27"/>
        <v>0</v>
      </c>
      <c r="G583" s="2"/>
      <c r="H583" s="204"/>
      <c r="I583" s="204"/>
      <c r="J583" s="204"/>
      <c r="K583" s="204"/>
      <c r="L583" s="332"/>
      <c r="M583" s="227"/>
      <c r="N583" s="227"/>
      <c r="O583" s="227"/>
      <c r="P583" s="204"/>
      <c r="S583" s="186"/>
      <c r="V583" s="90"/>
    </row>
    <row r="584" spans="1:22" x14ac:dyDescent="0.35">
      <c r="A584">
        <f t="shared" ref="A584:A647" si="28">IF(B584="",0,COUNTIFS($B$7:$B$999,B584,$C$7:$C$999,C584))</f>
        <v>0</v>
      </c>
      <c r="G584" s="2"/>
      <c r="H584" s="204"/>
      <c r="I584" s="204"/>
      <c r="J584" s="204"/>
      <c r="K584" s="204"/>
      <c r="L584" s="332"/>
      <c r="M584" s="227"/>
      <c r="N584" s="227"/>
      <c r="O584" s="227"/>
      <c r="P584" s="204"/>
      <c r="S584" s="186"/>
      <c r="V584" s="90"/>
    </row>
    <row r="585" spans="1:22" x14ac:dyDescent="0.35">
      <c r="A585">
        <f t="shared" si="28"/>
        <v>0</v>
      </c>
      <c r="G585" s="2"/>
      <c r="H585" s="204"/>
      <c r="I585" s="204"/>
      <c r="J585" s="204"/>
      <c r="K585" s="204"/>
      <c r="L585" s="332"/>
      <c r="M585" s="227"/>
      <c r="N585" s="227"/>
      <c r="O585" s="227"/>
      <c r="P585" s="204"/>
      <c r="S585" s="186"/>
      <c r="V585" s="90"/>
    </row>
    <row r="586" spans="1:22" x14ac:dyDescent="0.35">
      <c r="A586">
        <f t="shared" si="28"/>
        <v>0</v>
      </c>
      <c r="G586" s="2"/>
      <c r="H586" s="204"/>
      <c r="I586" s="204"/>
      <c r="J586" s="204"/>
      <c r="K586" s="204"/>
      <c r="L586" s="332"/>
      <c r="M586" s="227"/>
      <c r="N586" s="227"/>
      <c r="O586" s="227"/>
      <c r="P586" s="204"/>
      <c r="S586" s="186"/>
      <c r="V586" s="90"/>
    </row>
    <row r="587" spans="1:22" x14ac:dyDescent="0.35">
      <c r="A587">
        <f t="shared" si="28"/>
        <v>0</v>
      </c>
      <c r="G587" s="2"/>
      <c r="H587" s="204"/>
      <c r="I587" s="204"/>
      <c r="J587" s="204"/>
      <c r="K587" s="204"/>
      <c r="L587" s="332"/>
      <c r="M587" s="227"/>
      <c r="N587" s="227"/>
      <c r="O587" s="227"/>
      <c r="P587" s="204"/>
      <c r="S587" s="186"/>
      <c r="V587" s="90"/>
    </row>
    <row r="588" spans="1:22" x14ac:dyDescent="0.35">
      <c r="A588">
        <f t="shared" si="28"/>
        <v>0</v>
      </c>
      <c r="G588" s="2"/>
      <c r="H588" s="204"/>
      <c r="I588" s="204"/>
      <c r="J588" s="204"/>
      <c r="K588" s="204"/>
      <c r="L588" s="332"/>
      <c r="M588" s="227"/>
      <c r="N588" s="227"/>
      <c r="O588" s="227"/>
      <c r="P588" s="204"/>
      <c r="S588" s="186"/>
      <c r="V588" s="90"/>
    </row>
    <row r="589" spans="1:22" x14ac:dyDescent="0.35">
      <c r="A589">
        <f t="shared" si="28"/>
        <v>0</v>
      </c>
      <c r="G589" s="2"/>
      <c r="H589" s="204"/>
      <c r="I589" s="204"/>
      <c r="J589" s="204"/>
      <c r="K589" s="204"/>
      <c r="L589" s="332"/>
      <c r="M589" s="227"/>
      <c r="N589" s="227"/>
      <c r="O589" s="227"/>
      <c r="P589" s="204"/>
      <c r="S589" s="186"/>
      <c r="V589" s="90"/>
    </row>
    <row r="590" spans="1:22" x14ac:dyDescent="0.35">
      <c r="A590">
        <f t="shared" si="28"/>
        <v>0</v>
      </c>
      <c r="G590" s="2"/>
      <c r="H590" s="204"/>
      <c r="I590" s="204"/>
      <c r="J590" s="204"/>
      <c r="K590" s="204"/>
      <c r="L590" s="332"/>
      <c r="M590" s="227"/>
      <c r="N590" s="227"/>
      <c r="O590" s="227"/>
      <c r="P590" s="204"/>
      <c r="S590" s="186"/>
      <c r="V590" s="90"/>
    </row>
    <row r="591" spans="1:22" x14ac:dyDescent="0.35">
      <c r="A591">
        <f t="shared" si="28"/>
        <v>0</v>
      </c>
      <c r="G591" s="2"/>
      <c r="H591" s="204"/>
      <c r="I591" s="204"/>
      <c r="J591" s="204"/>
      <c r="K591" s="204"/>
      <c r="L591" s="332"/>
      <c r="M591" s="227"/>
      <c r="N591" s="227"/>
      <c r="O591" s="227"/>
      <c r="P591" s="204"/>
      <c r="S591" s="186"/>
      <c r="V591" s="90"/>
    </row>
    <row r="592" spans="1:22" x14ac:dyDescent="0.35">
      <c r="A592">
        <f t="shared" si="28"/>
        <v>0</v>
      </c>
      <c r="G592" s="2"/>
      <c r="H592" s="204"/>
      <c r="I592" s="204"/>
      <c r="J592" s="204"/>
      <c r="K592" s="204"/>
      <c r="L592" s="332"/>
      <c r="M592" s="227"/>
      <c r="N592" s="227"/>
      <c r="O592" s="227"/>
      <c r="P592" s="204"/>
      <c r="S592" s="186"/>
      <c r="V592" s="90"/>
    </row>
    <row r="593" spans="1:22" x14ac:dyDescent="0.35">
      <c r="A593">
        <f t="shared" si="28"/>
        <v>0</v>
      </c>
      <c r="G593" s="2"/>
      <c r="H593" s="204"/>
      <c r="I593" s="204"/>
      <c r="J593" s="204"/>
      <c r="K593" s="204"/>
      <c r="L593" s="332"/>
      <c r="M593" s="227"/>
      <c r="N593" s="227"/>
      <c r="O593" s="227"/>
      <c r="P593" s="204"/>
      <c r="S593" s="186"/>
      <c r="V593" s="90"/>
    </row>
    <row r="594" spans="1:22" x14ac:dyDescent="0.35">
      <c r="A594">
        <f t="shared" si="28"/>
        <v>0</v>
      </c>
      <c r="G594" s="2"/>
      <c r="H594" s="204"/>
      <c r="I594" s="204"/>
      <c r="J594" s="204"/>
      <c r="K594" s="204"/>
      <c r="L594" s="332"/>
      <c r="M594" s="227"/>
      <c r="N594" s="227"/>
      <c r="O594" s="227"/>
      <c r="P594" s="204"/>
      <c r="S594" s="186"/>
      <c r="V594" s="90"/>
    </row>
    <row r="595" spans="1:22" x14ac:dyDescent="0.35">
      <c r="A595">
        <f t="shared" si="28"/>
        <v>0</v>
      </c>
      <c r="G595" s="2"/>
      <c r="H595" s="204"/>
      <c r="I595" s="204"/>
      <c r="J595" s="204"/>
      <c r="K595" s="204"/>
      <c r="L595" s="332"/>
      <c r="M595" s="227"/>
      <c r="N595" s="227"/>
      <c r="O595" s="227"/>
      <c r="P595" s="204"/>
      <c r="S595" s="186"/>
      <c r="V595" s="90"/>
    </row>
    <row r="596" spans="1:22" x14ac:dyDescent="0.35">
      <c r="A596">
        <f t="shared" si="28"/>
        <v>0</v>
      </c>
      <c r="G596" s="2"/>
      <c r="H596" s="204"/>
      <c r="I596" s="204"/>
      <c r="J596" s="204"/>
      <c r="K596" s="204"/>
      <c r="L596" s="332"/>
      <c r="M596" s="227"/>
      <c r="N596" s="227"/>
      <c r="O596" s="227"/>
      <c r="P596" s="204"/>
      <c r="S596" s="186"/>
      <c r="V596" s="90"/>
    </row>
    <row r="597" spans="1:22" x14ac:dyDescent="0.35">
      <c r="A597">
        <f t="shared" si="28"/>
        <v>0</v>
      </c>
      <c r="G597" s="2"/>
      <c r="H597" s="204"/>
      <c r="I597" s="204"/>
      <c r="J597" s="204"/>
      <c r="K597" s="204"/>
      <c r="L597" s="332"/>
      <c r="M597" s="227"/>
      <c r="N597" s="227"/>
      <c r="O597" s="227"/>
      <c r="P597" s="204"/>
      <c r="S597" s="186"/>
      <c r="V597" s="90"/>
    </row>
    <row r="598" spans="1:22" x14ac:dyDescent="0.35">
      <c r="A598">
        <f t="shared" si="28"/>
        <v>0</v>
      </c>
      <c r="G598" s="2"/>
      <c r="H598" s="204"/>
      <c r="I598" s="204"/>
      <c r="J598" s="204"/>
      <c r="K598" s="204"/>
      <c r="L598" s="332"/>
      <c r="M598" s="227"/>
      <c r="N598" s="227"/>
      <c r="O598" s="227"/>
      <c r="P598" s="204"/>
      <c r="S598" s="186"/>
      <c r="V598" s="90"/>
    </row>
    <row r="599" spans="1:22" x14ac:dyDescent="0.35">
      <c r="A599">
        <f t="shared" si="28"/>
        <v>0</v>
      </c>
      <c r="G599" s="2"/>
      <c r="H599" s="204"/>
      <c r="I599" s="204"/>
      <c r="J599" s="204"/>
      <c r="K599" s="204"/>
      <c r="L599" s="332"/>
      <c r="M599" s="227"/>
      <c r="N599" s="227"/>
      <c r="O599" s="227"/>
      <c r="P599" s="204"/>
      <c r="S599" s="186"/>
      <c r="V599" s="90"/>
    </row>
    <row r="600" spans="1:22" x14ac:dyDescent="0.35">
      <c r="A600">
        <f t="shared" si="28"/>
        <v>0</v>
      </c>
      <c r="G600" s="2"/>
      <c r="H600" s="204"/>
      <c r="I600" s="204"/>
      <c r="J600" s="204"/>
      <c r="K600" s="204"/>
      <c r="L600" s="332"/>
      <c r="M600" s="227"/>
      <c r="N600" s="227"/>
      <c r="O600" s="227"/>
      <c r="P600" s="204"/>
      <c r="S600" s="186"/>
      <c r="V600" s="90"/>
    </row>
    <row r="601" spans="1:22" x14ac:dyDescent="0.35">
      <c r="A601">
        <f t="shared" si="28"/>
        <v>0</v>
      </c>
      <c r="G601" s="2"/>
      <c r="H601" s="204"/>
      <c r="I601" s="204"/>
      <c r="J601" s="204"/>
      <c r="K601" s="204"/>
      <c r="L601" s="332"/>
      <c r="M601" s="227"/>
      <c r="N601" s="227"/>
      <c r="O601" s="227"/>
      <c r="P601" s="204"/>
      <c r="S601" s="186"/>
      <c r="V601" s="90"/>
    </row>
    <row r="602" spans="1:22" x14ac:dyDescent="0.35">
      <c r="A602">
        <f t="shared" si="28"/>
        <v>0</v>
      </c>
      <c r="G602" s="2"/>
      <c r="H602" s="204"/>
      <c r="I602" s="204"/>
      <c r="J602" s="204"/>
      <c r="K602" s="204"/>
      <c r="L602" s="332"/>
      <c r="M602" s="227"/>
      <c r="N602" s="227"/>
      <c r="O602" s="227"/>
      <c r="P602" s="204"/>
      <c r="S602" s="186"/>
      <c r="V602" s="90"/>
    </row>
    <row r="603" spans="1:22" x14ac:dyDescent="0.35">
      <c r="A603">
        <f t="shared" si="28"/>
        <v>0</v>
      </c>
      <c r="G603" s="2"/>
      <c r="H603" s="204"/>
      <c r="I603" s="204"/>
      <c r="J603" s="204"/>
      <c r="K603" s="204"/>
      <c r="L603" s="332"/>
      <c r="M603" s="227"/>
      <c r="N603" s="227"/>
      <c r="O603" s="227"/>
      <c r="P603" s="204"/>
      <c r="S603" s="186"/>
      <c r="V603" s="90"/>
    </row>
    <row r="604" spans="1:22" x14ac:dyDescent="0.35">
      <c r="A604">
        <f t="shared" si="28"/>
        <v>0</v>
      </c>
      <c r="G604" s="2"/>
      <c r="H604" s="204"/>
      <c r="I604" s="204"/>
      <c r="J604" s="204"/>
      <c r="K604" s="204"/>
      <c r="L604" s="332"/>
      <c r="M604" s="227"/>
      <c r="N604" s="227"/>
      <c r="O604" s="227"/>
      <c r="P604" s="204"/>
      <c r="S604" s="186"/>
      <c r="V604" s="90"/>
    </row>
    <row r="605" spans="1:22" x14ac:dyDescent="0.35">
      <c r="A605">
        <f t="shared" si="28"/>
        <v>0</v>
      </c>
      <c r="G605" s="2"/>
      <c r="H605" s="204"/>
      <c r="I605" s="204"/>
      <c r="J605" s="204"/>
      <c r="K605" s="204"/>
      <c r="L605" s="332"/>
      <c r="M605" s="227"/>
      <c r="N605" s="227"/>
      <c r="O605" s="227"/>
      <c r="P605" s="204"/>
      <c r="S605" s="186"/>
      <c r="V605" s="90"/>
    </row>
    <row r="606" spans="1:22" x14ac:dyDescent="0.35">
      <c r="A606">
        <f t="shared" si="28"/>
        <v>0</v>
      </c>
      <c r="G606" s="2"/>
      <c r="H606" s="204"/>
      <c r="I606" s="204"/>
      <c r="J606" s="204"/>
      <c r="K606" s="204"/>
      <c r="L606" s="332"/>
      <c r="M606" s="227"/>
      <c r="N606" s="227"/>
      <c r="O606" s="227"/>
      <c r="P606" s="204"/>
      <c r="S606" s="186"/>
      <c r="V606" s="90"/>
    </row>
    <row r="607" spans="1:22" x14ac:dyDescent="0.35">
      <c r="A607">
        <f t="shared" si="28"/>
        <v>0</v>
      </c>
      <c r="G607" s="2"/>
      <c r="H607" s="204"/>
      <c r="I607" s="204"/>
      <c r="J607" s="204"/>
      <c r="K607" s="204"/>
      <c r="L607" s="332"/>
      <c r="M607" s="227"/>
      <c r="N607" s="227"/>
      <c r="O607" s="227"/>
      <c r="P607" s="204"/>
      <c r="S607" s="186"/>
      <c r="V607" s="90"/>
    </row>
    <row r="608" spans="1:22" x14ac:dyDescent="0.35">
      <c r="A608">
        <f t="shared" si="28"/>
        <v>0</v>
      </c>
      <c r="G608" s="2"/>
      <c r="H608" s="204"/>
      <c r="I608" s="204"/>
      <c r="J608" s="204"/>
      <c r="K608" s="204"/>
      <c r="L608" s="332"/>
      <c r="M608" s="227"/>
      <c r="N608" s="227"/>
      <c r="O608" s="227"/>
      <c r="P608" s="204"/>
      <c r="S608" s="186"/>
      <c r="V608" s="90"/>
    </row>
    <row r="609" spans="1:22" x14ac:dyDescent="0.35">
      <c r="A609">
        <f t="shared" si="28"/>
        <v>0</v>
      </c>
      <c r="G609" s="2"/>
      <c r="H609" s="204"/>
      <c r="I609" s="204"/>
      <c r="J609" s="204"/>
      <c r="K609" s="204"/>
      <c r="L609" s="332"/>
      <c r="M609" s="227"/>
      <c r="N609" s="227"/>
      <c r="O609" s="227"/>
      <c r="P609" s="204"/>
      <c r="S609" s="186"/>
      <c r="V609" s="90"/>
    </row>
    <row r="610" spans="1:22" x14ac:dyDescent="0.35">
      <c r="A610">
        <f t="shared" si="28"/>
        <v>0</v>
      </c>
      <c r="G610" s="2"/>
      <c r="H610" s="204"/>
      <c r="I610" s="204"/>
      <c r="J610" s="204"/>
      <c r="K610" s="204"/>
      <c r="L610" s="332"/>
      <c r="M610" s="227"/>
      <c r="N610" s="227"/>
      <c r="O610" s="227"/>
      <c r="P610" s="204"/>
      <c r="S610" s="186"/>
      <c r="V610" s="90"/>
    </row>
    <row r="611" spans="1:22" x14ac:dyDescent="0.35">
      <c r="A611">
        <f t="shared" si="28"/>
        <v>0</v>
      </c>
      <c r="G611" s="2"/>
      <c r="H611" s="204"/>
      <c r="I611" s="204"/>
      <c r="J611" s="204"/>
      <c r="K611" s="204"/>
      <c r="L611" s="332"/>
      <c r="M611" s="227"/>
      <c r="N611" s="227"/>
      <c r="O611" s="227"/>
      <c r="P611" s="204"/>
      <c r="S611" s="186"/>
      <c r="V611" s="90"/>
    </row>
    <row r="612" spans="1:22" x14ac:dyDescent="0.35">
      <c r="A612">
        <f t="shared" si="28"/>
        <v>0</v>
      </c>
      <c r="G612" s="2"/>
      <c r="H612" s="204"/>
      <c r="I612" s="204"/>
      <c r="J612" s="204"/>
      <c r="K612" s="204"/>
      <c r="L612" s="332"/>
      <c r="M612" s="227"/>
      <c r="N612" s="227"/>
      <c r="O612" s="227"/>
      <c r="P612" s="204"/>
      <c r="S612" s="186"/>
      <c r="V612" s="90"/>
    </row>
    <row r="613" spans="1:22" x14ac:dyDescent="0.35">
      <c r="A613">
        <f t="shared" si="28"/>
        <v>0</v>
      </c>
      <c r="G613" s="2"/>
      <c r="H613" s="204"/>
      <c r="I613" s="204"/>
      <c r="J613" s="204"/>
      <c r="K613" s="204"/>
      <c r="L613" s="332"/>
      <c r="M613" s="227"/>
      <c r="N613" s="227"/>
      <c r="O613" s="227"/>
      <c r="P613" s="204"/>
      <c r="S613" s="186"/>
      <c r="V613" s="90"/>
    </row>
    <row r="614" spans="1:22" x14ac:dyDescent="0.35">
      <c r="A614">
        <f t="shared" si="28"/>
        <v>0</v>
      </c>
      <c r="G614" s="2"/>
      <c r="H614" s="204"/>
      <c r="I614" s="204"/>
      <c r="J614" s="204"/>
      <c r="K614" s="204"/>
      <c r="L614" s="332"/>
      <c r="M614" s="227"/>
      <c r="N614" s="227"/>
      <c r="O614" s="227"/>
      <c r="P614" s="204"/>
      <c r="S614" s="186"/>
      <c r="V614" s="90"/>
    </row>
    <row r="615" spans="1:22" x14ac:dyDescent="0.35">
      <c r="A615">
        <f t="shared" si="28"/>
        <v>0</v>
      </c>
      <c r="G615" s="2"/>
      <c r="H615" s="204"/>
      <c r="I615" s="204"/>
      <c r="J615" s="204"/>
      <c r="K615" s="204"/>
      <c r="L615" s="332"/>
      <c r="M615" s="227"/>
      <c r="N615" s="227"/>
      <c r="O615" s="227"/>
      <c r="P615" s="204"/>
      <c r="S615" s="186"/>
      <c r="V615" s="90"/>
    </row>
    <row r="616" spans="1:22" x14ac:dyDescent="0.35">
      <c r="A616">
        <f t="shared" si="28"/>
        <v>0</v>
      </c>
      <c r="G616" s="2"/>
      <c r="H616" s="204"/>
      <c r="I616" s="204"/>
      <c r="J616" s="204"/>
      <c r="K616" s="204"/>
      <c r="L616" s="332"/>
      <c r="M616" s="227"/>
      <c r="N616" s="227"/>
      <c r="O616" s="227"/>
      <c r="P616" s="204"/>
      <c r="S616" s="186"/>
      <c r="V616" s="90"/>
    </row>
    <row r="617" spans="1:22" x14ac:dyDescent="0.35">
      <c r="A617">
        <f t="shared" si="28"/>
        <v>0</v>
      </c>
      <c r="G617" s="2"/>
      <c r="H617" s="204"/>
      <c r="I617" s="204"/>
      <c r="J617" s="204"/>
      <c r="K617" s="204"/>
      <c r="L617" s="332"/>
      <c r="M617" s="227"/>
      <c r="N617" s="227"/>
      <c r="O617" s="227"/>
      <c r="P617" s="204"/>
      <c r="S617" s="186"/>
      <c r="V617" s="90"/>
    </row>
    <row r="618" spans="1:22" x14ac:dyDescent="0.35">
      <c r="A618">
        <f t="shared" si="28"/>
        <v>0</v>
      </c>
      <c r="G618" s="2"/>
      <c r="H618" s="204"/>
      <c r="I618" s="204"/>
      <c r="J618" s="204"/>
      <c r="K618" s="204"/>
      <c r="L618" s="332"/>
      <c r="M618" s="227"/>
      <c r="N618" s="227"/>
      <c r="O618" s="227"/>
      <c r="P618" s="204"/>
      <c r="S618" s="186"/>
      <c r="V618" s="90"/>
    </row>
    <row r="619" spans="1:22" x14ac:dyDescent="0.35">
      <c r="A619">
        <f t="shared" si="28"/>
        <v>0</v>
      </c>
      <c r="G619" s="2"/>
      <c r="H619" s="204"/>
      <c r="I619" s="204"/>
      <c r="J619" s="204"/>
      <c r="K619" s="204"/>
      <c r="L619" s="332"/>
      <c r="M619" s="227"/>
      <c r="N619" s="227"/>
      <c r="O619" s="227"/>
      <c r="P619" s="204"/>
      <c r="S619" s="186"/>
      <c r="V619" s="90"/>
    </row>
    <row r="620" spans="1:22" x14ac:dyDescent="0.35">
      <c r="A620">
        <f t="shared" si="28"/>
        <v>0</v>
      </c>
      <c r="G620" s="2"/>
      <c r="H620" s="204"/>
      <c r="I620" s="204"/>
      <c r="J620" s="204"/>
      <c r="K620" s="204"/>
      <c r="L620" s="332"/>
      <c r="M620" s="227"/>
      <c r="N620" s="227"/>
      <c r="O620" s="227"/>
      <c r="P620" s="204"/>
      <c r="S620" s="186"/>
      <c r="V620" s="90"/>
    </row>
    <row r="621" spans="1:22" x14ac:dyDescent="0.35">
      <c r="A621">
        <f t="shared" si="28"/>
        <v>0</v>
      </c>
      <c r="G621" s="2"/>
      <c r="H621" s="204"/>
      <c r="I621" s="204"/>
      <c r="J621" s="204"/>
      <c r="K621" s="204"/>
      <c r="L621" s="332"/>
      <c r="M621" s="227"/>
      <c r="N621" s="227"/>
      <c r="O621" s="227"/>
      <c r="P621" s="204"/>
      <c r="S621" s="186"/>
      <c r="V621" s="90"/>
    </row>
    <row r="622" spans="1:22" x14ac:dyDescent="0.35">
      <c r="A622">
        <f t="shared" si="28"/>
        <v>0</v>
      </c>
      <c r="G622" s="2"/>
      <c r="H622" s="204"/>
      <c r="I622" s="204"/>
      <c r="J622" s="204"/>
      <c r="K622" s="204"/>
      <c r="L622" s="332"/>
      <c r="M622" s="227"/>
      <c r="N622" s="227"/>
      <c r="O622" s="227"/>
      <c r="P622" s="204"/>
      <c r="S622" s="186"/>
      <c r="V622" s="90"/>
    </row>
    <row r="623" spans="1:22" x14ac:dyDescent="0.35">
      <c r="A623">
        <f t="shared" si="28"/>
        <v>0</v>
      </c>
      <c r="G623" s="2"/>
      <c r="H623" s="204"/>
      <c r="I623" s="204"/>
      <c r="J623" s="204"/>
      <c r="K623" s="204"/>
      <c r="L623" s="332"/>
      <c r="M623" s="227"/>
      <c r="N623" s="227"/>
      <c r="O623" s="227"/>
      <c r="P623" s="204"/>
      <c r="S623" s="186"/>
      <c r="V623" s="90"/>
    </row>
    <row r="624" spans="1:22" x14ac:dyDescent="0.35">
      <c r="A624">
        <f t="shared" si="28"/>
        <v>0</v>
      </c>
      <c r="G624" s="2"/>
      <c r="H624" s="204"/>
      <c r="I624" s="204"/>
      <c r="J624" s="204"/>
      <c r="K624" s="204"/>
      <c r="L624" s="332"/>
      <c r="M624" s="227"/>
      <c r="N624" s="227"/>
      <c r="O624" s="227"/>
      <c r="P624" s="204"/>
      <c r="S624" s="186"/>
      <c r="V624" s="90"/>
    </row>
    <row r="625" spans="1:22" x14ac:dyDescent="0.35">
      <c r="A625">
        <f t="shared" si="28"/>
        <v>0</v>
      </c>
      <c r="G625" s="2"/>
      <c r="H625" s="204"/>
      <c r="I625" s="204"/>
      <c r="J625" s="204"/>
      <c r="K625" s="204"/>
      <c r="L625" s="332"/>
      <c r="M625" s="227"/>
      <c r="N625" s="227"/>
      <c r="O625" s="227"/>
      <c r="P625" s="204"/>
      <c r="S625" s="186"/>
      <c r="V625" s="90"/>
    </row>
    <row r="626" spans="1:22" x14ac:dyDescent="0.35">
      <c r="A626">
        <f t="shared" si="28"/>
        <v>0</v>
      </c>
      <c r="G626" s="2"/>
      <c r="H626" s="204"/>
      <c r="I626" s="204"/>
      <c r="J626" s="204"/>
      <c r="K626" s="204"/>
      <c r="L626" s="332"/>
      <c r="M626" s="227"/>
      <c r="N626" s="227"/>
      <c r="O626" s="227"/>
      <c r="P626" s="204"/>
      <c r="S626" s="186"/>
      <c r="V626" s="90"/>
    </row>
    <row r="627" spans="1:22" x14ac:dyDescent="0.35">
      <c r="A627">
        <f t="shared" si="28"/>
        <v>0</v>
      </c>
      <c r="G627" s="2"/>
      <c r="H627" s="204"/>
      <c r="I627" s="204"/>
      <c r="J627" s="204"/>
      <c r="K627" s="204"/>
      <c r="L627" s="332"/>
      <c r="M627" s="227"/>
      <c r="N627" s="227"/>
      <c r="O627" s="227"/>
      <c r="P627" s="204"/>
      <c r="S627" s="186"/>
      <c r="V627" s="90"/>
    </row>
    <row r="628" spans="1:22" x14ac:dyDescent="0.35">
      <c r="A628">
        <f t="shared" si="28"/>
        <v>0</v>
      </c>
      <c r="G628" s="2"/>
      <c r="H628" s="204"/>
      <c r="I628" s="204"/>
      <c r="J628" s="204"/>
      <c r="K628" s="204"/>
      <c r="L628" s="332"/>
      <c r="M628" s="227"/>
      <c r="N628" s="227"/>
      <c r="O628" s="227"/>
      <c r="P628" s="204"/>
      <c r="S628" s="186"/>
      <c r="V628" s="90"/>
    </row>
    <row r="629" spans="1:22" x14ac:dyDescent="0.35">
      <c r="A629">
        <f t="shared" si="28"/>
        <v>0</v>
      </c>
      <c r="G629" s="2"/>
      <c r="H629" s="204"/>
      <c r="I629" s="204"/>
      <c r="J629" s="204"/>
      <c r="K629" s="204"/>
      <c r="L629" s="332"/>
      <c r="M629" s="227"/>
      <c r="N629" s="227"/>
      <c r="O629" s="227"/>
      <c r="P629" s="204"/>
      <c r="S629" s="186"/>
      <c r="V629" s="90"/>
    </row>
    <row r="630" spans="1:22" x14ac:dyDescent="0.35">
      <c r="A630">
        <f t="shared" si="28"/>
        <v>0</v>
      </c>
      <c r="G630" s="2"/>
      <c r="H630" s="204"/>
      <c r="I630" s="204"/>
      <c r="J630" s="204"/>
      <c r="K630" s="204"/>
      <c r="L630" s="332"/>
      <c r="M630" s="227"/>
      <c r="N630" s="227"/>
      <c r="O630" s="227"/>
      <c r="P630" s="204"/>
      <c r="S630" s="186"/>
      <c r="V630" s="90"/>
    </row>
    <row r="631" spans="1:22" x14ac:dyDescent="0.35">
      <c r="A631">
        <f t="shared" si="28"/>
        <v>0</v>
      </c>
      <c r="G631" s="2"/>
      <c r="H631" s="204"/>
      <c r="I631" s="204"/>
      <c r="J631" s="204"/>
      <c r="K631" s="204"/>
      <c r="L631" s="332"/>
      <c r="M631" s="227"/>
      <c r="N631" s="227"/>
      <c r="O631" s="227"/>
      <c r="P631" s="204"/>
      <c r="S631" s="186"/>
      <c r="V631" s="90"/>
    </row>
    <row r="632" spans="1:22" x14ac:dyDescent="0.35">
      <c r="A632">
        <f t="shared" si="28"/>
        <v>0</v>
      </c>
      <c r="G632" s="2"/>
      <c r="H632" s="204"/>
      <c r="I632" s="204"/>
      <c r="J632" s="204"/>
      <c r="K632" s="204"/>
      <c r="L632" s="332"/>
      <c r="M632" s="227"/>
      <c r="N632" s="227"/>
      <c r="O632" s="227"/>
      <c r="P632" s="204"/>
      <c r="S632" s="186"/>
      <c r="V632" s="90"/>
    </row>
    <row r="633" spans="1:22" x14ac:dyDescent="0.35">
      <c r="A633">
        <f t="shared" si="28"/>
        <v>0</v>
      </c>
      <c r="G633" s="2"/>
      <c r="H633" s="204"/>
      <c r="I633" s="204"/>
      <c r="J633" s="204"/>
      <c r="K633" s="204"/>
      <c r="L633" s="332"/>
      <c r="M633" s="227"/>
      <c r="N633" s="227"/>
      <c r="O633" s="227"/>
      <c r="P633" s="204"/>
      <c r="S633" s="186"/>
      <c r="V633" s="90"/>
    </row>
    <row r="634" spans="1:22" x14ac:dyDescent="0.35">
      <c r="A634">
        <f t="shared" si="28"/>
        <v>0</v>
      </c>
      <c r="G634" s="2"/>
      <c r="H634" s="204"/>
      <c r="I634" s="204"/>
      <c r="J634" s="204"/>
      <c r="K634" s="204"/>
      <c r="L634" s="332"/>
      <c r="M634" s="227"/>
      <c r="N634" s="227"/>
      <c r="O634" s="227"/>
      <c r="P634" s="204"/>
      <c r="S634" s="186"/>
      <c r="V634" s="90"/>
    </row>
    <row r="635" spans="1:22" x14ac:dyDescent="0.35">
      <c r="A635">
        <f t="shared" si="28"/>
        <v>0</v>
      </c>
      <c r="G635" s="2"/>
      <c r="H635" s="204"/>
      <c r="I635" s="204"/>
      <c r="J635" s="204"/>
      <c r="K635" s="204"/>
      <c r="L635" s="332"/>
      <c r="M635" s="227"/>
      <c r="N635" s="227"/>
      <c r="O635" s="227"/>
      <c r="P635" s="204"/>
      <c r="S635" s="186"/>
      <c r="V635" s="90"/>
    </row>
    <row r="636" spans="1:22" x14ac:dyDescent="0.35">
      <c r="A636">
        <f t="shared" si="28"/>
        <v>0</v>
      </c>
      <c r="G636" s="2"/>
      <c r="H636" s="204"/>
      <c r="I636" s="204"/>
      <c r="J636" s="204"/>
      <c r="K636" s="204"/>
      <c r="L636" s="332"/>
      <c r="M636" s="227"/>
      <c r="N636" s="227"/>
      <c r="O636" s="227"/>
      <c r="P636" s="204"/>
      <c r="S636" s="186"/>
      <c r="V636" s="90"/>
    </row>
    <row r="637" spans="1:22" x14ac:dyDescent="0.35">
      <c r="A637">
        <f t="shared" si="28"/>
        <v>0</v>
      </c>
      <c r="G637" s="2"/>
      <c r="H637" s="204"/>
      <c r="I637" s="204"/>
      <c r="J637" s="204"/>
      <c r="K637" s="204"/>
      <c r="L637" s="332"/>
      <c r="M637" s="227"/>
      <c r="N637" s="227"/>
      <c r="O637" s="227"/>
      <c r="P637" s="204"/>
      <c r="S637" s="186"/>
      <c r="V637" s="90"/>
    </row>
    <row r="638" spans="1:22" x14ac:dyDescent="0.35">
      <c r="A638">
        <f t="shared" si="28"/>
        <v>0</v>
      </c>
      <c r="G638" s="2"/>
      <c r="H638" s="204"/>
      <c r="I638" s="204"/>
      <c r="J638" s="204"/>
      <c r="K638" s="204"/>
      <c r="L638" s="332"/>
      <c r="M638" s="227"/>
      <c r="N638" s="227"/>
      <c r="O638" s="227"/>
      <c r="P638" s="204"/>
      <c r="S638" s="186"/>
      <c r="V638" s="90"/>
    </row>
    <row r="639" spans="1:22" x14ac:dyDescent="0.35">
      <c r="A639">
        <f t="shared" si="28"/>
        <v>0</v>
      </c>
      <c r="G639" s="2"/>
      <c r="H639" s="204"/>
      <c r="I639" s="204"/>
      <c r="J639" s="204"/>
      <c r="K639" s="204"/>
      <c r="L639" s="332"/>
      <c r="M639" s="227"/>
      <c r="N639" s="227"/>
      <c r="O639" s="227"/>
      <c r="P639" s="204"/>
      <c r="S639" s="186"/>
      <c r="V639" s="90"/>
    </row>
    <row r="640" spans="1:22" x14ac:dyDescent="0.35">
      <c r="A640">
        <f t="shared" si="28"/>
        <v>0</v>
      </c>
      <c r="G640" s="2"/>
      <c r="H640" s="204"/>
      <c r="I640" s="204"/>
      <c r="J640" s="204"/>
      <c r="K640" s="204"/>
      <c r="L640" s="332"/>
      <c r="M640" s="227"/>
      <c r="N640" s="227"/>
      <c r="O640" s="227"/>
      <c r="P640" s="204"/>
      <c r="S640" s="186"/>
      <c r="V640" s="90"/>
    </row>
    <row r="641" spans="1:22" x14ac:dyDescent="0.35">
      <c r="A641">
        <f t="shared" si="28"/>
        <v>0</v>
      </c>
      <c r="G641" s="2"/>
      <c r="H641" s="204"/>
      <c r="I641" s="204"/>
      <c r="J641" s="204"/>
      <c r="K641" s="204"/>
      <c r="L641" s="332"/>
      <c r="M641" s="227"/>
      <c r="N641" s="227"/>
      <c r="O641" s="227"/>
      <c r="P641" s="204"/>
      <c r="S641" s="186"/>
      <c r="V641" s="90"/>
    </row>
    <row r="642" spans="1:22" x14ac:dyDescent="0.35">
      <c r="A642">
        <f t="shared" si="28"/>
        <v>0</v>
      </c>
      <c r="G642" s="2"/>
      <c r="H642" s="204"/>
      <c r="I642" s="204"/>
      <c r="J642" s="204"/>
      <c r="K642" s="204"/>
      <c r="L642" s="332"/>
      <c r="M642" s="227"/>
      <c r="N642" s="227"/>
      <c r="O642" s="227"/>
      <c r="P642" s="204"/>
      <c r="S642" s="186"/>
      <c r="V642" s="90"/>
    </row>
    <row r="643" spans="1:22" x14ac:dyDescent="0.35">
      <c r="A643">
        <f t="shared" si="28"/>
        <v>0</v>
      </c>
      <c r="G643" s="2"/>
      <c r="H643" s="204"/>
      <c r="I643" s="204"/>
      <c r="J643" s="204"/>
      <c r="K643" s="204"/>
      <c r="L643" s="332"/>
      <c r="M643" s="227"/>
      <c r="N643" s="227"/>
      <c r="O643" s="227"/>
      <c r="P643" s="204"/>
      <c r="S643" s="186"/>
      <c r="V643" s="90"/>
    </row>
    <row r="644" spans="1:22" x14ac:dyDescent="0.35">
      <c r="A644">
        <f t="shared" si="28"/>
        <v>0</v>
      </c>
      <c r="G644" s="2"/>
      <c r="H644" s="204"/>
      <c r="I644" s="204"/>
      <c r="J644" s="204"/>
      <c r="K644" s="204"/>
      <c r="L644" s="332"/>
      <c r="M644" s="227"/>
      <c r="N644" s="227"/>
      <c r="O644" s="227"/>
      <c r="P644" s="204"/>
      <c r="S644" s="186"/>
      <c r="V644" s="90"/>
    </row>
    <row r="645" spans="1:22" x14ac:dyDescent="0.35">
      <c r="A645">
        <f t="shared" si="28"/>
        <v>0</v>
      </c>
      <c r="G645" s="2"/>
      <c r="H645" s="204"/>
      <c r="I645" s="204"/>
      <c r="J645" s="204"/>
      <c r="K645" s="204"/>
      <c r="L645" s="332"/>
      <c r="M645" s="227"/>
      <c r="N645" s="227"/>
      <c r="O645" s="227"/>
      <c r="P645" s="204"/>
      <c r="S645" s="186"/>
      <c r="V645" s="90"/>
    </row>
    <row r="646" spans="1:22" x14ac:dyDescent="0.35">
      <c r="A646">
        <f t="shared" si="28"/>
        <v>0</v>
      </c>
      <c r="G646" s="2"/>
      <c r="H646" s="204"/>
      <c r="I646" s="204"/>
      <c r="J646" s="204"/>
      <c r="K646" s="204"/>
      <c r="L646" s="332"/>
      <c r="M646" s="227"/>
      <c r="N646" s="227"/>
      <c r="O646" s="227"/>
      <c r="P646" s="204"/>
      <c r="S646" s="186"/>
      <c r="V646" s="90"/>
    </row>
    <row r="647" spans="1:22" x14ac:dyDescent="0.35">
      <c r="A647">
        <f t="shared" si="28"/>
        <v>0</v>
      </c>
      <c r="G647" s="2"/>
      <c r="H647" s="204"/>
      <c r="I647" s="204"/>
      <c r="J647" s="204"/>
      <c r="K647" s="204"/>
      <c r="L647" s="332"/>
      <c r="M647" s="227"/>
      <c r="N647" s="227"/>
      <c r="O647" s="227"/>
      <c r="P647" s="204"/>
      <c r="S647" s="186"/>
      <c r="V647" s="90"/>
    </row>
    <row r="648" spans="1:22" x14ac:dyDescent="0.35">
      <c r="A648">
        <f t="shared" ref="A648:A711" si="29">IF(B648="",0,COUNTIFS($B$7:$B$999,B648,$C$7:$C$999,C648))</f>
        <v>0</v>
      </c>
      <c r="G648" s="2"/>
      <c r="H648" s="204"/>
      <c r="I648" s="204"/>
      <c r="J648" s="204"/>
      <c r="K648" s="204"/>
      <c r="L648" s="332"/>
      <c r="M648" s="227"/>
      <c r="N648" s="227"/>
      <c r="O648" s="227"/>
      <c r="P648" s="204"/>
      <c r="S648" s="186"/>
      <c r="V648" s="90"/>
    </row>
    <row r="649" spans="1:22" x14ac:dyDescent="0.35">
      <c r="A649">
        <f t="shared" si="29"/>
        <v>0</v>
      </c>
      <c r="G649" s="2"/>
      <c r="H649" s="204"/>
      <c r="I649" s="204"/>
      <c r="J649" s="204"/>
      <c r="K649" s="204"/>
      <c r="L649" s="332"/>
      <c r="M649" s="227"/>
      <c r="N649" s="227"/>
      <c r="O649" s="227"/>
      <c r="P649" s="204"/>
      <c r="S649" s="186"/>
      <c r="V649" s="90"/>
    </row>
    <row r="650" spans="1:22" x14ac:dyDescent="0.35">
      <c r="A650">
        <f t="shared" si="29"/>
        <v>0</v>
      </c>
      <c r="G650" s="2"/>
      <c r="H650" s="204"/>
      <c r="I650" s="204"/>
      <c r="J650" s="204"/>
      <c r="K650" s="204"/>
      <c r="L650" s="332"/>
      <c r="M650" s="227"/>
      <c r="N650" s="227"/>
      <c r="O650" s="227"/>
      <c r="P650" s="204"/>
      <c r="S650" s="186"/>
      <c r="V650" s="90"/>
    </row>
    <row r="651" spans="1:22" x14ac:dyDescent="0.35">
      <c r="A651">
        <f t="shared" si="29"/>
        <v>0</v>
      </c>
      <c r="G651" s="2"/>
      <c r="H651" s="204"/>
      <c r="I651" s="204"/>
      <c r="J651" s="204"/>
      <c r="K651" s="204"/>
      <c r="L651" s="332"/>
      <c r="M651" s="227"/>
      <c r="N651" s="227"/>
      <c r="O651" s="227"/>
      <c r="P651" s="204"/>
      <c r="S651" s="186"/>
      <c r="V651" s="90"/>
    </row>
    <row r="652" spans="1:22" x14ac:dyDescent="0.35">
      <c r="A652">
        <f t="shared" si="29"/>
        <v>0</v>
      </c>
      <c r="G652" s="2"/>
      <c r="H652" s="204"/>
      <c r="I652" s="204"/>
      <c r="J652" s="204"/>
      <c r="K652" s="204"/>
      <c r="L652" s="332"/>
      <c r="M652" s="227"/>
      <c r="N652" s="227"/>
      <c r="O652" s="227"/>
      <c r="P652" s="204"/>
      <c r="S652" s="186"/>
      <c r="V652" s="90"/>
    </row>
    <row r="653" spans="1:22" x14ac:dyDescent="0.35">
      <c r="A653">
        <f t="shared" si="29"/>
        <v>0</v>
      </c>
      <c r="G653" s="2"/>
      <c r="H653" s="204"/>
      <c r="I653" s="204"/>
      <c r="J653" s="204"/>
      <c r="K653" s="204"/>
      <c r="L653" s="332"/>
      <c r="M653" s="227"/>
      <c r="N653" s="227"/>
      <c r="O653" s="227"/>
      <c r="P653" s="204"/>
      <c r="S653" s="186"/>
      <c r="V653" s="90"/>
    </row>
    <row r="654" spans="1:22" x14ac:dyDescent="0.35">
      <c r="A654">
        <f t="shared" si="29"/>
        <v>0</v>
      </c>
      <c r="G654" s="2"/>
      <c r="H654" s="204"/>
      <c r="I654" s="204"/>
      <c r="J654" s="204"/>
      <c r="K654" s="204"/>
      <c r="L654" s="332"/>
      <c r="M654" s="227"/>
      <c r="N654" s="227"/>
      <c r="O654" s="227"/>
      <c r="P654" s="204"/>
      <c r="S654" s="186"/>
      <c r="V654" s="90"/>
    </row>
    <row r="655" spans="1:22" x14ac:dyDescent="0.35">
      <c r="A655">
        <f t="shared" si="29"/>
        <v>0</v>
      </c>
      <c r="G655" s="2"/>
      <c r="H655" s="204"/>
      <c r="I655" s="204"/>
      <c r="J655" s="204"/>
      <c r="K655" s="204"/>
      <c r="L655" s="332"/>
      <c r="M655" s="227"/>
      <c r="N655" s="227"/>
      <c r="O655" s="227"/>
      <c r="P655" s="204"/>
      <c r="S655" s="186"/>
      <c r="V655" s="90"/>
    </row>
    <row r="656" spans="1:22" x14ac:dyDescent="0.35">
      <c r="A656">
        <f t="shared" si="29"/>
        <v>0</v>
      </c>
      <c r="G656" s="2"/>
      <c r="H656" s="204"/>
      <c r="I656" s="204"/>
      <c r="J656" s="204"/>
      <c r="K656" s="204"/>
      <c r="L656" s="332"/>
      <c r="M656" s="227"/>
      <c r="N656" s="227"/>
      <c r="O656" s="227"/>
      <c r="P656" s="204"/>
      <c r="S656" s="186"/>
      <c r="V656" s="90"/>
    </row>
    <row r="657" spans="1:22" x14ac:dyDescent="0.35">
      <c r="A657">
        <f t="shared" si="29"/>
        <v>0</v>
      </c>
      <c r="G657" s="2"/>
      <c r="H657" s="204"/>
      <c r="I657" s="204"/>
      <c r="J657" s="204"/>
      <c r="K657" s="204"/>
      <c r="L657" s="332"/>
      <c r="M657" s="227"/>
      <c r="N657" s="227"/>
      <c r="O657" s="227"/>
      <c r="P657" s="204"/>
      <c r="S657" s="186"/>
      <c r="V657" s="90"/>
    </row>
    <row r="658" spans="1:22" x14ac:dyDescent="0.35">
      <c r="A658">
        <f t="shared" si="29"/>
        <v>0</v>
      </c>
      <c r="G658" s="2"/>
      <c r="H658" s="204"/>
      <c r="I658" s="204"/>
      <c r="J658" s="204"/>
      <c r="K658" s="204"/>
      <c r="L658" s="332"/>
      <c r="M658" s="227"/>
      <c r="N658" s="227"/>
      <c r="O658" s="227"/>
      <c r="P658" s="204"/>
      <c r="S658" s="186"/>
      <c r="V658" s="90"/>
    </row>
    <row r="659" spans="1:22" x14ac:dyDescent="0.35">
      <c r="A659">
        <f t="shared" si="29"/>
        <v>0</v>
      </c>
      <c r="G659" s="2"/>
      <c r="H659" s="204"/>
      <c r="I659" s="204"/>
      <c r="J659" s="204"/>
      <c r="K659" s="204"/>
      <c r="L659" s="332"/>
      <c r="M659" s="227"/>
      <c r="N659" s="227"/>
      <c r="O659" s="227"/>
      <c r="P659" s="204"/>
      <c r="S659" s="186"/>
      <c r="V659" s="90"/>
    </row>
    <row r="660" spans="1:22" x14ac:dyDescent="0.35">
      <c r="A660">
        <f t="shared" si="29"/>
        <v>0</v>
      </c>
      <c r="G660" s="2"/>
      <c r="H660" s="204"/>
      <c r="I660" s="204"/>
      <c r="J660" s="204"/>
      <c r="K660" s="204"/>
      <c r="L660" s="332"/>
      <c r="M660" s="227"/>
      <c r="N660" s="227"/>
      <c r="O660" s="227"/>
      <c r="P660" s="204"/>
      <c r="S660" s="186"/>
      <c r="V660" s="90"/>
    </row>
    <row r="661" spans="1:22" x14ac:dyDescent="0.35">
      <c r="A661">
        <f t="shared" si="29"/>
        <v>0</v>
      </c>
      <c r="G661" s="2"/>
      <c r="H661" s="204"/>
      <c r="I661" s="204"/>
      <c r="J661" s="204"/>
      <c r="K661" s="204"/>
      <c r="L661" s="332"/>
      <c r="M661" s="227"/>
      <c r="N661" s="227"/>
      <c r="O661" s="227"/>
      <c r="P661" s="204"/>
      <c r="S661" s="186"/>
      <c r="V661" s="90"/>
    </row>
    <row r="662" spans="1:22" x14ac:dyDescent="0.35">
      <c r="A662">
        <f t="shared" si="29"/>
        <v>0</v>
      </c>
      <c r="G662" s="2"/>
      <c r="H662" s="204"/>
      <c r="I662" s="204"/>
      <c r="J662" s="204"/>
      <c r="K662" s="204"/>
      <c r="L662" s="332"/>
      <c r="M662" s="227"/>
      <c r="N662" s="227"/>
      <c r="O662" s="227"/>
      <c r="P662" s="204"/>
      <c r="S662" s="186"/>
      <c r="V662" s="90"/>
    </row>
    <row r="663" spans="1:22" x14ac:dyDescent="0.35">
      <c r="A663">
        <f t="shared" si="29"/>
        <v>0</v>
      </c>
      <c r="G663" s="2"/>
      <c r="H663" s="204"/>
      <c r="I663" s="204"/>
      <c r="J663" s="204"/>
      <c r="K663" s="204"/>
      <c r="L663" s="332"/>
      <c r="M663" s="227"/>
      <c r="N663" s="227"/>
      <c r="O663" s="227"/>
      <c r="P663" s="204"/>
      <c r="S663" s="186"/>
      <c r="V663" s="90"/>
    </row>
    <row r="664" spans="1:22" x14ac:dyDescent="0.35">
      <c r="A664">
        <f t="shared" si="29"/>
        <v>0</v>
      </c>
      <c r="G664" s="2"/>
      <c r="H664" s="204"/>
      <c r="I664" s="204"/>
      <c r="J664" s="204"/>
      <c r="K664" s="204"/>
      <c r="L664" s="332"/>
      <c r="M664" s="227"/>
      <c r="N664" s="227"/>
      <c r="O664" s="227"/>
      <c r="P664" s="204"/>
      <c r="S664" s="186"/>
      <c r="V664" s="90"/>
    </row>
    <row r="665" spans="1:22" x14ac:dyDescent="0.35">
      <c r="A665">
        <f t="shared" si="29"/>
        <v>0</v>
      </c>
      <c r="G665" s="2"/>
      <c r="H665" s="204"/>
      <c r="I665" s="204"/>
      <c r="J665" s="204"/>
      <c r="K665" s="204"/>
      <c r="L665" s="332"/>
      <c r="M665" s="227"/>
      <c r="N665" s="227"/>
      <c r="O665" s="227"/>
      <c r="P665" s="204"/>
      <c r="S665" s="186"/>
      <c r="V665" s="90"/>
    </row>
    <row r="666" spans="1:22" x14ac:dyDescent="0.35">
      <c r="A666">
        <f t="shared" si="29"/>
        <v>0</v>
      </c>
      <c r="G666" s="2"/>
      <c r="H666" s="204"/>
      <c r="I666" s="204"/>
      <c r="J666" s="204"/>
      <c r="K666" s="204"/>
      <c r="L666" s="332"/>
      <c r="M666" s="227"/>
      <c r="N666" s="227"/>
      <c r="O666" s="227"/>
      <c r="P666" s="204"/>
      <c r="S666" s="186"/>
      <c r="V666" s="90"/>
    </row>
    <row r="667" spans="1:22" x14ac:dyDescent="0.35">
      <c r="A667">
        <f t="shared" si="29"/>
        <v>0</v>
      </c>
      <c r="G667" s="2"/>
      <c r="H667" s="204"/>
      <c r="I667" s="204"/>
      <c r="J667" s="204"/>
      <c r="K667" s="204"/>
      <c r="L667" s="332"/>
      <c r="M667" s="227"/>
      <c r="N667" s="227"/>
      <c r="O667" s="227"/>
      <c r="P667" s="204"/>
      <c r="S667" s="186"/>
      <c r="V667" s="90"/>
    </row>
    <row r="668" spans="1:22" x14ac:dyDescent="0.35">
      <c r="A668">
        <f t="shared" si="29"/>
        <v>0</v>
      </c>
      <c r="G668" s="2"/>
      <c r="H668" s="204"/>
      <c r="I668" s="204"/>
      <c r="J668" s="204"/>
      <c r="K668" s="204"/>
      <c r="L668" s="332"/>
      <c r="M668" s="227"/>
      <c r="N668" s="227"/>
      <c r="O668" s="227"/>
      <c r="P668" s="204"/>
      <c r="S668" s="186"/>
      <c r="V668" s="90"/>
    </row>
    <row r="669" spans="1:22" x14ac:dyDescent="0.35">
      <c r="A669">
        <f t="shared" si="29"/>
        <v>0</v>
      </c>
      <c r="G669" s="2"/>
      <c r="H669" s="204"/>
      <c r="I669" s="204"/>
      <c r="J669" s="204"/>
      <c r="K669" s="204"/>
      <c r="L669" s="332"/>
      <c r="M669" s="227"/>
      <c r="N669" s="227"/>
      <c r="O669" s="227"/>
      <c r="P669" s="204"/>
      <c r="S669" s="186"/>
      <c r="V669" s="90"/>
    </row>
    <row r="670" spans="1:22" x14ac:dyDescent="0.35">
      <c r="A670">
        <f t="shared" si="29"/>
        <v>0</v>
      </c>
      <c r="G670" s="2"/>
      <c r="H670" s="204"/>
      <c r="I670" s="204"/>
      <c r="J670" s="204"/>
      <c r="K670" s="204"/>
      <c r="L670" s="332"/>
      <c r="M670" s="227"/>
      <c r="N670" s="227"/>
      <c r="O670" s="227"/>
      <c r="P670" s="204"/>
      <c r="S670" s="186"/>
      <c r="V670" s="90"/>
    </row>
    <row r="671" spans="1:22" x14ac:dyDescent="0.35">
      <c r="A671">
        <f t="shared" si="29"/>
        <v>0</v>
      </c>
      <c r="G671" s="2"/>
      <c r="H671" s="204"/>
      <c r="I671" s="204"/>
      <c r="J671" s="204"/>
      <c r="K671" s="204"/>
      <c r="L671" s="332"/>
      <c r="M671" s="227"/>
      <c r="N671" s="227"/>
      <c r="O671" s="227"/>
      <c r="P671" s="204"/>
      <c r="S671" s="186"/>
      <c r="V671" s="90"/>
    </row>
    <row r="672" spans="1:22" x14ac:dyDescent="0.35">
      <c r="A672">
        <f t="shared" si="29"/>
        <v>0</v>
      </c>
      <c r="G672" s="2"/>
      <c r="H672" s="204"/>
      <c r="I672" s="204"/>
      <c r="J672" s="204"/>
      <c r="K672" s="204"/>
      <c r="L672" s="332"/>
      <c r="M672" s="227"/>
      <c r="N672" s="227"/>
      <c r="O672" s="227"/>
      <c r="P672" s="204"/>
      <c r="S672" s="186"/>
      <c r="V672" s="90"/>
    </row>
    <row r="673" spans="1:22" x14ac:dyDescent="0.35">
      <c r="A673">
        <f t="shared" si="29"/>
        <v>0</v>
      </c>
      <c r="G673" s="2"/>
      <c r="H673" s="204"/>
      <c r="I673" s="204"/>
      <c r="J673" s="204"/>
      <c r="K673" s="204"/>
      <c r="L673" s="332"/>
      <c r="M673" s="227"/>
      <c r="N673" s="227"/>
      <c r="O673" s="227"/>
      <c r="P673" s="204"/>
      <c r="S673" s="186"/>
      <c r="V673" s="90"/>
    </row>
    <row r="674" spans="1:22" x14ac:dyDescent="0.35">
      <c r="A674">
        <f t="shared" si="29"/>
        <v>0</v>
      </c>
      <c r="G674" s="2"/>
      <c r="H674" s="204"/>
      <c r="I674" s="204"/>
      <c r="J674" s="204"/>
      <c r="K674" s="204"/>
      <c r="L674" s="332"/>
      <c r="M674" s="227"/>
      <c r="N674" s="227"/>
      <c r="O674" s="227"/>
      <c r="P674" s="204"/>
      <c r="S674" s="186"/>
      <c r="V674" s="90"/>
    </row>
    <row r="675" spans="1:22" x14ac:dyDescent="0.35">
      <c r="A675">
        <f t="shared" si="29"/>
        <v>0</v>
      </c>
      <c r="G675" s="2"/>
      <c r="H675" s="204"/>
      <c r="I675" s="204"/>
      <c r="J675" s="204"/>
      <c r="K675" s="204"/>
      <c r="L675" s="332"/>
      <c r="M675" s="227"/>
      <c r="N675" s="227"/>
      <c r="O675" s="227"/>
      <c r="P675" s="204"/>
      <c r="S675" s="186"/>
      <c r="V675" s="90"/>
    </row>
    <row r="676" spans="1:22" x14ac:dyDescent="0.35">
      <c r="A676">
        <f t="shared" si="29"/>
        <v>0</v>
      </c>
      <c r="G676" s="2"/>
      <c r="H676" s="204"/>
      <c r="I676" s="204"/>
      <c r="J676" s="204"/>
      <c r="K676" s="204"/>
      <c r="L676" s="332"/>
      <c r="M676" s="227"/>
      <c r="N676" s="227"/>
      <c r="O676" s="227"/>
      <c r="P676" s="204"/>
      <c r="S676" s="186"/>
      <c r="V676" s="90"/>
    </row>
    <row r="677" spans="1:22" x14ac:dyDescent="0.35">
      <c r="A677">
        <f t="shared" si="29"/>
        <v>0</v>
      </c>
      <c r="G677" s="2"/>
      <c r="H677" s="204"/>
      <c r="I677" s="204"/>
      <c r="J677" s="204"/>
      <c r="K677" s="204"/>
      <c r="L677" s="332"/>
      <c r="M677" s="227"/>
      <c r="N677" s="227"/>
      <c r="O677" s="227"/>
      <c r="P677" s="204"/>
      <c r="S677" s="186"/>
      <c r="V677" s="90"/>
    </row>
    <row r="678" spans="1:22" x14ac:dyDescent="0.35">
      <c r="A678">
        <f t="shared" si="29"/>
        <v>0</v>
      </c>
      <c r="G678" s="2"/>
      <c r="H678" s="204"/>
      <c r="I678" s="204"/>
      <c r="J678" s="204"/>
      <c r="K678" s="204"/>
      <c r="L678" s="332"/>
      <c r="M678" s="227"/>
      <c r="N678" s="227"/>
      <c r="O678" s="227"/>
      <c r="P678" s="204"/>
      <c r="S678" s="186"/>
      <c r="V678" s="90"/>
    </row>
    <row r="679" spans="1:22" x14ac:dyDescent="0.35">
      <c r="A679">
        <f t="shared" si="29"/>
        <v>0</v>
      </c>
      <c r="G679" s="2"/>
      <c r="H679" s="204"/>
      <c r="I679" s="204"/>
      <c r="J679" s="204"/>
      <c r="K679" s="204"/>
      <c r="L679" s="332"/>
      <c r="M679" s="227"/>
      <c r="N679" s="227"/>
      <c r="O679" s="227"/>
      <c r="P679" s="204"/>
      <c r="S679" s="186"/>
      <c r="V679" s="90"/>
    </row>
    <row r="680" spans="1:22" x14ac:dyDescent="0.35">
      <c r="A680">
        <f t="shared" si="29"/>
        <v>0</v>
      </c>
      <c r="G680" s="2"/>
      <c r="H680" s="204"/>
      <c r="I680" s="204"/>
      <c r="J680" s="204"/>
      <c r="K680" s="204"/>
      <c r="L680" s="332"/>
      <c r="M680" s="227"/>
      <c r="N680" s="227"/>
      <c r="O680" s="227"/>
      <c r="P680" s="204"/>
      <c r="S680" s="186"/>
      <c r="V680" s="90"/>
    </row>
    <row r="681" spans="1:22" x14ac:dyDescent="0.35">
      <c r="A681">
        <f t="shared" si="29"/>
        <v>0</v>
      </c>
      <c r="G681" s="2"/>
      <c r="H681" s="204"/>
      <c r="I681" s="204"/>
      <c r="J681" s="204"/>
      <c r="K681" s="204"/>
      <c r="L681" s="332"/>
      <c r="M681" s="227"/>
      <c r="N681" s="227"/>
      <c r="O681" s="227"/>
      <c r="P681" s="204"/>
      <c r="S681" s="186"/>
      <c r="V681" s="90"/>
    </row>
    <row r="682" spans="1:22" x14ac:dyDescent="0.35">
      <c r="A682">
        <f t="shared" si="29"/>
        <v>0</v>
      </c>
      <c r="G682" s="2"/>
      <c r="H682" s="204"/>
      <c r="I682" s="204"/>
      <c r="J682" s="204"/>
      <c r="K682" s="204"/>
      <c r="L682" s="332"/>
      <c r="M682" s="227"/>
      <c r="N682" s="227"/>
      <c r="O682" s="227"/>
      <c r="P682" s="204"/>
      <c r="S682" s="186"/>
      <c r="V682" s="90"/>
    </row>
    <row r="683" spans="1:22" x14ac:dyDescent="0.35">
      <c r="A683">
        <f t="shared" si="29"/>
        <v>0</v>
      </c>
      <c r="G683" s="2"/>
      <c r="H683" s="204"/>
      <c r="I683" s="204"/>
      <c r="J683" s="204"/>
      <c r="K683" s="204"/>
      <c r="L683" s="332"/>
      <c r="M683" s="227"/>
      <c r="N683" s="227"/>
      <c r="O683" s="227"/>
      <c r="P683" s="204"/>
      <c r="S683" s="186"/>
      <c r="V683" s="90"/>
    </row>
    <row r="684" spans="1:22" x14ac:dyDescent="0.35">
      <c r="A684">
        <f t="shared" si="29"/>
        <v>0</v>
      </c>
      <c r="G684" s="2"/>
      <c r="H684" s="204"/>
      <c r="I684" s="204"/>
      <c r="J684" s="204"/>
      <c r="K684" s="204"/>
      <c r="L684" s="332"/>
      <c r="M684" s="227"/>
      <c r="N684" s="227"/>
      <c r="O684" s="227"/>
      <c r="P684" s="204"/>
      <c r="S684" s="186"/>
      <c r="V684" s="90"/>
    </row>
    <row r="685" spans="1:22" x14ac:dyDescent="0.35">
      <c r="A685">
        <f t="shared" si="29"/>
        <v>0</v>
      </c>
      <c r="G685" s="2"/>
      <c r="H685" s="204"/>
      <c r="I685" s="204"/>
      <c r="J685" s="204"/>
      <c r="K685" s="204"/>
      <c r="L685" s="332"/>
      <c r="M685" s="227"/>
      <c r="N685" s="227"/>
      <c r="O685" s="227"/>
      <c r="P685" s="204"/>
      <c r="S685" s="186"/>
      <c r="V685" s="90"/>
    </row>
    <row r="686" spans="1:22" x14ac:dyDescent="0.35">
      <c r="A686">
        <f t="shared" si="29"/>
        <v>0</v>
      </c>
      <c r="G686" s="2"/>
      <c r="H686" s="204"/>
      <c r="I686" s="204"/>
      <c r="J686" s="204"/>
      <c r="K686" s="204"/>
      <c r="L686" s="332"/>
      <c r="M686" s="227"/>
      <c r="N686" s="227"/>
      <c r="O686" s="227"/>
      <c r="P686" s="204"/>
      <c r="S686" s="186"/>
      <c r="V686" s="90"/>
    </row>
    <row r="687" spans="1:22" x14ac:dyDescent="0.35">
      <c r="A687">
        <f t="shared" si="29"/>
        <v>0</v>
      </c>
      <c r="G687" s="2"/>
      <c r="H687" s="204"/>
      <c r="I687" s="204"/>
      <c r="J687" s="204"/>
      <c r="K687" s="204"/>
      <c r="L687" s="332"/>
      <c r="M687" s="227"/>
      <c r="N687" s="227"/>
      <c r="O687" s="227"/>
      <c r="P687" s="204"/>
      <c r="S687" s="186"/>
      <c r="V687" s="90"/>
    </row>
    <row r="688" spans="1:22" x14ac:dyDescent="0.35">
      <c r="A688">
        <f t="shared" si="29"/>
        <v>0</v>
      </c>
      <c r="G688" s="2"/>
      <c r="H688" s="204"/>
      <c r="I688" s="204"/>
      <c r="J688" s="204"/>
      <c r="K688" s="204"/>
      <c r="L688" s="332"/>
      <c r="M688" s="227"/>
      <c r="N688" s="227"/>
      <c r="O688" s="227"/>
      <c r="P688" s="204"/>
      <c r="S688" s="186"/>
      <c r="V688" s="90"/>
    </row>
    <row r="689" spans="1:22" x14ac:dyDescent="0.35">
      <c r="A689">
        <f t="shared" si="29"/>
        <v>0</v>
      </c>
      <c r="G689" s="2"/>
      <c r="H689" s="204"/>
      <c r="I689" s="204"/>
      <c r="J689" s="204"/>
      <c r="K689" s="204"/>
      <c r="L689" s="332"/>
      <c r="M689" s="227"/>
      <c r="N689" s="227"/>
      <c r="O689" s="227"/>
      <c r="P689" s="204"/>
      <c r="S689" s="186"/>
      <c r="V689" s="90"/>
    </row>
    <row r="690" spans="1:22" x14ac:dyDescent="0.35">
      <c r="A690">
        <f t="shared" si="29"/>
        <v>0</v>
      </c>
      <c r="G690" s="2"/>
      <c r="H690" s="204"/>
      <c r="I690" s="204"/>
      <c r="J690" s="204"/>
      <c r="K690" s="204"/>
      <c r="L690" s="332"/>
      <c r="M690" s="227"/>
      <c r="N690" s="227"/>
      <c r="O690" s="227"/>
      <c r="P690" s="204"/>
      <c r="S690" s="186"/>
      <c r="V690" s="90"/>
    </row>
    <row r="691" spans="1:22" x14ac:dyDescent="0.35">
      <c r="A691">
        <f t="shared" si="29"/>
        <v>0</v>
      </c>
      <c r="G691" s="2"/>
      <c r="H691" s="204"/>
      <c r="I691" s="204"/>
      <c r="J691" s="204"/>
      <c r="K691" s="204"/>
      <c r="L691" s="332"/>
      <c r="M691" s="227"/>
      <c r="N691" s="227"/>
      <c r="O691" s="227"/>
      <c r="P691" s="204"/>
      <c r="S691" s="186"/>
      <c r="V691" s="90"/>
    </row>
    <row r="692" spans="1:22" x14ac:dyDescent="0.35">
      <c r="A692">
        <f t="shared" si="29"/>
        <v>0</v>
      </c>
      <c r="G692" s="2"/>
      <c r="H692" s="204"/>
      <c r="I692" s="204"/>
      <c r="J692" s="204"/>
      <c r="K692" s="204"/>
      <c r="L692" s="332"/>
      <c r="M692" s="227"/>
      <c r="N692" s="227"/>
      <c r="O692" s="227"/>
      <c r="P692" s="204"/>
      <c r="S692" s="186"/>
      <c r="V692" s="90"/>
    </row>
    <row r="693" spans="1:22" x14ac:dyDescent="0.35">
      <c r="A693">
        <f t="shared" si="29"/>
        <v>0</v>
      </c>
      <c r="G693" s="2"/>
      <c r="H693" s="204"/>
      <c r="I693" s="204"/>
      <c r="J693" s="204"/>
      <c r="K693" s="204"/>
      <c r="L693" s="332"/>
      <c r="M693" s="227"/>
      <c r="N693" s="227"/>
      <c r="O693" s="227"/>
      <c r="P693" s="204"/>
      <c r="S693" s="186"/>
      <c r="V693" s="90"/>
    </row>
    <row r="694" spans="1:22" x14ac:dyDescent="0.35">
      <c r="A694">
        <f t="shared" si="29"/>
        <v>0</v>
      </c>
      <c r="G694" s="2"/>
      <c r="H694" s="204"/>
      <c r="I694" s="204"/>
      <c r="J694" s="204"/>
      <c r="K694" s="204"/>
      <c r="L694" s="332"/>
      <c r="M694" s="227"/>
      <c r="N694" s="227"/>
      <c r="O694" s="227"/>
      <c r="P694" s="204"/>
      <c r="S694" s="186"/>
      <c r="V694" s="90"/>
    </row>
    <row r="695" spans="1:22" x14ac:dyDescent="0.35">
      <c r="A695">
        <f t="shared" si="29"/>
        <v>0</v>
      </c>
      <c r="G695" s="2"/>
      <c r="H695" s="204"/>
      <c r="I695" s="204"/>
      <c r="J695" s="204"/>
      <c r="K695" s="204"/>
      <c r="L695" s="332"/>
      <c r="M695" s="227"/>
      <c r="N695" s="227"/>
      <c r="O695" s="227"/>
      <c r="P695" s="204"/>
      <c r="S695" s="186"/>
      <c r="V695" s="90"/>
    </row>
    <row r="696" spans="1:22" x14ac:dyDescent="0.35">
      <c r="A696">
        <f t="shared" si="29"/>
        <v>0</v>
      </c>
      <c r="G696" s="2"/>
      <c r="H696" s="204"/>
      <c r="I696" s="204"/>
      <c r="J696" s="204"/>
      <c r="K696" s="204"/>
      <c r="L696" s="332"/>
      <c r="M696" s="227"/>
      <c r="N696" s="227"/>
      <c r="O696" s="227"/>
      <c r="P696" s="204"/>
      <c r="S696" s="186"/>
      <c r="V696" s="90"/>
    </row>
    <row r="697" spans="1:22" x14ac:dyDescent="0.35">
      <c r="A697">
        <f t="shared" si="29"/>
        <v>0</v>
      </c>
      <c r="G697" s="2"/>
      <c r="H697" s="204"/>
      <c r="I697" s="204"/>
      <c r="J697" s="204"/>
      <c r="K697" s="204"/>
      <c r="L697" s="332"/>
      <c r="M697" s="227"/>
      <c r="N697" s="227"/>
      <c r="O697" s="227"/>
      <c r="P697" s="204"/>
      <c r="S697" s="186"/>
      <c r="V697" s="90"/>
    </row>
    <row r="698" spans="1:22" x14ac:dyDescent="0.35">
      <c r="A698">
        <f t="shared" si="29"/>
        <v>0</v>
      </c>
      <c r="G698" s="2"/>
      <c r="H698" s="204"/>
      <c r="I698" s="204"/>
      <c r="J698" s="204"/>
      <c r="K698" s="204"/>
      <c r="L698" s="332"/>
      <c r="M698" s="227"/>
      <c r="N698" s="227"/>
      <c r="O698" s="227"/>
      <c r="P698" s="204"/>
      <c r="S698" s="186"/>
      <c r="V698" s="90"/>
    </row>
    <row r="699" spans="1:22" x14ac:dyDescent="0.35">
      <c r="A699">
        <f t="shared" si="29"/>
        <v>0</v>
      </c>
      <c r="G699" s="2"/>
      <c r="H699" s="204"/>
      <c r="I699" s="204"/>
      <c r="J699" s="204"/>
      <c r="K699" s="204"/>
      <c r="L699" s="332"/>
      <c r="M699" s="227"/>
      <c r="N699" s="227"/>
      <c r="O699" s="227"/>
      <c r="P699" s="204"/>
      <c r="S699" s="186"/>
      <c r="V699" s="90"/>
    </row>
    <row r="700" spans="1:22" x14ac:dyDescent="0.35">
      <c r="A700">
        <f t="shared" si="29"/>
        <v>0</v>
      </c>
      <c r="G700" s="2"/>
      <c r="H700" s="204"/>
      <c r="I700" s="204"/>
      <c r="J700" s="204"/>
      <c r="K700" s="204"/>
      <c r="L700" s="332"/>
      <c r="M700" s="227"/>
      <c r="N700" s="227"/>
      <c r="O700" s="227"/>
      <c r="P700" s="204"/>
      <c r="S700" s="186"/>
      <c r="V700" s="90"/>
    </row>
    <row r="701" spans="1:22" x14ac:dyDescent="0.35">
      <c r="A701">
        <f t="shared" si="29"/>
        <v>0</v>
      </c>
      <c r="G701" s="2"/>
      <c r="H701" s="204"/>
      <c r="I701" s="204"/>
      <c r="J701" s="204"/>
      <c r="K701" s="204"/>
      <c r="L701" s="332"/>
      <c r="M701" s="227"/>
      <c r="N701" s="227"/>
      <c r="O701" s="227"/>
      <c r="P701" s="204"/>
      <c r="S701" s="186"/>
      <c r="V701" s="90"/>
    </row>
    <row r="702" spans="1:22" x14ac:dyDescent="0.35">
      <c r="A702">
        <f t="shared" si="29"/>
        <v>0</v>
      </c>
      <c r="G702" s="2"/>
      <c r="H702" s="204"/>
      <c r="I702" s="204"/>
      <c r="J702" s="204"/>
      <c r="K702" s="204"/>
      <c r="L702" s="332"/>
      <c r="M702" s="227"/>
      <c r="N702" s="227"/>
      <c r="O702" s="227"/>
      <c r="P702" s="204"/>
      <c r="S702" s="186"/>
      <c r="V702" s="90"/>
    </row>
    <row r="703" spans="1:22" x14ac:dyDescent="0.35">
      <c r="A703">
        <f t="shared" si="29"/>
        <v>0</v>
      </c>
      <c r="G703" s="2"/>
      <c r="H703" s="204"/>
      <c r="I703" s="204"/>
      <c r="J703" s="204"/>
      <c r="K703" s="204"/>
      <c r="L703" s="332"/>
      <c r="M703" s="227"/>
      <c r="N703" s="227"/>
      <c r="O703" s="227"/>
      <c r="P703" s="204"/>
      <c r="S703" s="186"/>
      <c r="V703" s="90"/>
    </row>
    <row r="704" spans="1:22" x14ac:dyDescent="0.35">
      <c r="A704">
        <f t="shared" si="29"/>
        <v>0</v>
      </c>
      <c r="G704" s="2"/>
      <c r="H704" s="204"/>
      <c r="I704" s="204"/>
      <c r="J704" s="204"/>
      <c r="K704" s="204"/>
      <c r="L704" s="332"/>
      <c r="M704" s="227"/>
      <c r="N704" s="227"/>
      <c r="O704" s="227"/>
      <c r="P704" s="204"/>
      <c r="S704" s="186"/>
      <c r="V704" s="90"/>
    </row>
    <row r="705" spans="1:22" x14ac:dyDescent="0.35">
      <c r="A705">
        <f t="shared" si="29"/>
        <v>0</v>
      </c>
      <c r="G705" s="2"/>
      <c r="H705" s="204"/>
      <c r="I705" s="204"/>
      <c r="J705" s="204"/>
      <c r="K705" s="204"/>
      <c r="L705" s="332"/>
      <c r="M705" s="227"/>
      <c r="N705" s="227"/>
      <c r="O705" s="227"/>
      <c r="P705" s="204"/>
      <c r="S705" s="186"/>
      <c r="V705" s="90"/>
    </row>
    <row r="706" spans="1:22" x14ac:dyDescent="0.35">
      <c r="A706">
        <f t="shared" si="29"/>
        <v>0</v>
      </c>
      <c r="G706" s="2"/>
      <c r="H706" s="204"/>
      <c r="I706" s="204"/>
      <c r="J706" s="204"/>
      <c r="K706" s="204"/>
      <c r="L706" s="332"/>
      <c r="M706" s="227"/>
      <c r="N706" s="227"/>
      <c r="O706" s="227"/>
      <c r="P706" s="204"/>
      <c r="S706" s="186"/>
      <c r="V706" s="90"/>
    </row>
    <row r="707" spans="1:22" x14ac:dyDescent="0.35">
      <c r="A707">
        <f t="shared" si="29"/>
        <v>0</v>
      </c>
      <c r="G707" s="2"/>
      <c r="H707" s="204"/>
      <c r="I707" s="204"/>
      <c r="J707" s="204"/>
      <c r="K707" s="204"/>
      <c r="L707" s="332"/>
      <c r="M707" s="227"/>
      <c r="N707" s="227"/>
      <c r="O707" s="227"/>
      <c r="P707" s="204"/>
      <c r="S707" s="186"/>
      <c r="V707" s="90"/>
    </row>
    <row r="708" spans="1:22" x14ac:dyDescent="0.35">
      <c r="A708">
        <f t="shared" si="29"/>
        <v>0</v>
      </c>
      <c r="G708" s="2"/>
      <c r="H708" s="204"/>
      <c r="I708" s="204"/>
      <c r="J708" s="204"/>
      <c r="K708" s="204"/>
      <c r="L708" s="332"/>
      <c r="M708" s="227"/>
      <c r="N708" s="227"/>
      <c r="O708" s="227"/>
      <c r="P708" s="204"/>
      <c r="S708" s="186"/>
      <c r="V708" s="90"/>
    </row>
    <row r="709" spans="1:22" x14ac:dyDescent="0.35">
      <c r="A709">
        <f t="shared" si="29"/>
        <v>0</v>
      </c>
      <c r="G709" s="2"/>
      <c r="H709" s="204"/>
      <c r="I709" s="204"/>
      <c r="J709" s="204"/>
      <c r="K709" s="204"/>
      <c r="L709" s="332"/>
      <c r="M709" s="227"/>
      <c r="N709" s="227"/>
      <c r="O709" s="227"/>
      <c r="P709" s="204"/>
      <c r="S709" s="186"/>
      <c r="V709" s="90"/>
    </row>
    <row r="710" spans="1:22" x14ac:dyDescent="0.35">
      <c r="A710">
        <f t="shared" si="29"/>
        <v>0</v>
      </c>
      <c r="G710" s="2"/>
      <c r="H710" s="204"/>
      <c r="I710" s="204"/>
      <c r="J710" s="204"/>
      <c r="K710" s="204"/>
      <c r="L710" s="332"/>
      <c r="M710" s="227"/>
      <c r="N710" s="227"/>
      <c r="O710" s="227"/>
      <c r="P710" s="204"/>
      <c r="S710" s="186"/>
      <c r="V710" s="90"/>
    </row>
    <row r="711" spans="1:22" x14ac:dyDescent="0.35">
      <c r="A711">
        <f t="shared" si="29"/>
        <v>0</v>
      </c>
      <c r="G711" s="2"/>
      <c r="H711" s="204"/>
      <c r="I711" s="204"/>
      <c r="J711" s="204"/>
      <c r="K711" s="204"/>
      <c r="L711" s="332"/>
      <c r="M711" s="227"/>
      <c r="N711" s="227"/>
      <c r="O711" s="227"/>
      <c r="P711" s="204"/>
      <c r="S711" s="186"/>
      <c r="V711" s="90"/>
    </row>
    <row r="712" spans="1:22" x14ac:dyDescent="0.35">
      <c r="A712">
        <f t="shared" ref="A712:A775" si="30">IF(B712="",0,COUNTIFS($B$7:$B$999,B712,$C$7:$C$999,C712))</f>
        <v>0</v>
      </c>
      <c r="G712" s="2"/>
      <c r="H712" s="204"/>
      <c r="I712" s="204"/>
      <c r="J712" s="204"/>
      <c r="K712" s="204"/>
      <c r="L712" s="332"/>
      <c r="M712" s="227"/>
      <c r="N712" s="227"/>
      <c r="O712" s="227"/>
      <c r="P712" s="204"/>
      <c r="S712" s="186"/>
      <c r="V712" s="90"/>
    </row>
    <row r="713" spans="1:22" x14ac:dyDescent="0.35">
      <c r="A713">
        <f t="shared" si="30"/>
        <v>0</v>
      </c>
      <c r="G713" s="2"/>
      <c r="H713" s="204"/>
      <c r="I713" s="204"/>
      <c r="J713" s="204"/>
      <c r="K713" s="204"/>
      <c r="L713" s="332"/>
      <c r="M713" s="227"/>
      <c r="N713" s="227"/>
      <c r="O713" s="227"/>
      <c r="P713" s="204"/>
      <c r="S713" s="186"/>
      <c r="V713" s="90"/>
    </row>
    <row r="714" spans="1:22" x14ac:dyDescent="0.35">
      <c r="A714">
        <f t="shared" si="30"/>
        <v>0</v>
      </c>
      <c r="G714" s="2"/>
      <c r="H714" s="204"/>
      <c r="I714" s="204"/>
      <c r="J714" s="204"/>
      <c r="K714" s="204"/>
      <c r="L714" s="332"/>
      <c r="M714" s="227"/>
      <c r="N714" s="227"/>
      <c r="O714" s="227"/>
      <c r="P714" s="204"/>
      <c r="S714" s="186"/>
      <c r="V714" s="90"/>
    </row>
    <row r="715" spans="1:22" x14ac:dyDescent="0.35">
      <c r="A715">
        <f t="shared" si="30"/>
        <v>0</v>
      </c>
      <c r="G715" s="2"/>
      <c r="H715" s="204"/>
      <c r="I715" s="204"/>
      <c r="J715" s="204"/>
      <c r="K715" s="204"/>
      <c r="L715" s="332"/>
      <c r="M715" s="227"/>
      <c r="N715" s="227"/>
      <c r="O715" s="227"/>
      <c r="P715" s="204"/>
      <c r="S715" s="186"/>
      <c r="V715" s="90"/>
    </row>
    <row r="716" spans="1:22" x14ac:dyDescent="0.35">
      <c r="A716">
        <f t="shared" si="30"/>
        <v>0</v>
      </c>
      <c r="G716" s="2"/>
      <c r="H716" s="204"/>
      <c r="I716" s="204"/>
      <c r="J716" s="204"/>
      <c r="K716" s="204"/>
      <c r="L716" s="332"/>
      <c r="M716" s="227"/>
      <c r="N716" s="227"/>
      <c r="O716" s="227"/>
      <c r="P716" s="204"/>
      <c r="S716" s="186"/>
      <c r="V716" s="90"/>
    </row>
    <row r="717" spans="1:22" x14ac:dyDescent="0.35">
      <c r="A717">
        <f t="shared" si="30"/>
        <v>0</v>
      </c>
      <c r="G717" s="2"/>
      <c r="H717" s="204"/>
      <c r="I717" s="204"/>
      <c r="J717" s="204"/>
      <c r="K717" s="204"/>
      <c r="L717" s="332"/>
      <c r="M717" s="227"/>
      <c r="N717" s="227"/>
      <c r="O717" s="227"/>
      <c r="P717" s="204"/>
      <c r="S717" s="186"/>
      <c r="V717" s="90"/>
    </row>
    <row r="718" spans="1:22" x14ac:dyDescent="0.35">
      <c r="A718">
        <f t="shared" si="30"/>
        <v>0</v>
      </c>
      <c r="G718" s="2"/>
      <c r="H718" s="204"/>
      <c r="I718" s="204"/>
      <c r="J718" s="204"/>
      <c r="K718" s="204"/>
      <c r="L718" s="332"/>
      <c r="M718" s="227"/>
      <c r="N718" s="227"/>
      <c r="O718" s="227"/>
      <c r="P718" s="204"/>
      <c r="S718" s="186"/>
      <c r="V718" s="90"/>
    </row>
    <row r="719" spans="1:22" x14ac:dyDescent="0.35">
      <c r="A719">
        <f t="shared" si="30"/>
        <v>0</v>
      </c>
      <c r="G719" s="2"/>
      <c r="H719" s="204"/>
      <c r="I719" s="204"/>
      <c r="J719" s="204"/>
      <c r="K719" s="204"/>
      <c r="L719" s="332"/>
      <c r="M719" s="227"/>
      <c r="N719" s="227"/>
      <c r="O719" s="227"/>
      <c r="P719" s="204"/>
      <c r="S719" s="186"/>
      <c r="V719" s="90"/>
    </row>
    <row r="720" spans="1:22" x14ac:dyDescent="0.35">
      <c r="A720">
        <f t="shared" si="30"/>
        <v>0</v>
      </c>
      <c r="G720" s="2"/>
      <c r="H720" s="204"/>
      <c r="I720" s="204"/>
      <c r="J720" s="204"/>
      <c r="K720" s="204"/>
      <c r="L720" s="332"/>
      <c r="M720" s="227"/>
      <c r="N720" s="227"/>
      <c r="O720" s="227"/>
      <c r="P720" s="204"/>
      <c r="S720" s="186"/>
      <c r="V720" s="90"/>
    </row>
    <row r="721" spans="1:22" x14ac:dyDescent="0.35">
      <c r="A721">
        <f t="shared" si="30"/>
        <v>0</v>
      </c>
      <c r="G721" s="2"/>
      <c r="H721" s="204"/>
      <c r="I721" s="204"/>
      <c r="J721" s="204"/>
      <c r="K721" s="204"/>
      <c r="L721" s="332"/>
      <c r="M721" s="227"/>
      <c r="N721" s="227"/>
      <c r="O721" s="227"/>
      <c r="P721" s="204"/>
      <c r="S721" s="186"/>
      <c r="V721" s="90"/>
    </row>
    <row r="722" spans="1:22" x14ac:dyDescent="0.35">
      <c r="A722">
        <f t="shared" si="30"/>
        <v>0</v>
      </c>
      <c r="G722" s="2"/>
      <c r="H722" s="204"/>
      <c r="I722" s="204"/>
      <c r="J722" s="204"/>
      <c r="K722" s="204"/>
      <c r="L722" s="332"/>
      <c r="M722" s="227"/>
      <c r="N722" s="227"/>
      <c r="O722" s="227"/>
      <c r="P722" s="204"/>
      <c r="S722" s="186"/>
      <c r="V722" s="90"/>
    </row>
    <row r="723" spans="1:22" x14ac:dyDescent="0.35">
      <c r="A723">
        <f t="shared" si="30"/>
        <v>0</v>
      </c>
      <c r="G723" s="2"/>
      <c r="H723" s="204"/>
      <c r="I723" s="204"/>
      <c r="J723" s="204"/>
      <c r="K723" s="204"/>
      <c r="L723" s="332"/>
      <c r="M723" s="227"/>
      <c r="N723" s="227"/>
      <c r="O723" s="227"/>
      <c r="P723" s="204"/>
      <c r="S723" s="186"/>
      <c r="V723" s="90"/>
    </row>
    <row r="724" spans="1:22" x14ac:dyDescent="0.35">
      <c r="A724">
        <f t="shared" si="30"/>
        <v>0</v>
      </c>
      <c r="G724" s="2"/>
      <c r="H724" s="204"/>
      <c r="I724" s="204"/>
      <c r="J724" s="204"/>
      <c r="K724" s="204"/>
      <c r="L724" s="332"/>
      <c r="M724" s="227"/>
      <c r="N724" s="227"/>
      <c r="O724" s="227"/>
      <c r="P724" s="204"/>
      <c r="S724" s="186"/>
      <c r="V724" s="90"/>
    </row>
    <row r="725" spans="1:22" x14ac:dyDescent="0.35">
      <c r="A725">
        <f t="shared" si="30"/>
        <v>0</v>
      </c>
      <c r="G725" s="2"/>
      <c r="H725" s="204"/>
      <c r="I725" s="204"/>
      <c r="J725" s="204"/>
      <c r="K725" s="204"/>
      <c r="L725" s="332"/>
      <c r="M725" s="227"/>
      <c r="N725" s="227"/>
      <c r="O725" s="227"/>
      <c r="P725" s="204"/>
      <c r="S725" s="186"/>
      <c r="V725" s="90"/>
    </row>
    <row r="726" spans="1:22" x14ac:dyDescent="0.35">
      <c r="A726">
        <f t="shared" si="30"/>
        <v>0</v>
      </c>
      <c r="G726" s="2"/>
      <c r="H726" s="204"/>
      <c r="I726" s="204"/>
      <c r="J726" s="204"/>
      <c r="K726" s="204"/>
      <c r="L726" s="332"/>
      <c r="M726" s="227"/>
      <c r="N726" s="227"/>
      <c r="O726" s="227"/>
      <c r="P726" s="204"/>
      <c r="S726" s="186"/>
      <c r="V726" s="90"/>
    </row>
    <row r="727" spans="1:22" x14ac:dyDescent="0.35">
      <c r="A727">
        <f t="shared" si="30"/>
        <v>0</v>
      </c>
      <c r="G727" s="2"/>
      <c r="H727" s="204"/>
      <c r="I727" s="204"/>
      <c r="J727" s="204"/>
      <c r="K727" s="204"/>
      <c r="L727" s="332"/>
      <c r="M727" s="227"/>
      <c r="N727" s="227"/>
      <c r="O727" s="227"/>
      <c r="P727" s="204"/>
      <c r="S727" s="186"/>
      <c r="V727" s="90"/>
    </row>
    <row r="728" spans="1:22" x14ac:dyDescent="0.35">
      <c r="A728">
        <f t="shared" si="30"/>
        <v>0</v>
      </c>
      <c r="G728" s="2"/>
      <c r="H728" s="204"/>
      <c r="I728" s="204"/>
      <c r="J728" s="204"/>
      <c r="K728" s="204"/>
      <c r="L728" s="332"/>
      <c r="M728" s="227"/>
      <c r="N728" s="227"/>
      <c r="O728" s="227"/>
      <c r="P728" s="204"/>
      <c r="S728" s="186"/>
      <c r="V728" s="90"/>
    </row>
    <row r="729" spans="1:22" x14ac:dyDescent="0.35">
      <c r="A729">
        <f t="shared" si="30"/>
        <v>0</v>
      </c>
      <c r="G729" s="2"/>
      <c r="H729" s="204"/>
      <c r="I729" s="204"/>
      <c r="J729" s="204"/>
      <c r="K729" s="204"/>
      <c r="L729" s="332"/>
      <c r="M729" s="227"/>
      <c r="N729" s="227"/>
      <c r="O729" s="227"/>
      <c r="P729" s="204"/>
      <c r="S729" s="186"/>
      <c r="V729" s="90"/>
    </row>
    <row r="730" spans="1:22" x14ac:dyDescent="0.35">
      <c r="A730">
        <f t="shared" si="30"/>
        <v>0</v>
      </c>
      <c r="G730" s="2"/>
      <c r="H730" s="204"/>
      <c r="I730" s="204"/>
      <c r="J730" s="204"/>
      <c r="K730" s="204"/>
      <c r="L730" s="332"/>
      <c r="M730" s="227"/>
      <c r="N730" s="227"/>
      <c r="O730" s="227"/>
      <c r="P730" s="204"/>
      <c r="S730" s="186"/>
      <c r="V730" s="90"/>
    </row>
    <row r="731" spans="1:22" x14ac:dyDescent="0.35">
      <c r="A731">
        <f t="shared" si="30"/>
        <v>0</v>
      </c>
      <c r="G731" s="2"/>
      <c r="H731" s="204"/>
      <c r="I731" s="204"/>
      <c r="J731" s="204"/>
      <c r="K731" s="204"/>
      <c r="L731" s="332"/>
      <c r="M731" s="227"/>
      <c r="N731" s="227"/>
      <c r="O731" s="227"/>
      <c r="P731" s="204"/>
      <c r="S731" s="186"/>
      <c r="V731" s="90"/>
    </row>
    <row r="732" spans="1:22" x14ac:dyDescent="0.35">
      <c r="A732">
        <f t="shared" si="30"/>
        <v>0</v>
      </c>
      <c r="G732" s="2"/>
      <c r="H732" s="204"/>
      <c r="I732" s="204"/>
      <c r="J732" s="204"/>
      <c r="K732" s="204"/>
      <c r="L732" s="332"/>
      <c r="M732" s="227"/>
      <c r="N732" s="227"/>
      <c r="O732" s="227"/>
      <c r="P732" s="204"/>
      <c r="S732" s="186"/>
      <c r="V732" s="90"/>
    </row>
    <row r="733" spans="1:22" x14ac:dyDescent="0.35">
      <c r="A733">
        <f t="shared" si="30"/>
        <v>0</v>
      </c>
      <c r="G733" s="2"/>
      <c r="H733" s="204"/>
      <c r="I733" s="204"/>
      <c r="J733" s="204"/>
      <c r="K733" s="204"/>
      <c r="L733" s="332"/>
      <c r="M733" s="227"/>
      <c r="N733" s="227"/>
      <c r="O733" s="227"/>
      <c r="P733" s="204"/>
      <c r="S733" s="186"/>
      <c r="V733" s="90"/>
    </row>
    <row r="734" spans="1:22" x14ac:dyDescent="0.35">
      <c r="A734">
        <f t="shared" si="30"/>
        <v>0</v>
      </c>
      <c r="G734" s="2"/>
      <c r="H734" s="204"/>
      <c r="I734" s="204"/>
      <c r="J734" s="204"/>
      <c r="K734" s="204"/>
      <c r="L734" s="332"/>
      <c r="M734" s="227"/>
      <c r="N734" s="227"/>
      <c r="O734" s="227"/>
      <c r="P734" s="204"/>
      <c r="S734" s="186"/>
      <c r="V734" s="90"/>
    </row>
    <row r="735" spans="1:22" x14ac:dyDescent="0.35">
      <c r="A735">
        <f t="shared" si="30"/>
        <v>0</v>
      </c>
      <c r="G735" s="2"/>
      <c r="H735" s="204"/>
      <c r="I735" s="204"/>
      <c r="J735" s="204"/>
      <c r="K735" s="204"/>
      <c r="L735" s="332"/>
      <c r="M735" s="227"/>
      <c r="N735" s="227"/>
      <c r="O735" s="227"/>
      <c r="P735" s="204"/>
      <c r="S735" s="186"/>
      <c r="V735" s="90"/>
    </row>
    <row r="736" spans="1:22" x14ac:dyDescent="0.35">
      <c r="A736">
        <f t="shared" si="30"/>
        <v>0</v>
      </c>
      <c r="G736" s="2"/>
      <c r="H736" s="204"/>
      <c r="I736" s="204"/>
      <c r="J736" s="204"/>
      <c r="K736" s="204"/>
      <c r="L736" s="332"/>
      <c r="M736" s="227"/>
      <c r="N736" s="227"/>
      <c r="O736" s="227"/>
      <c r="P736" s="204"/>
      <c r="S736" s="186"/>
      <c r="V736" s="90"/>
    </row>
    <row r="737" spans="1:22" x14ac:dyDescent="0.35">
      <c r="A737">
        <f t="shared" si="30"/>
        <v>0</v>
      </c>
      <c r="G737" s="2"/>
      <c r="H737" s="204"/>
      <c r="I737" s="204"/>
      <c r="J737" s="204"/>
      <c r="K737" s="204"/>
      <c r="L737" s="332"/>
      <c r="M737" s="227"/>
      <c r="N737" s="227"/>
      <c r="O737" s="227"/>
      <c r="P737" s="204"/>
      <c r="S737" s="186"/>
      <c r="V737" s="90"/>
    </row>
    <row r="738" spans="1:22" x14ac:dyDescent="0.35">
      <c r="A738">
        <f t="shared" si="30"/>
        <v>0</v>
      </c>
      <c r="G738" s="2"/>
      <c r="H738" s="204"/>
      <c r="I738" s="204"/>
      <c r="J738" s="204"/>
      <c r="K738" s="204"/>
      <c r="L738" s="332"/>
      <c r="M738" s="227"/>
      <c r="N738" s="227"/>
      <c r="O738" s="227"/>
      <c r="P738" s="204"/>
      <c r="S738" s="186"/>
      <c r="V738" s="90"/>
    </row>
    <row r="739" spans="1:22" x14ac:dyDescent="0.35">
      <c r="A739">
        <f t="shared" si="30"/>
        <v>0</v>
      </c>
      <c r="G739" s="2"/>
      <c r="H739" s="204"/>
      <c r="I739" s="204"/>
      <c r="J739" s="204"/>
      <c r="K739" s="204"/>
      <c r="L739" s="332"/>
      <c r="M739" s="227"/>
      <c r="N739" s="227"/>
      <c r="O739" s="227"/>
      <c r="P739" s="204"/>
      <c r="S739" s="186"/>
      <c r="V739" s="90"/>
    </row>
    <row r="740" spans="1:22" x14ac:dyDescent="0.35">
      <c r="A740">
        <f t="shared" si="30"/>
        <v>0</v>
      </c>
      <c r="G740" s="2"/>
      <c r="H740" s="204"/>
      <c r="I740" s="204"/>
      <c r="J740" s="204"/>
      <c r="K740" s="204"/>
      <c r="L740" s="332"/>
      <c r="M740" s="227"/>
      <c r="N740" s="227"/>
      <c r="O740" s="227"/>
      <c r="P740" s="204"/>
      <c r="S740" s="186"/>
      <c r="V740" s="90"/>
    </row>
    <row r="741" spans="1:22" x14ac:dyDescent="0.35">
      <c r="A741">
        <f t="shared" si="30"/>
        <v>0</v>
      </c>
      <c r="G741" s="2"/>
      <c r="H741" s="204"/>
      <c r="I741" s="204"/>
      <c r="J741" s="204"/>
      <c r="K741" s="204"/>
      <c r="L741" s="332"/>
      <c r="M741" s="227"/>
      <c r="N741" s="227"/>
      <c r="O741" s="227"/>
      <c r="P741" s="204"/>
      <c r="S741" s="186"/>
      <c r="V741" s="90"/>
    </row>
    <row r="742" spans="1:22" x14ac:dyDescent="0.35">
      <c r="A742">
        <f t="shared" si="30"/>
        <v>0</v>
      </c>
      <c r="G742" s="2"/>
      <c r="H742" s="204"/>
      <c r="I742" s="204"/>
      <c r="J742" s="204"/>
      <c r="K742" s="204"/>
      <c r="L742" s="332"/>
      <c r="M742" s="227"/>
      <c r="N742" s="227"/>
      <c r="O742" s="227"/>
      <c r="P742" s="204"/>
      <c r="S742" s="186"/>
      <c r="V742" s="90"/>
    </row>
    <row r="743" spans="1:22" x14ac:dyDescent="0.35">
      <c r="A743">
        <f t="shared" si="30"/>
        <v>0</v>
      </c>
      <c r="G743" s="2"/>
      <c r="H743" s="204"/>
      <c r="I743" s="204"/>
      <c r="J743" s="204"/>
      <c r="K743" s="204"/>
      <c r="L743" s="332"/>
      <c r="M743" s="227"/>
      <c r="N743" s="227"/>
      <c r="O743" s="227"/>
      <c r="P743" s="204"/>
      <c r="S743" s="186"/>
      <c r="V743" s="90"/>
    </row>
    <row r="744" spans="1:22" x14ac:dyDescent="0.35">
      <c r="A744">
        <f t="shared" si="30"/>
        <v>0</v>
      </c>
      <c r="G744" s="2"/>
      <c r="H744" s="204"/>
      <c r="I744" s="204"/>
      <c r="J744" s="204"/>
      <c r="K744" s="204"/>
      <c r="L744" s="332"/>
      <c r="M744" s="227"/>
      <c r="N744" s="227"/>
      <c r="O744" s="227"/>
      <c r="P744" s="204"/>
      <c r="S744" s="186"/>
      <c r="V744" s="90"/>
    </row>
    <row r="745" spans="1:22" x14ac:dyDescent="0.35">
      <c r="A745">
        <f t="shared" si="30"/>
        <v>0</v>
      </c>
      <c r="G745" s="2"/>
      <c r="H745" s="204"/>
      <c r="I745" s="204"/>
      <c r="J745" s="204"/>
      <c r="K745" s="204"/>
      <c r="L745" s="332"/>
      <c r="M745" s="227"/>
      <c r="N745" s="227"/>
      <c r="O745" s="227"/>
      <c r="P745" s="204"/>
      <c r="S745" s="186"/>
      <c r="V745" s="90"/>
    </row>
    <row r="746" spans="1:22" x14ac:dyDescent="0.35">
      <c r="A746">
        <f t="shared" si="30"/>
        <v>0</v>
      </c>
      <c r="G746" s="2"/>
      <c r="H746" s="204"/>
      <c r="I746" s="204"/>
      <c r="J746" s="204"/>
      <c r="K746" s="204"/>
      <c r="L746" s="332"/>
      <c r="M746" s="227"/>
      <c r="N746" s="227"/>
      <c r="O746" s="227"/>
      <c r="P746" s="204"/>
      <c r="S746" s="186"/>
      <c r="V746" s="90"/>
    </row>
    <row r="747" spans="1:22" x14ac:dyDescent="0.35">
      <c r="A747">
        <f t="shared" si="30"/>
        <v>0</v>
      </c>
      <c r="G747" s="2"/>
      <c r="H747" s="204"/>
      <c r="I747" s="204"/>
      <c r="J747" s="204"/>
      <c r="K747" s="204"/>
      <c r="L747" s="332"/>
      <c r="M747" s="227"/>
      <c r="N747" s="227"/>
      <c r="O747" s="227"/>
      <c r="P747" s="204"/>
      <c r="S747" s="186"/>
      <c r="V747" s="90"/>
    </row>
    <row r="748" spans="1:22" x14ac:dyDescent="0.35">
      <c r="A748">
        <f t="shared" si="30"/>
        <v>0</v>
      </c>
      <c r="G748" s="2"/>
      <c r="H748" s="204"/>
      <c r="I748" s="204"/>
      <c r="J748" s="204"/>
      <c r="K748" s="204"/>
      <c r="L748" s="332"/>
      <c r="M748" s="227"/>
      <c r="N748" s="227"/>
      <c r="O748" s="227"/>
      <c r="P748" s="204"/>
      <c r="S748" s="186"/>
      <c r="V748" s="90"/>
    </row>
    <row r="749" spans="1:22" x14ac:dyDescent="0.35">
      <c r="A749">
        <f t="shared" si="30"/>
        <v>0</v>
      </c>
      <c r="G749" s="2"/>
      <c r="H749" s="204"/>
      <c r="I749" s="204"/>
      <c r="J749" s="204"/>
      <c r="K749" s="204"/>
      <c r="L749" s="332"/>
      <c r="M749" s="227"/>
      <c r="N749" s="227"/>
      <c r="O749" s="227"/>
      <c r="P749" s="204"/>
      <c r="S749" s="186"/>
      <c r="V749" s="90"/>
    </row>
    <row r="750" spans="1:22" x14ac:dyDescent="0.35">
      <c r="A750">
        <f t="shared" si="30"/>
        <v>0</v>
      </c>
      <c r="G750" s="2"/>
      <c r="H750" s="204"/>
      <c r="I750" s="204"/>
      <c r="J750" s="204"/>
      <c r="K750" s="204"/>
      <c r="L750" s="332"/>
      <c r="M750" s="227"/>
      <c r="N750" s="227"/>
      <c r="O750" s="227"/>
      <c r="P750" s="204"/>
      <c r="S750" s="186"/>
      <c r="V750" s="90"/>
    </row>
    <row r="751" spans="1:22" x14ac:dyDescent="0.35">
      <c r="A751">
        <f t="shared" si="30"/>
        <v>0</v>
      </c>
      <c r="G751" s="2"/>
      <c r="H751" s="204"/>
      <c r="I751" s="204"/>
      <c r="J751" s="204"/>
      <c r="K751" s="204"/>
      <c r="L751" s="332"/>
      <c r="M751" s="227"/>
      <c r="N751" s="227"/>
      <c r="O751" s="227"/>
      <c r="P751" s="204"/>
      <c r="S751" s="186"/>
      <c r="V751" s="90"/>
    </row>
    <row r="752" spans="1:22" x14ac:dyDescent="0.35">
      <c r="A752">
        <f t="shared" si="30"/>
        <v>0</v>
      </c>
      <c r="G752" s="2"/>
      <c r="H752" s="204"/>
      <c r="I752" s="204"/>
      <c r="J752" s="204"/>
      <c r="K752" s="204"/>
      <c r="L752" s="332"/>
      <c r="M752" s="227"/>
      <c r="N752" s="227"/>
      <c r="O752" s="227"/>
      <c r="P752" s="204"/>
      <c r="S752" s="186"/>
      <c r="V752" s="90"/>
    </row>
    <row r="753" spans="1:22" x14ac:dyDescent="0.35">
      <c r="A753">
        <f t="shared" si="30"/>
        <v>0</v>
      </c>
      <c r="G753" s="2"/>
      <c r="H753" s="204"/>
      <c r="I753" s="204"/>
      <c r="J753" s="204"/>
      <c r="K753" s="204"/>
      <c r="L753" s="332"/>
      <c r="M753" s="227"/>
      <c r="N753" s="227"/>
      <c r="O753" s="227"/>
      <c r="P753" s="204"/>
      <c r="S753" s="186"/>
      <c r="V753" s="90"/>
    </row>
    <row r="754" spans="1:22" x14ac:dyDescent="0.35">
      <c r="A754">
        <f t="shared" si="30"/>
        <v>0</v>
      </c>
      <c r="G754" s="2"/>
      <c r="H754" s="204"/>
      <c r="I754" s="204"/>
      <c r="J754" s="204"/>
      <c r="K754" s="204"/>
      <c r="L754" s="332"/>
      <c r="M754" s="227"/>
      <c r="N754" s="227"/>
      <c r="O754" s="227"/>
      <c r="P754" s="204"/>
      <c r="S754" s="186"/>
      <c r="V754" s="90"/>
    </row>
    <row r="755" spans="1:22" x14ac:dyDescent="0.35">
      <c r="A755">
        <f t="shared" si="30"/>
        <v>0</v>
      </c>
      <c r="G755" s="2"/>
      <c r="H755" s="204"/>
      <c r="I755" s="204"/>
      <c r="J755" s="204"/>
      <c r="K755" s="204"/>
      <c r="L755" s="332"/>
      <c r="M755" s="227"/>
      <c r="N755" s="227"/>
      <c r="O755" s="227"/>
      <c r="P755" s="204"/>
      <c r="S755" s="186"/>
      <c r="V755" s="90"/>
    </row>
    <row r="756" spans="1:22" x14ac:dyDescent="0.35">
      <c r="A756">
        <f t="shared" si="30"/>
        <v>0</v>
      </c>
      <c r="G756" s="2"/>
      <c r="H756" s="204"/>
      <c r="I756" s="204"/>
      <c r="J756" s="204"/>
      <c r="K756" s="204"/>
      <c r="L756" s="332"/>
      <c r="M756" s="227"/>
      <c r="N756" s="227"/>
      <c r="O756" s="227"/>
      <c r="P756" s="204"/>
      <c r="S756" s="186"/>
      <c r="V756" s="90"/>
    </row>
    <row r="757" spans="1:22" x14ac:dyDescent="0.35">
      <c r="A757">
        <f t="shared" si="30"/>
        <v>0</v>
      </c>
      <c r="G757" s="2"/>
      <c r="H757" s="204"/>
      <c r="I757" s="204"/>
      <c r="J757" s="204"/>
      <c r="K757" s="204"/>
      <c r="L757" s="332"/>
      <c r="M757" s="227"/>
      <c r="N757" s="227"/>
      <c r="O757" s="227"/>
      <c r="P757" s="204"/>
      <c r="S757" s="186"/>
      <c r="V757" s="90"/>
    </row>
    <row r="758" spans="1:22" x14ac:dyDescent="0.35">
      <c r="A758">
        <f t="shared" si="30"/>
        <v>0</v>
      </c>
      <c r="G758" s="2"/>
      <c r="H758" s="204"/>
      <c r="I758" s="204"/>
      <c r="J758" s="204"/>
      <c r="K758" s="204"/>
      <c r="L758" s="332"/>
      <c r="M758" s="227"/>
      <c r="N758" s="227"/>
      <c r="O758" s="227"/>
      <c r="P758" s="204"/>
      <c r="S758" s="186"/>
      <c r="V758" s="90"/>
    </row>
    <row r="759" spans="1:22" x14ac:dyDescent="0.35">
      <c r="A759">
        <f t="shared" si="30"/>
        <v>0</v>
      </c>
      <c r="G759" s="2"/>
      <c r="H759" s="204"/>
      <c r="I759" s="204"/>
      <c r="J759" s="204"/>
      <c r="K759" s="204"/>
      <c r="L759" s="332"/>
      <c r="M759" s="227"/>
      <c r="N759" s="227"/>
      <c r="O759" s="227"/>
      <c r="P759" s="204"/>
      <c r="S759" s="186"/>
      <c r="V759" s="90"/>
    </row>
    <row r="760" spans="1:22" x14ac:dyDescent="0.35">
      <c r="A760">
        <f t="shared" si="30"/>
        <v>0</v>
      </c>
      <c r="G760" s="2"/>
      <c r="H760" s="204"/>
      <c r="I760" s="204"/>
      <c r="J760" s="204"/>
      <c r="K760" s="204"/>
      <c r="L760" s="332"/>
      <c r="M760" s="227"/>
      <c r="N760" s="227"/>
      <c r="O760" s="227"/>
      <c r="P760" s="204"/>
      <c r="S760" s="186"/>
      <c r="V760" s="90"/>
    </row>
    <row r="761" spans="1:22" x14ac:dyDescent="0.35">
      <c r="A761">
        <f t="shared" si="30"/>
        <v>0</v>
      </c>
      <c r="G761" s="2"/>
      <c r="H761" s="204"/>
      <c r="I761" s="204"/>
      <c r="J761" s="204"/>
      <c r="K761" s="204"/>
      <c r="L761" s="332"/>
      <c r="M761" s="227"/>
      <c r="N761" s="227"/>
      <c r="O761" s="227"/>
      <c r="P761" s="204"/>
      <c r="S761" s="186"/>
      <c r="V761" s="90"/>
    </row>
    <row r="762" spans="1:22" x14ac:dyDescent="0.35">
      <c r="A762">
        <f t="shared" si="30"/>
        <v>0</v>
      </c>
      <c r="G762" s="2"/>
      <c r="H762" s="204"/>
      <c r="I762" s="204"/>
      <c r="J762" s="204"/>
      <c r="K762" s="204"/>
      <c r="L762" s="332"/>
      <c r="M762" s="227"/>
      <c r="N762" s="227"/>
      <c r="O762" s="227"/>
      <c r="P762" s="204"/>
      <c r="S762" s="186"/>
      <c r="V762" s="90"/>
    </row>
    <row r="763" spans="1:22" x14ac:dyDescent="0.35">
      <c r="A763">
        <f t="shared" si="30"/>
        <v>0</v>
      </c>
      <c r="G763" s="2"/>
      <c r="H763" s="204"/>
      <c r="I763" s="204"/>
      <c r="J763" s="204"/>
      <c r="K763" s="204"/>
      <c r="L763" s="332"/>
      <c r="M763" s="227"/>
      <c r="N763" s="227"/>
      <c r="O763" s="227"/>
      <c r="P763" s="204"/>
      <c r="S763" s="186"/>
      <c r="V763" s="90"/>
    </row>
    <row r="764" spans="1:22" x14ac:dyDescent="0.35">
      <c r="A764">
        <f t="shared" si="30"/>
        <v>0</v>
      </c>
      <c r="G764" s="2"/>
      <c r="H764" s="204"/>
      <c r="I764" s="204"/>
      <c r="J764" s="204"/>
      <c r="K764" s="204"/>
      <c r="L764" s="332"/>
      <c r="M764" s="227"/>
      <c r="N764" s="227"/>
      <c r="O764" s="227"/>
      <c r="P764" s="204"/>
      <c r="S764" s="186"/>
      <c r="V764" s="90"/>
    </row>
    <row r="765" spans="1:22" x14ac:dyDescent="0.35">
      <c r="A765">
        <f t="shared" si="30"/>
        <v>0</v>
      </c>
      <c r="G765" s="2"/>
      <c r="H765" s="204"/>
      <c r="I765" s="204"/>
      <c r="J765" s="204"/>
      <c r="K765" s="204"/>
      <c r="L765" s="332"/>
      <c r="M765" s="227"/>
      <c r="N765" s="227"/>
      <c r="O765" s="227"/>
      <c r="P765" s="204"/>
      <c r="S765" s="186"/>
      <c r="V765" s="90"/>
    </row>
    <row r="766" spans="1:22" x14ac:dyDescent="0.35">
      <c r="A766">
        <f t="shared" si="30"/>
        <v>0</v>
      </c>
      <c r="G766" s="2"/>
      <c r="H766" s="204"/>
      <c r="I766" s="204"/>
      <c r="J766" s="204"/>
      <c r="K766" s="204"/>
      <c r="L766" s="332"/>
      <c r="M766" s="227"/>
      <c r="N766" s="227"/>
      <c r="O766" s="227"/>
      <c r="P766" s="204"/>
      <c r="S766" s="186"/>
      <c r="V766" s="90"/>
    </row>
    <row r="767" spans="1:22" x14ac:dyDescent="0.35">
      <c r="A767">
        <f t="shared" si="30"/>
        <v>0</v>
      </c>
      <c r="G767" s="2"/>
      <c r="H767" s="204"/>
      <c r="I767" s="204"/>
      <c r="J767" s="204"/>
      <c r="K767" s="204"/>
      <c r="L767" s="332"/>
      <c r="M767" s="227"/>
      <c r="N767" s="227"/>
      <c r="O767" s="227"/>
      <c r="P767" s="204"/>
      <c r="S767" s="186"/>
      <c r="V767" s="90"/>
    </row>
    <row r="768" spans="1:22" x14ac:dyDescent="0.35">
      <c r="A768">
        <f t="shared" si="30"/>
        <v>0</v>
      </c>
      <c r="G768" s="2"/>
      <c r="H768" s="204"/>
      <c r="I768" s="204"/>
      <c r="J768" s="204"/>
      <c r="K768" s="204"/>
      <c r="L768" s="332"/>
      <c r="M768" s="227"/>
      <c r="N768" s="227"/>
      <c r="O768" s="227"/>
      <c r="P768" s="204"/>
      <c r="S768" s="186"/>
      <c r="V768" s="90"/>
    </row>
    <row r="769" spans="1:22" x14ac:dyDescent="0.35">
      <c r="A769">
        <f t="shared" si="30"/>
        <v>0</v>
      </c>
      <c r="G769" s="2"/>
      <c r="H769" s="204"/>
      <c r="I769" s="204"/>
      <c r="J769" s="204"/>
      <c r="K769" s="204"/>
      <c r="L769" s="332"/>
      <c r="M769" s="227"/>
      <c r="N769" s="227"/>
      <c r="O769" s="227"/>
      <c r="P769" s="204"/>
      <c r="S769" s="186"/>
      <c r="V769" s="90"/>
    </row>
    <row r="770" spans="1:22" x14ac:dyDescent="0.35">
      <c r="A770">
        <f t="shared" si="30"/>
        <v>0</v>
      </c>
      <c r="G770" s="2"/>
      <c r="H770" s="204"/>
      <c r="I770" s="204"/>
      <c r="J770" s="204"/>
      <c r="K770" s="204"/>
      <c r="L770" s="332"/>
      <c r="M770" s="227"/>
      <c r="N770" s="227"/>
      <c r="O770" s="227"/>
      <c r="P770" s="204"/>
      <c r="S770" s="186"/>
      <c r="V770" s="90"/>
    </row>
    <row r="771" spans="1:22" x14ac:dyDescent="0.35">
      <c r="A771">
        <f t="shared" si="30"/>
        <v>0</v>
      </c>
      <c r="G771" s="2"/>
      <c r="H771" s="204"/>
      <c r="I771" s="204"/>
      <c r="J771" s="204"/>
      <c r="K771" s="204"/>
      <c r="L771" s="332"/>
      <c r="M771" s="227"/>
      <c r="N771" s="227"/>
      <c r="O771" s="227"/>
      <c r="P771" s="204"/>
      <c r="S771" s="186"/>
      <c r="V771" s="90"/>
    </row>
    <row r="772" spans="1:22" x14ac:dyDescent="0.35">
      <c r="A772">
        <f t="shared" si="30"/>
        <v>0</v>
      </c>
      <c r="G772" s="2"/>
      <c r="H772" s="204"/>
      <c r="I772" s="204"/>
      <c r="J772" s="204"/>
      <c r="K772" s="204"/>
      <c r="L772" s="332"/>
      <c r="M772" s="227"/>
      <c r="N772" s="227"/>
      <c r="O772" s="227"/>
      <c r="P772" s="204"/>
      <c r="S772" s="186"/>
      <c r="V772" s="90"/>
    </row>
    <row r="773" spans="1:22" x14ac:dyDescent="0.35">
      <c r="A773">
        <f t="shared" si="30"/>
        <v>0</v>
      </c>
      <c r="G773" s="2"/>
      <c r="H773" s="204"/>
      <c r="I773" s="204"/>
      <c r="J773" s="204"/>
      <c r="K773" s="204"/>
      <c r="L773" s="332"/>
      <c r="M773" s="227"/>
      <c r="N773" s="227"/>
      <c r="O773" s="227"/>
      <c r="P773" s="204"/>
      <c r="S773" s="186"/>
      <c r="V773" s="90"/>
    </row>
    <row r="774" spans="1:22" x14ac:dyDescent="0.35">
      <c r="A774">
        <f t="shared" si="30"/>
        <v>0</v>
      </c>
      <c r="G774" s="2"/>
      <c r="H774" s="204"/>
      <c r="I774" s="204"/>
      <c r="J774" s="204"/>
      <c r="K774" s="204"/>
      <c r="L774" s="332"/>
      <c r="M774" s="227"/>
      <c r="N774" s="227"/>
      <c r="O774" s="227"/>
      <c r="P774" s="204"/>
      <c r="S774" s="186"/>
      <c r="V774" s="90"/>
    </row>
    <row r="775" spans="1:22" x14ac:dyDescent="0.35">
      <c r="A775">
        <f t="shared" si="30"/>
        <v>0</v>
      </c>
      <c r="G775" s="2"/>
      <c r="H775" s="204"/>
      <c r="I775" s="204"/>
      <c r="J775" s="204"/>
      <c r="K775" s="204"/>
      <c r="L775" s="332"/>
      <c r="M775" s="227"/>
      <c r="N775" s="227"/>
      <c r="O775" s="227"/>
      <c r="P775" s="204"/>
      <c r="S775" s="186"/>
      <c r="V775" s="90"/>
    </row>
    <row r="776" spans="1:22" x14ac:dyDescent="0.35">
      <c r="A776">
        <f t="shared" ref="A776:A839" si="31">IF(B776="",0,COUNTIFS($B$7:$B$999,B776,$C$7:$C$999,C776))</f>
        <v>0</v>
      </c>
      <c r="G776" s="2"/>
      <c r="H776" s="204"/>
      <c r="I776" s="204"/>
      <c r="J776" s="204"/>
      <c r="K776" s="204"/>
      <c r="L776" s="332"/>
      <c r="M776" s="227"/>
      <c r="N776" s="227"/>
      <c r="O776" s="227"/>
      <c r="P776" s="204"/>
      <c r="S776" s="186"/>
      <c r="V776" s="90"/>
    </row>
    <row r="777" spans="1:22" x14ac:dyDescent="0.35">
      <c r="A777">
        <f t="shared" si="31"/>
        <v>0</v>
      </c>
      <c r="G777" s="2"/>
      <c r="H777" s="204"/>
      <c r="I777" s="204"/>
      <c r="J777" s="204"/>
      <c r="K777" s="204"/>
      <c r="L777" s="332"/>
      <c r="M777" s="227"/>
      <c r="N777" s="227"/>
      <c r="O777" s="227"/>
      <c r="P777" s="204"/>
      <c r="S777" s="186"/>
      <c r="V777" s="90"/>
    </row>
    <row r="778" spans="1:22" x14ac:dyDescent="0.35">
      <c r="A778">
        <f t="shared" si="31"/>
        <v>0</v>
      </c>
      <c r="G778" s="2"/>
      <c r="H778" s="204"/>
      <c r="I778" s="204"/>
      <c r="J778" s="204"/>
      <c r="K778" s="204"/>
      <c r="L778" s="332"/>
      <c r="M778" s="227"/>
      <c r="N778" s="227"/>
      <c r="O778" s="227"/>
      <c r="P778" s="204"/>
      <c r="S778" s="186"/>
      <c r="V778" s="90"/>
    </row>
    <row r="779" spans="1:22" x14ac:dyDescent="0.35">
      <c r="A779">
        <f t="shared" si="31"/>
        <v>0</v>
      </c>
      <c r="G779" s="2"/>
      <c r="H779" s="204"/>
      <c r="I779" s="204"/>
      <c r="J779" s="204"/>
      <c r="K779" s="204"/>
      <c r="L779" s="332"/>
      <c r="M779" s="227"/>
      <c r="N779" s="227"/>
      <c r="O779" s="227"/>
      <c r="P779" s="204"/>
      <c r="S779" s="186"/>
      <c r="V779" s="90"/>
    </row>
    <row r="780" spans="1:22" x14ac:dyDescent="0.35">
      <c r="A780">
        <f t="shared" si="31"/>
        <v>0</v>
      </c>
      <c r="G780" s="2"/>
      <c r="H780" s="204"/>
      <c r="I780" s="204"/>
      <c r="J780" s="204"/>
      <c r="K780" s="204"/>
      <c r="L780" s="332"/>
      <c r="M780" s="227"/>
      <c r="N780" s="227"/>
      <c r="O780" s="227"/>
      <c r="P780" s="204"/>
      <c r="S780" s="186"/>
      <c r="V780" s="90"/>
    </row>
    <row r="781" spans="1:22" x14ac:dyDescent="0.35">
      <c r="A781">
        <f t="shared" si="31"/>
        <v>0</v>
      </c>
      <c r="G781" s="2"/>
      <c r="H781" s="204"/>
      <c r="I781" s="204"/>
      <c r="J781" s="204"/>
      <c r="K781" s="204"/>
      <c r="L781" s="332"/>
      <c r="M781" s="227"/>
      <c r="N781" s="227"/>
      <c r="O781" s="227"/>
      <c r="P781" s="204"/>
      <c r="S781" s="186"/>
      <c r="V781" s="90"/>
    </row>
    <row r="782" spans="1:22" x14ac:dyDescent="0.35">
      <c r="A782">
        <f t="shared" si="31"/>
        <v>0</v>
      </c>
      <c r="G782" s="2"/>
      <c r="H782" s="204"/>
      <c r="I782" s="204"/>
      <c r="J782" s="204"/>
      <c r="K782" s="204"/>
      <c r="L782" s="332"/>
      <c r="M782" s="227"/>
      <c r="N782" s="227"/>
      <c r="O782" s="227"/>
      <c r="P782" s="204"/>
      <c r="S782" s="186"/>
      <c r="V782" s="90"/>
    </row>
    <row r="783" spans="1:22" x14ac:dyDescent="0.35">
      <c r="A783">
        <f t="shared" si="31"/>
        <v>0</v>
      </c>
      <c r="G783" s="2"/>
      <c r="H783" s="204"/>
      <c r="I783" s="204"/>
      <c r="J783" s="204"/>
      <c r="K783" s="204"/>
      <c r="L783" s="332"/>
      <c r="M783" s="227"/>
      <c r="N783" s="227"/>
      <c r="O783" s="227"/>
      <c r="P783" s="204"/>
      <c r="S783" s="186"/>
      <c r="V783" s="90"/>
    </row>
    <row r="784" spans="1:22" x14ac:dyDescent="0.35">
      <c r="A784">
        <f t="shared" si="31"/>
        <v>0</v>
      </c>
      <c r="G784" s="2"/>
      <c r="H784" s="204"/>
      <c r="I784" s="204"/>
      <c r="J784" s="204"/>
      <c r="K784" s="204"/>
      <c r="L784" s="332"/>
      <c r="M784" s="227"/>
      <c r="N784" s="227"/>
      <c r="O784" s="227"/>
      <c r="P784" s="204"/>
      <c r="S784" s="186"/>
      <c r="V784" s="90"/>
    </row>
    <row r="785" spans="1:22" x14ac:dyDescent="0.35">
      <c r="A785">
        <f t="shared" si="31"/>
        <v>0</v>
      </c>
      <c r="G785" s="2"/>
      <c r="H785" s="204"/>
      <c r="I785" s="204"/>
      <c r="J785" s="204"/>
      <c r="K785" s="204"/>
      <c r="L785" s="332"/>
      <c r="M785" s="227"/>
      <c r="N785" s="227"/>
      <c r="O785" s="227"/>
      <c r="P785" s="204"/>
      <c r="S785" s="186"/>
      <c r="V785" s="90"/>
    </row>
    <row r="786" spans="1:22" x14ac:dyDescent="0.35">
      <c r="A786">
        <f t="shared" si="31"/>
        <v>0</v>
      </c>
      <c r="G786" s="2"/>
      <c r="H786" s="204"/>
      <c r="I786" s="204"/>
      <c r="J786" s="204"/>
      <c r="K786" s="204"/>
      <c r="L786" s="332"/>
      <c r="M786" s="227"/>
      <c r="N786" s="227"/>
      <c r="O786" s="227"/>
      <c r="P786" s="204"/>
      <c r="S786" s="186"/>
      <c r="V786" s="90"/>
    </row>
    <row r="787" spans="1:22" x14ac:dyDescent="0.35">
      <c r="A787">
        <f t="shared" si="31"/>
        <v>0</v>
      </c>
      <c r="G787" s="2"/>
      <c r="H787" s="204"/>
      <c r="I787" s="204"/>
      <c r="J787" s="204"/>
      <c r="K787" s="204"/>
      <c r="L787" s="332"/>
      <c r="M787" s="227"/>
      <c r="N787" s="227"/>
      <c r="O787" s="227"/>
      <c r="P787" s="204"/>
      <c r="S787" s="186"/>
      <c r="V787" s="90"/>
    </row>
    <row r="788" spans="1:22" x14ac:dyDescent="0.35">
      <c r="A788">
        <f t="shared" si="31"/>
        <v>0</v>
      </c>
      <c r="G788" s="2"/>
      <c r="H788" s="204"/>
      <c r="I788" s="204"/>
      <c r="J788" s="204"/>
      <c r="K788" s="204"/>
      <c r="L788" s="332"/>
      <c r="M788" s="227"/>
      <c r="N788" s="227"/>
      <c r="O788" s="227"/>
      <c r="P788" s="204"/>
      <c r="S788" s="186"/>
      <c r="V788" s="90"/>
    </row>
    <row r="789" spans="1:22" x14ac:dyDescent="0.35">
      <c r="A789">
        <f t="shared" si="31"/>
        <v>0</v>
      </c>
      <c r="G789" s="2"/>
      <c r="H789" s="204"/>
      <c r="I789" s="204"/>
      <c r="J789" s="204"/>
      <c r="K789" s="204"/>
      <c r="L789" s="332"/>
      <c r="M789" s="227"/>
      <c r="N789" s="227"/>
      <c r="O789" s="227"/>
      <c r="P789" s="204"/>
      <c r="S789" s="186"/>
      <c r="V789" s="90"/>
    </row>
    <row r="790" spans="1:22" x14ac:dyDescent="0.35">
      <c r="A790">
        <f t="shared" si="31"/>
        <v>0</v>
      </c>
      <c r="G790" s="2"/>
      <c r="H790" s="204"/>
      <c r="I790" s="204"/>
      <c r="J790" s="204"/>
      <c r="K790" s="204"/>
      <c r="L790" s="332"/>
      <c r="M790" s="227"/>
      <c r="N790" s="227"/>
      <c r="O790" s="227"/>
      <c r="P790" s="204"/>
      <c r="S790" s="186"/>
      <c r="V790" s="90"/>
    </row>
    <row r="791" spans="1:22" x14ac:dyDescent="0.35">
      <c r="A791">
        <f t="shared" si="31"/>
        <v>0</v>
      </c>
      <c r="G791" s="2"/>
      <c r="H791" s="204"/>
      <c r="I791" s="204"/>
      <c r="J791" s="204"/>
      <c r="K791" s="204"/>
      <c r="L791" s="332"/>
      <c r="M791" s="227"/>
      <c r="N791" s="227"/>
      <c r="O791" s="227"/>
      <c r="P791" s="204"/>
      <c r="S791" s="186"/>
      <c r="V791" s="90"/>
    </row>
    <row r="792" spans="1:22" x14ac:dyDescent="0.35">
      <c r="A792">
        <f t="shared" si="31"/>
        <v>0</v>
      </c>
      <c r="G792" s="2"/>
      <c r="H792" s="204"/>
      <c r="I792" s="204"/>
      <c r="J792" s="204"/>
      <c r="K792" s="204"/>
      <c r="L792" s="332"/>
      <c r="M792" s="227"/>
      <c r="N792" s="227"/>
      <c r="O792" s="227"/>
      <c r="P792" s="204"/>
      <c r="S792" s="186"/>
      <c r="V792" s="90"/>
    </row>
    <row r="793" spans="1:22" x14ac:dyDescent="0.35">
      <c r="A793">
        <f t="shared" si="31"/>
        <v>0</v>
      </c>
      <c r="G793" s="2"/>
      <c r="H793" s="204"/>
      <c r="I793" s="204"/>
      <c r="J793" s="204"/>
      <c r="K793" s="204"/>
      <c r="L793" s="332"/>
      <c r="M793" s="227"/>
      <c r="N793" s="227"/>
      <c r="O793" s="227"/>
      <c r="P793" s="204"/>
      <c r="S793" s="186"/>
      <c r="V793" s="90"/>
    </row>
    <row r="794" spans="1:22" x14ac:dyDescent="0.35">
      <c r="A794">
        <f t="shared" si="31"/>
        <v>0</v>
      </c>
      <c r="G794" s="2"/>
      <c r="H794" s="204"/>
      <c r="I794" s="204"/>
      <c r="J794" s="204"/>
      <c r="K794" s="204"/>
      <c r="L794" s="332"/>
      <c r="M794" s="227"/>
      <c r="N794" s="227"/>
      <c r="O794" s="227"/>
      <c r="P794" s="204"/>
      <c r="S794" s="186"/>
      <c r="V794" s="90"/>
    </row>
    <row r="795" spans="1:22" x14ac:dyDescent="0.35">
      <c r="A795">
        <f t="shared" si="31"/>
        <v>0</v>
      </c>
      <c r="G795" s="2"/>
      <c r="H795" s="204"/>
      <c r="I795" s="204"/>
      <c r="J795" s="204"/>
      <c r="K795" s="204"/>
      <c r="L795" s="332"/>
      <c r="M795" s="227"/>
      <c r="N795" s="227"/>
      <c r="O795" s="227"/>
      <c r="P795" s="204"/>
      <c r="S795" s="186"/>
      <c r="V795" s="90"/>
    </row>
    <row r="796" spans="1:22" x14ac:dyDescent="0.35">
      <c r="A796">
        <f t="shared" si="31"/>
        <v>0</v>
      </c>
      <c r="G796" s="2"/>
      <c r="H796" s="204"/>
      <c r="I796" s="204"/>
      <c r="J796" s="204"/>
      <c r="K796" s="204"/>
      <c r="L796" s="332"/>
      <c r="M796" s="227"/>
      <c r="N796" s="227"/>
      <c r="O796" s="227"/>
      <c r="P796" s="204"/>
      <c r="S796" s="186"/>
      <c r="V796" s="90"/>
    </row>
    <row r="797" spans="1:22" x14ac:dyDescent="0.35">
      <c r="A797">
        <f t="shared" si="31"/>
        <v>0</v>
      </c>
      <c r="G797" s="2"/>
      <c r="H797" s="204"/>
      <c r="I797" s="204"/>
      <c r="J797" s="204"/>
      <c r="K797" s="204"/>
      <c r="L797" s="332"/>
      <c r="M797" s="227"/>
      <c r="N797" s="227"/>
      <c r="O797" s="227"/>
      <c r="P797" s="204"/>
      <c r="S797" s="186"/>
      <c r="V797" s="90"/>
    </row>
    <row r="798" spans="1:22" x14ac:dyDescent="0.35">
      <c r="A798">
        <f t="shared" si="31"/>
        <v>0</v>
      </c>
      <c r="G798" s="2"/>
      <c r="H798" s="204"/>
      <c r="I798" s="204"/>
      <c r="J798" s="204"/>
      <c r="K798" s="204"/>
      <c r="L798" s="332"/>
      <c r="M798" s="227"/>
      <c r="N798" s="227"/>
      <c r="O798" s="227"/>
      <c r="P798" s="204"/>
      <c r="S798" s="186"/>
      <c r="V798" s="90"/>
    </row>
    <row r="799" spans="1:22" x14ac:dyDescent="0.35">
      <c r="A799">
        <f t="shared" si="31"/>
        <v>0</v>
      </c>
      <c r="G799" s="2"/>
      <c r="H799" s="204"/>
      <c r="I799" s="204"/>
      <c r="J799" s="204"/>
      <c r="K799" s="204"/>
      <c r="L799" s="332"/>
      <c r="M799" s="227"/>
      <c r="N799" s="227"/>
      <c r="O799" s="227"/>
      <c r="P799" s="204"/>
      <c r="S799" s="186"/>
      <c r="V799" s="90"/>
    </row>
    <row r="800" spans="1:22" x14ac:dyDescent="0.35">
      <c r="A800">
        <f t="shared" si="31"/>
        <v>0</v>
      </c>
      <c r="G800" s="2"/>
      <c r="H800" s="204"/>
      <c r="I800" s="204"/>
      <c r="J800" s="204"/>
      <c r="K800" s="204"/>
      <c r="L800" s="332"/>
      <c r="M800" s="227"/>
      <c r="N800" s="227"/>
      <c r="O800" s="227"/>
      <c r="P800" s="204"/>
      <c r="S800" s="186"/>
      <c r="V800" s="90"/>
    </row>
    <row r="801" spans="1:22" x14ac:dyDescent="0.35">
      <c r="A801">
        <f t="shared" si="31"/>
        <v>0</v>
      </c>
      <c r="G801" s="2"/>
      <c r="H801" s="204"/>
      <c r="I801" s="204"/>
      <c r="J801" s="204"/>
      <c r="K801" s="204"/>
      <c r="L801" s="332"/>
      <c r="M801" s="227"/>
      <c r="N801" s="227"/>
      <c r="O801" s="227"/>
      <c r="P801" s="204"/>
      <c r="S801" s="186"/>
      <c r="V801" s="90"/>
    </row>
    <row r="802" spans="1:22" x14ac:dyDescent="0.35">
      <c r="A802">
        <f t="shared" si="31"/>
        <v>0</v>
      </c>
      <c r="G802" s="2"/>
      <c r="H802" s="204"/>
      <c r="I802" s="204"/>
      <c r="J802" s="204"/>
      <c r="K802" s="204"/>
      <c r="L802" s="332"/>
      <c r="M802" s="227"/>
      <c r="N802" s="227"/>
      <c r="O802" s="227"/>
      <c r="P802" s="204"/>
      <c r="S802" s="186"/>
      <c r="V802" s="90"/>
    </row>
    <row r="803" spans="1:22" x14ac:dyDescent="0.35">
      <c r="A803">
        <f t="shared" si="31"/>
        <v>0</v>
      </c>
      <c r="G803" s="2"/>
      <c r="H803" s="204"/>
      <c r="I803" s="204"/>
      <c r="J803" s="204"/>
      <c r="K803" s="204"/>
      <c r="L803" s="332"/>
      <c r="M803" s="227"/>
      <c r="N803" s="227"/>
      <c r="O803" s="227"/>
      <c r="P803" s="204"/>
      <c r="S803" s="186"/>
      <c r="V803" s="90"/>
    </row>
    <row r="804" spans="1:22" x14ac:dyDescent="0.35">
      <c r="A804">
        <f t="shared" si="31"/>
        <v>0</v>
      </c>
      <c r="G804" s="2"/>
      <c r="H804" s="204"/>
      <c r="I804" s="204"/>
      <c r="J804" s="204"/>
      <c r="K804" s="204"/>
      <c r="L804" s="332"/>
      <c r="M804" s="227"/>
      <c r="N804" s="227"/>
      <c r="O804" s="227"/>
      <c r="P804" s="204"/>
      <c r="S804" s="186"/>
      <c r="V804" s="90"/>
    </row>
    <row r="805" spans="1:22" x14ac:dyDescent="0.35">
      <c r="A805">
        <f t="shared" si="31"/>
        <v>0</v>
      </c>
      <c r="G805" s="2"/>
      <c r="H805" s="204"/>
      <c r="I805" s="204"/>
      <c r="J805" s="204"/>
      <c r="K805" s="204"/>
      <c r="L805" s="332"/>
      <c r="M805" s="227"/>
      <c r="N805" s="227"/>
      <c r="O805" s="227"/>
      <c r="P805" s="204"/>
      <c r="S805" s="186"/>
      <c r="V805" s="90"/>
    </row>
    <row r="806" spans="1:22" x14ac:dyDescent="0.35">
      <c r="A806">
        <f t="shared" si="31"/>
        <v>0</v>
      </c>
      <c r="G806" s="2"/>
      <c r="H806" s="204"/>
      <c r="I806" s="204"/>
      <c r="J806" s="204"/>
      <c r="K806" s="204"/>
      <c r="L806" s="332"/>
      <c r="M806" s="227"/>
      <c r="N806" s="227"/>
      <c r="O806" s="227"/>
      <c r="P806" s="204"/>
      <c r="S806" s="186"/>
      <c r="V806" s="90"/>
    </row>
    <row r="807" spans="1:22" x14ac:dyDescent="0.35">
      <c r="A807">
        <f t="shared" si="31"/>
        <v>0</v>
      </c>
      <c r="G807" s="2"/>
      <c r="H807" s="204"/>
      <c r="I807" s="204"/>
      <c r="J807" s="204"/>
      <c r="K807" s="204"/>
      <c r="L807" s="332"/>
      <c r="M807" s="227"/>
      <c r="N807" s="227"/>
      <c r="O807" s="227"/>
      <c r="P807" s="204"/>
      <c r="S807" s="186"/>
      <c r="V807" s="90"/>
    </row>
    <row r="808" spans="1:22" x14ac:dyDescent="0.35">
      <c r="A808">
        <f t="shared" si="31"/>
        <v>0</v>
      </c>
      <c r="G808" s="2"/>
      <c r="H808" s="204"/>
      <c r="I808" s="204"/>
      <c r="J808" s="204"/>
      <c r="K808" s="204"/>
      <c r="L808" s="332"/>
      <c r="M808" s="227"/>
      <c r="N808" s="227"/>
      <c r="O808" s="227"/>
      <c r="P808" s="204"/>
      <c r="S808" s="186"/>
      <c r="V808" s="90"/>
    </row>
    <row r="809" spans="1:22" x14ac:dyDescent="0.35">
      <c r="A809">
        <f t="shared" si="31"/>
        <v>0</v>
      </c>
      <c r="G809" s="2"/>
      <c r="H809" s="204"/>
      <c r="I809" s="204"/>
      <c r="J809" s="204"/>
      <c r="K809" s="204"/>
      <c r="L809" s="332"/>
      <c r="M809" s="227"/>
      <c r="N809" s="227"/>
      <c r="O809" s="227"/>
      <c r="P809" s="204"/>
      <c r="S809" s="186"/>
      <c r="V809" s="90"/>
    </row>
    <row r="810" spans="1:22" x14ac:dyDescent="0.35">
      <c r="A810">
        <f t="shared" si="31"/>
        <v>0</v>
      </c>
      <c r="G810" s="2"/>
      <c r="H810" s="204"/>
      <c r="I810" s="204"/>
      <c r="J810" s="204"/>
      <c r="K810" s="204"/>
      <c r="L810" s="332"/>
      <c r="M810" s="227"/>
      <c r="N810" s="227"/>
      <c r="O810" s="227"/>
      <c r="P810" s="204"/>
      <c r="S810" s="186"/>
      <c r="V810" s="90"/>
    </row>
    <row r="811" spans="1:22" x14ac:dyDescent="0.35">
      <c r="A811">
        <f t="shared" si="31"/>
        <v>0</v>
      </c>
      <c r="G811" s="2"/>
      <c r="H811" s="204"/>
      <c r="I811" s="204"/>
      <c r="J811" s="204"/>
      <c r="K811" s="204"/>
      <c r="L811" s="332"/>
      <c r="M811" s="227"/>
      <c r="N811" s="227"/>
      <c r="O811" s="227"/>
      <c r="P811" s="204"/>
      <c r="S811" s="186"/>
      <c r="V811" s="90"/>
    </row>
    <row r="812" spans="1:22" x14ac:dyDescent="0.35">
      <c r="A812">
        <f t="shared" si="31"/>
        <v>0</v>
      </c>
      <c r="G812" s="2"/>
      <c r="H812" s="204"/>
      <c r="I812" s="204"/>
      <c r="J812" s="204"/>
      <c r="K812" s="204"/>
      <c r="L812" s="332"/>
      <c r="M812" s="227"/>
      <c r="N812" s="227"/>
      <c r="O812" s="227"/>
      <c r="P812" s="204"/>
      <c r="S812" s="186"/>
      <c r="V812" s="90"/>
    </row>
    <row r="813" spans="1:22" x14ac:dyDescent="0.35">
      <c r="A813">
        <f t="shared" si="31"/>
        <v>0</v>
      </c>
      <c r="G813" s="2"/>
      <c r="H813" s="204"/>
      <c r="I813" s="204"/>
      <c r="J813" s="204"/>
      <c r="K813" s="204"/>
      <c r="L813" s="332"/>
      <c r="M813" s="227"/>
      <c r="N813" s="227"/>
      <c r="O813" s="227"/>
      <c r="P813" s="204"/>
      <c r="S813" s="186"/>
      <c r="V813" s="90"/>
    </row>
    <row r="814" spans="1:22" x14ac:dyDescent="0.35">
      <c r="A814">
        <f t="shared" si="31"/>
        <v>0</v>
      </c>
      <c r="G814" s="2"/>
      <c r="H814" s="204"/>
      <c r="I814" s="204"/>
      <c r="J814" s="204"/>
      <c r="K814" s="204"/>
      <c r="L814" s="332"/>
      <c r="M814" s="227"/>
      <c r="N814" s="227"/>
      <c r="O814" s="227"/>
      <c r="P814" s="204"/>
      <c r="S814" s="186"/>
      <c r="V814" s="90"/>
    </row>
    <row r="815" spans="1:22" x14ac:dyDescent="0.35">
      <c r="A815">
        <f t="shared" si="31"/>
        <v>0</v>
      </c>
      <c r="G815" s="2"/>
      <c r="H815" s="204"/>
      <c r="I815" s="204"/>
      <c r="J815" s="204"/>
      <c r="K815" s="204"/>
      <c r="L815" s="332"/>
      <c r="M815" s="227"/>
      <c r="N815" s="227"/>
      <c r="O815" s="227"/>
      <c r="P815" s="204"/>
      <c r="S815" s="186"/>
      <c r="V815" s="90"/>
    </row>
    <row r="816" spans="1:22" x14ac:dyDescent="0.35">
      <c r="A816">
        <f t="shared" si="31"/>
        <v>0</v>
      </c>
      <c r="G816" s="2"/>
      <c r="H816" s="204"/>
      <c r="I816" s="204"/>
      <c r="J816" s="204"/>
      <c r="K816" s="204"/>
      <c r="L816" s="332"/>
      <c r="M816" s="227"/>
      <c r="N816" s="227"/>
      <c r="O816" s="227"/>
      <c r="P816" s="204"/>
      <c r="S816" s="186"/>
      <c r="V816" s="90"/>
    </row>
    <row r="817" spans="1:22" x14ac:dyDescent="0.35">
      <c r="A817">
        <f t="shared" si="31"/>
        <v>0</v>
      </c>
      <c r="G817" s="2"/>
      <c r="H817" s="204"/>
      <c r="I817" s="204"/>
      <c r="J817" s="204"/>
      <c r="K817" s="204"/>
      <c r="L817" s="332"/>
      <c r="M817" s="227"/>
      <c r="N817" s="227"/>
      <c r="O817" s="227"/>
      <c r="P817" s="204"/>
      <c r="S817" s="186"/>
      <c r="V817" s="90"/>
    </row>
    <row r="818" spans="1:22" x14ac:dyDescent="0.35">
      <c r="A818">
        <f t="shared" si="31"/>
        <v>0</v>
      </c>
      <c r="G818" s="2"/>
      <c r="H818" s="204"/>
      <c r="I818" s="204"/>
      <c r="J818" s="204"/>
      <c r="K818" s="204"/>
      <c r="L818" s="332"/>
      <c r="M818" s="227"/>
      <c r="N818" s="227"/>
      <c r="O818" s="227"/>
      <c r="P818" s="204"/>
      <c r="S818" s="186"/>
      <c r="V818" s="90"/>
    </row>
    <row r="819" spans="1:22" x14ac:dyDescent="0.35">
      <c r="A819">
        <f t="shared" si="31"/>
        <v>0</v>
      </c>
      <c r="G819" s="2"/>
      <c r="H819" s="204"/>
      <c r="I819" s="204"/>
      <c r="J819" s="204"/>
      <c r="K819" s="204"/>
      <c r="L819" s="332"/>
      <c r="M819" s="227"/>
      <c r="N819" s="227"/>
      <c r="O819" s="227"/>
      <c r="P819" s="204"/>
      <c r="S819" s="186"/>
      <c r="V819" s="90"/>
    </row>
    <row r="820" spans="1:22" x14ac:dyDescent="0.35">
      <c r="A820">
        <f t="shared" si="31"/>
        <v>0</v>
      </c>
      <c r="G820" s="2"/>
      <c r="H820" s="204"/>
      <c r="I820" s="204"/>
      <c r="J820" s="204"/>
      <c r="K820" s="204"/>
      <c r="L820" s="332"/>
      <c r="M820" s="227"/>
      <c r="N820" s="227"/>
      <c r="O820" s="227"/>
      <c r="P820" s="204"/>
      <c r="S820" s="186"/>
      <c r="V820" s="90"/>
    </row>
    <row r="821" spans="1:22" x14ac:dyDescent="0.35">
      <c r="A821">
        <f t="shared" si="31"/>
        <v>0</v>
      </c>
      <c r="G821" s="2"/>
      <c r="H821" s="204"/>
      <c r="I821" s="204"/>
      <c r="J821" s="204"/>
      <c r="K821" s="204"/>
      <c r="L821" s="332"/>
      <c r="M821" s="227"/>
      <c r="N821" s="227"/>
      <c r="O821" s="227"/>
      <c r="P821" s="204"/>
      <c r="S821" s="186"/>
      <c r="V821" s="90"/>
    </row>
    <row r="822" spans="1:22" x14ac:dyDescent="0.35">
      <c r="A822">
        <f t="shared" si="31"/>
        <v>0</v>
      </c>
      <c r="G822" s="2"/>
      <c r="H822" s="204"/>
      <c r="I822" s="204"/>
      <c r="J822" s="204"/>
      <c r="K822" s="204"/>
      <c r="L822" s="332"/>
      <c r="M822" s="227"/>
      <c r="N822" s="227"/>
      <c r="O822" s="227"/>
      <c r="P822" s="204"/>
      <c r="S822" s="186"/>
      <c r="V822" s="90"/>
    </row>
    <row r="823" spans="1:22" x14ac:dyDescent="0.35">
      <c r="A823">
        <f t="shared" si="31"/>
        <v>0</v>
      </c>
      <c r="G823" s="2"/>
      <c r="H823" s="204"/>
      <c r="I823" s="204"/>
      <c r="J823" s="204"/>
      <c r="K823" s="204"/>
      <c r="L823" s="332"/>
      <c r="M823" s="227"/>
      <c r="N823" s="227"/>
      <c r="O823" s="227"/>
      <c r="P823" s="204"/>
      <c r="S823" s="186"/>
      <c r="V823" s="90"/>
    </row>
    <row r="824" spans="1:22" x14ac:dyDescent="0.35">
      <c r="A824">
        <f t="shared" si="31"/>
        <v>0</v>
      </c>
      <c r="G824" s="2"/>
      <c r="H824" s="204"/>
      <c r="I824" s="204"/>
      <c r="J824" s="204"/>
      <c r="K824" s="204"/>
      <c r="L824" s="332"/>
      <c r="M824" s="227"/>
      <c r="N824" s="227"/>
      <c r="O824" s="227"/>
      <c r="P824" s="204"/>
      <c r="S824" s="186"/>
      <c r="V824" s="90"/>
    </row>
    <row r="825" spans="1:22" x14ac:dyDescent="0.35">
      <c r="A825">
        <f t="shared" si="31"/>
        <v>0</v>
      </c>
      <c r="G825" s="2"/>
      <c r="H825" s="204"/>
      <c r="I825" s="204"/>
      <c r="J825" s="204"/>
      <c r="K825" s="204"/>
      <c r="L825" s="332"/>
      <c r="M825" s="227"/>
      <c r="N825" s="227"/>
      <c r="O825" s="227"/>
      <c r="P825" s="204"/>
      <c r="S825" s="186"/>
      <c r="V825" s="90"/>
    </row>
    <row r="826" spans="1:22" x14ac:dyDescent="0.35">
      <c r="A826">
        <f t="shared" si="31"/>
        <v>0</v>
      </c>
      <c r="G826" s="2"/>
      <c r="H826" s="204"/>
      <c r="I826" s="204"/>
      <c r="J826" s="204"/>
      <c r="K826" s="204"/>
      <c r="L826" s="332"/>
      <c r="M826" s="227"/>
      <c r="N826" s="227"/>
      <c r="O826" s="227"/>
      <c r="P826" s="204"/>
      <c r="S826" s="186"/>
      <c r="V826" s="90"/>
    </row>
    <row r="827" spans="1:22" x14ac:dyDescent="0.35">
      <c r="A827">
        <f t="shared" si="31"/>
        <v>0</v>
      </c>
      <c r="G827" s="2"/>
      <c r="H827" s="204"/>
      <c r="I827" s="204"/>
      <c r="J827" s="204"/>
      <c r="K827" s="204"/>
      <c r="L827" s="332"/>
      <c r="M827" s="227"/>
      <c r="N827" s="227"/>
      <c r="O827" s="227"/>
      <c r="P827" s="204"/>
      <c r="S827" s="186"/>
      <c r="V827" s="90"/>
    </row>
    <row r="828" spans="1:22" x14ac:dyDescent="0.35">
      <c r="A828">
        <f t="shared" si="31"/>
        <v>0</v>
      </c>
      <c r="G828" s="2"/>
      <c r="H828" s="204"/>
      <c r="I828" s="204"/>
      <c r="J828" s="204"/>
      <c r="K828" s="204"/>
      <c r="L828" s="332"/>
      <c r="M828" s="227"/>
      <c r="N828" s="227"/>
      <c r="O828" s="227"/>
      <c r="P828" s="204"/>
      <c r="S828" s="186"/>
      <c r="V828" s="90"/>
    </row>
    <row r="829" spans="1:22" x14ac:dyDescent="0.35">
      <c r="A829">
        <f t="shared" si="31"/>
        <v>0</v>
      </c>
      <c r="G829" s="2"/>
      <c r="H829" s="204"/>
      <c r="I829" s="204"/>
      <c r="J829" s="204"/>
      <c r="K829" s="204"/>
      <c r="L829" s="332"/>
      <c r="M829" s="227"/>
      <c r="N829" s="227"/>
      <c r="O829" s="227"/>
      <c r="P829" s="204"/>
      <c r="S829" s="186"/>
      <c r="V829" s="90"/>
    </row>
    <row r="830" spans="1:22" x14ac:dyDescent="0.35">
      <c r="A830">
        <f t="shared" si="31"/>
        <v>0</v>
      </c>
      <c r="G830" s="2"/>
      <c r="H830" s="204"/>
      <c r="I830" s="204"/>
      <c r="J830" s="204"/>
      <c r="K830" s="204"/>
      <c r="L830" s="332"/>
      <c r="M830" s="227"/>
      <c r="N830" s="227"/>
      <c r="O830" s="227"/>
      <c r="P830" s="204"/>
      <c r="S830" s="186"/>
      <c r="V830" s="90"/>
    </row>
    <row r="831" spans="1:22" x14ac:dyDescent="0.35">
      <c r="A831">
        <f t="shared" si="31"/>
        <v>0</v>
      </c>
      <c r="G831" s="2"/>
      <c r="H831" s="204"/>
      <c r="I831" s="204"/>
      <c r="J831" s="204"/>
      <c r="K831" s="204"/>
      <c r="L831" s="332"/>
      <c r="M831" s="227"/>
      <c r="N831" s="227"/>
      <c r="O831" s="227"/>
      <c r="P831" s="204"/>
      <c r="S831" s="186"/>
      <c r="V831" s="90"/>
    </row>
    <row r="832" spans="1:22" x14ac:dyDescent="0.35">
      <c r="A832">
        <f t="shared" si="31"/>
        <v>0</v>
      </c>
      <c r="G832" s="2"/>
      <c r="H832" s="204"/>
      <c r="I832" s="204"/>
      <c r="J832" s="204"/>
      <c r="K832" s="204"/>
      <c r="L832" s="332"/>
      <c r="M832" s="227"/>
      <c r="N832" s="227"/>
      <c r="O832" s="227"/>
      <c r="P832" s="204"/>
      <c r="S832" s="186"/>
      <c r="V832" s="90"/>
    </row>
    <row r="833" spans="1:22" x14ac:dyDescent="0.35">
      <c r="A833">
        <f t="shared" si="31"/>
        <v>0</v>
      </c>
      <c r="G833" s="2"/>
      <c r="H833" s="204"/>
      <c r="I833" s="204"/>
      <c r="J833" s="204"/>
      <c r="K833" s="204"/>
      <c r="L833" s="332"/>
      <c r="M833" s="227"/>
      <c r="N833" s="227"/>
      <c r="O833" s="227"/>
      <c r="P833" s="204"/>
      <c r="S833" s="186"/>
      <c r="V833" s="90"/>
    </row>
    <row r="834" spans="1:22" x14ac:dyDescent="0.35">
      <c r="A834">
        <f t="shared" si="31"/>
        <v>0</v>
      </c>
      <c r="G834" s="2"/>
      <c r="H834" s="204"/>
      <c r="I834" s="204"/>
      <c r="J834" s="204"/>
      <c r="K834" s="204"/>
      <c r="L834" s="332"/>
      <c r="M834" s="227"/>
      <c r="N834" s="227"/>
      <c r="O834" s="227"/>
      <c r="P834" s="204"/>
      <c r="S834" s="186"/>
      <c r="V834" s="90"/>
    </row>
    <row r="835" spans="1:22" x14ac:dyDescent="0.35">
      <c r="A835">
        <f t="shared" si="31"/>
        <v>0</v>
      </c>
      <c r="G835" s="2"/>
      <c r="H835" s="204"/>
      <c r="I835" s="204"/>
      <c r="J835" s="204"/>
      <c r="K835" s="204"/>
      <c r="L835" s="332"/>
      <c r="M835" s="227"/>
      <c r="N835" s="227"/>
      <c r="O835" s="227"/>
      <c r="P835" s="204"/>
      <c r="S835" s="186"/>
      <c r="V835" s="90"/>
    </row>
    <row r="836" spans="1:22" x14ac:dyDescent="0.35">
      <c r="A836">
        <f t="shared" si="31"/>
        <v>0</v>
      </c>
      <c r="G836" s="2"/>
      <c r="H836" s="204"/>
      <c r="I836" s="204"/>
      <c r="J836" s="204"/>
      <c r="K836" s="204"/>
      <c r="L836" s="332"/>
      <c r="M836" s="227"/>
      <c r="N836" s="227"/>
      <c r="O836" s="227"/>
      <c r="P836" s="204"/>
      <c r="S836" s="186"/>
      <c r="V836" s="90"/>
    </row>
    <row r="837" spans="1:22" x14ac:dyDescent="0.35">
      <c r="A837">
        <f t="shared" si="31"/>
        <v>0</v>
      </c>
      <c r="G837" s="2"/>
      <c r="H837" s="204"/>
      <c r="I837" s="204"/>
      <c r="J837" s="204"/>
      <c r="K837" s="204"/>
      <c r="L837" s="332"/>
      <c r="M837" s="227"/>
      <c r="N837" s="227"/>
      <c r="O837" s="227"/>
      <c r="P837" s="204"/>
      <c r="S837" s="186"/>
      <c r="V837" s="90"/>
    </row>
    <row r="838" spans="1:22" x14ac:dyDescent="0.35">
      <c r="A838">
        <f t="shared" si="31"/>
        <v>0</v>
      </c>
      <c r="G838" s="2"/>
      <c r="H838" s="204"/>
      <c r="I838" s="204"/>
      <c r="J838" s="204"/>
      <c r="K838" s="204"/>
      <c r="L838" s="332"/>
      <c r="M838" s="227"/>
      <c r="N838" s="227"/>
      <c r="O838" s="227"/>
      <c r="P838" s="204"/>
      <c r="S838" s="186"/>
      <c r="V838" s="90"/>
    </row>
    <row r="839" spans="1:22" x14ac:dyDescent="0.35">
      <c r="A839">
        <f t="shared" si="31"/>
        <v>0</v>
      </c>
      <c r="G839" s="2"/>
      <c r="H839" s="204"/>
      <c r="I839" s="204"/>
      <c r="J839" s="204"/>
      <c r="K839" s="204"/>
      <c r="L839" s="332"/>
      <c r="M839" s="227"/>
      <c r="N839" s="227"/>
      <c r="O839" s="227"/>
      <c r="P839" s="204"/>
      <c r="S839" s="186"/>
      <c r="V839" s="90"/>
    </row>
    <row r="840" spans="1:22" x14ac:dyDescent="0.35">
      <c r="A840">
        <f t="shared" ref="A840:A903" si="32">IF(B840="",0,COUNTIFS($B$7:$B$999,B840,$C$7:$C$999,C840))</f>
        <v>0</v>
      </c>
      <c r="G840" s="2"/>
      <c r="H840" s="204"/>
      <c r="I840" s="204"/>
      <c r="J840" s="204"/>
      <c r="K840" s="204"/>
      <c r="L840" s="332"/>
      <c r="M840" s="227"/>
      <c r="N840" s="227"/>
      <c r="O840" s="227"/>
      <c r="P840" s="204"/>
      <c r="S840" s="186"/>
      <c r="V840" s="90"/>
    </row>
    <row r="841" spans="1:22" x14ac:dyDescent="0.35">
      <c r="A841">
        <f t="shared" si="32"/>
        <v>0</v>
      </c>
      <c r="G841" s="2"/>
      <c r="H841" s="204"/>
      <c r="I841" s="204"/>
      <c r="J841" s="204"/>
      <c r="K841" s="204"/>
      <c r="L841" s="332"/>
      <c r="M841" s="227"/>
      <c r="N841" s="227"/>
      <c r="O841" s="227"/>
      <c r="P841" s="204"/>
      <c r="S841" s="186"/>
      <c r="V841" s="90"/>
    </row>
    <row r="842" spans="1:22" x14ac:dyDescent="0.35">
      <c r="A842">
        <f t="shared" si="32"/>
        <v>0</v>
      </c>
      <c r="G842" s="2"/>
      <c r="H842" s="204"/>
      <c r="I842" s="204"/>
      <c r="J842" s="204"/>
      <c r="K842" s="204"/>
      <c r="L842" s="332"/>
      <c r="M842" s="227"/>
      <c r="N842" s="227"/>
      <c r="O842" s="227"/>
      <c r="P842" s="204"/>
      <c r="S842" s="186"/>
      <c r="V842" s="90"/>
    </row>
    <row r="843" spans="1:22" x14ac:dyDescent="0.35">
      <c r="A843">
        <f t="shared" si="32"/>
        <v>0</v>
      </c>
      <c r="G843" s="2"/>
      <c r="H843" s="204"/>
      <c r="I843" s="204"/>
      <c r="J843" s="204"/>
      <c r="K843" s="204"/>
      <c r="L843" s="332"/>
      <c r="M843" s="227"/>
      <c r="N843" s="227"/>
      <c r="O843" s="227"/>
      <c r="P843" s="204"/>
      <c r="S843" s="186"/>
      <c r="V843" s="90"/>
    </row>
    <row r="844" spans="1:22" x14ac:dyDescent="0.35">
      <c r="A844">
        <f t="shared" si="32"/>
        <v>0</v>
      </c>
      <c r="G844" s="2"/>
      <c r="H844" s="204"/>
      <c r="I844" s="204"/>
      <c r="J844" s="204"/>
      <c r="K844" s="204"/>
      <c r="L844" s="332"/>
      <c r="M844" s="227"/>
      <c r="N844" s="227"/>
      <c r="O844" s="227"/>
      <c r="P844" s="204"/>
      <c r="S844" s="186"/>
      <c r="V844" s="90"/>
    </row>
    <row r="845" spans="1:22" x14ac:dyDescent="0.35">
      <c r="A845">
        <f t="shared" si="32"/>
        <v>0</v>
      </c>
      <c r="G845" s="2"/>
      <c r="H845" s="204"/>
      <c r="I845" s="204"/>
      <c r="J845" s="204"/>
      <c r="K845" s="204"/>
      <c r="L845" s="332"/>
      <c r="M845" s="227"/>
      <c r="N845" s="227"/>
      <c r="O845" s="227"/>
      <c r="P845" s="204"/>
      <c r="S845" s="186"/>
      <c r="V845" s="90"/>
    </row>
    <row r="846" spans="1:22" x14ac:dyDescent="0.35">
      <c r="A846">
        <f t="shared" si="32"/>
        <v>0</v>
      </c>
      <c r="G846" s="2"/>
      <c r="H846" s="204"/>
      <c r="I846" s="204"/>
      <c r="J846" s="204"/>
      <c r="K846" s="204"/>
      <c r="L846" s="332"/>
      <c r="M846" s="227"/>
      <c r="N846" s="227"/>
      <c r="O846" s="227"/>
      <c r="P846" s="204"/>
      <c r="S846" s="186"/>
      <c r="V846" s="90"/>
    </row>
    <row r="847" spans="1:22" x14ac:dyDescent="0.35">
      <c r="A847">
        <f t="shared" si="32"/>
        <v>0</v>
      </c>
      <c r="G847" s="2"/>
      <c r="H847" s="204"/>
      <c r="I847" s="204"/>
      <c r="J847" s="204"/>
      <c r="K847" s="204"/>
      <c r="L847" s="332"/>
      <c r="M847" s="227"/>
      <c r="N847" s="227"/>
      <c r="O847" s="227"/>
      <c r="P847" s="204"/>
      <c r="S847" s="186"/>
      <c r="V847" s="90"/>
    </row>
    <row r="848" spans="1:22" x14ac:dyDescent="0.35">
      <c r="A848">
        <f t="shared" si="32"/>
        <v>0</v>
      </c>
      <c r="G848" s="2"/>
      <c r="H848" s="204"/>
      <c r="I848" s="204"/>
      <c r="J848" s="204"/>
      <c r="K848" s="204"/>
      <c r="L848" s="332"/>
      <c r="M848" s="227"/>
      <c r="N848" s="227"/>
      <c r="O848" s="227"/>
      <c r="P848" s="204"/>
      <c r="S848" s="186"/>
      <c r="V848" s="90"/>
    </row>
    <row r="849" spans="1:22" x14ac:dyDescent="0.35">
      <c r="A849">
        <f t="shared" si="32"/>
        <v>0</v>
      </c>
      <c r="G849" s="2"/>
      <c r="H849" s="204"/>
      <c r="I849" s="204"/>
      <c r="J849" s="204"/>
      <c r="K849" s="204"/>
      <c r="L849" s="332"/>
      <c r="M849" s="227"/>
      <c r="N849" s="227"/>
      <c r="O849" s="227"/>
      <c r="P849" s="204"/>
      <c r="S849" s="186"/>
      <c r="V849" s="90"/>
    </row>
    <row r="850" spans="1:22" x14ac:dyDescent="0.35">
      <c r="A850">
        <f t="shared" si="32"/>
        <v>0</v>
      </c>
      <c r="G850" s="2"/>
      <c r="H850" s="204"/>
      <c r="I850" s="204"/>
      <c r="J850" s="204"/>
      <c r="K850" s="204"/>
      <c r="L850" s="332"/>
      <c r="M850" s="227"/>
      <c r="N850" s="227"/>
      <c r="O850" s="227"/>
      <c r="P850" s="204"/>
      <c r="S850" s="186"/>
      <c r="V850" s="90"/>
    </row>
    <row r="851" spans="1:22" x14ac:dyDescent="0.35">
      <c r="A851">
        <f t="shared" si="32"/>
        <v>0</v>
      </c>
      <c r="G851" s="2"/>
      <c r="H851" s="204"/>
      <c r="I851" s="204"/>
      <c r="J851" s="204"/>
      <c r="K851" s="204"/>
      <c r="L851" s="332"/>
      <c r="M851" s="227"/>
      <c r="N851" s="227"/>
      <c r="O851" s="227"/>
      <c r="P851" s="204"/>
      <c r="S851" s="186"/>
      <c r="V851" s="90"/>
    </row>
    <row r="852" spans="1:22" x14ac:dyDescent="0.35">
      <c r="A852">
        <f t="shared" si="32"/>
        <v>0</v>
      </c>
      <c r="G852" s="2"/>
      <c r="H852" s="204"/>
      <c r="I852" s="204"/>
      <c r="J852" s="204"/>
      <c r="K852" s="204"/>
      <c r="L852" s="332"/>
      <c r="M852" s="227"/>
      <c r="N852" s="227"/>
      <c r="O852" s="227"/>
      <c r="P852" s="204"/>
      <c r="S852" s="186"/>
      <c r="V852" s="90"/>
    </row>
    <row r="853" spans="1:22" x14ac:dyDescent="0.35">
      <c r="A853">
        <f t="shared" si="32"/>
        <v>0</v>
      </c>
      <c r="G853" s="2"/>
      <c r="H853" s="204"/>
      <c r="I853" s="204"/>
      <c r="J853" s="204"/>
      <c r="K853" s="204"/>
      <c r="L853" s="332"/>
      <c r="M853" s="227"/>
      <c r="N853" s="227"/>
      <c r="O853" s="227"/>
      <c r="P853" s="204"/>
      <c r="S853" s="186"/>
      <c r="V853" s="90"/>
    </row>
    <row r="854" spans="1:22" x14ac:dyDescent="0.35">
      <c r="A854">
        <f t="shared" si="32"/>
        <v>0</v>
      </c>
      <c r="G854" s="2"/>
      <c r="H854" s="204"/>
      <c r="I854" s="204"/>
      <c r="J854" s="204"/>
      <c r="K854" s="204"/>
      <c r="L854" s="332"/>
      <c r="M854" s="227"/>
      <c r="N854" s="227"/>
      <c r="O854" s="227"/>
      <c r="P854" s="204"/>
      <c r="S854" s="186"/>
      <c r="V854" s="90"/>
    </row>
    <row r="855" spans="1:22" x14ac:dyDescent="0.35">
      <c r="A855">
        <f t="shared" si="32"/>
        <v>0</v>
      </c>
      <c r="G855" s="2"/>
      <c r="H855" s="204"/>
      <c r="I855" s="204"/>
      <c r="J855" s="204"/>
      <c r="K855" s="204"/>
      <c r="L855" s="332"/>
      <c r="M855" s="227"/>
      <c r="N855" s="227"/>
      <c r="O855" s="227"/>
      <c r="P855" s="204"/>
      <c r="S855" s="186"/>
      <c r="V855" s="90"/>
    </row>
    <row r="856" spans="1:22" x14ac:dyDescent="0.35">
      <c r="A856">
        <f t="shared" si="32"/>
        <v>0</v>
      </c>
      <c r="G856" s="2"/>
      <c r="H856" s="204"/>
      <c r="I856" s="204"/>
      <c r="J856" s="204"/>
      <c r="K856" s="204"/>
      <c r="L856" s="332"/>
      <c r="M856" s="227"/>
      <c r="N856" s="227"/>
      <c r="O856" s="227"/>
      <c r="P856" s="204"/>
      <c r="S856" s="186"/>
      <c r="V856" s="90"/>
    </row>
    <row r="857" spans="1:22" x14ac:dyDescent="0.35">
      <c r="A857">
        <f t="shared" si="32"/>
        <v>0</v>
      </c>
      <c r="G857" s="2"/>
      <c r="H857" s="204"/>
      <c r="I857" s="204"/>
      <c r="J857" s="204"/>
      <c r="K857" s="204"/>
      <c r="L857" s="332"/>
      <c r="M857" s="227"/>
      <c r="N857" s="227"/>
      <c r="O857" s="227"/>
      <c r="P857" s="204"/>
      <c r="S857" s="186"/>
      <c r="V857" s="90"/>
    </row>
    <row r="858" spans="1:22" x14ac:dyDescent="0.35">
      <c r="A858">
        <f t="shared" si="32"/>
        <v>0</v>
      </c>
      <c r="G858" s="2"/>
      <c r="H858" s="204"/>
      <c r="I858" s="204"/>
      <c r="J858" s="204"/>
      <c r="K858" s="204"/>
      <c r="L858" s="332"/>
      <c r="M858" s="227"/>
      <c r="N858" s="227"/>
      <c r="O858" s="227"/>
      <c r="P858" s="204"/>
      <c r="S858" s="186"/>
      <c r="V858" s="90"/>
    </row>
    <row r="859" spans="1:22" x14ac:dyDescent="0.35">
      <c r="A859">
        <f t="shared" si="32"/>
        <v>0</v>
      </c>
      <c r="G859" s="2"/>
      <c r="H859" s="204"/>
      <c r="I859" s="204"/>
      <c r="J859" s="204"/>
      <c r="K859" s="204"/>
      <c r="L859" s="332"/>
      <c r="M859" s="227"/>
      <c r="N859" s="227"/>
      <c r="O859" s="227"/>
      <c r="P859" s="204"/>
      <c r="S859" s="186"/>
      <c r="V859" s="90"/>
    </row>
    <row r="860" spans="1:22" x14ac:dyDescent="0.35">
      <c r="A860">
        <f t="shared" si="32"/>
        <v>0</v>
      </c>
      <c r="G860" s="2"/>
      <c r="H860" s="204"/>
      <c r="I860" s="204"/>
      <c r="J860" s="204"/>
      <c r="K860" s="204"/>
      <c r="L860" s="332"/>
      <c r="M860" s="227"/>
      <c r="N860" s="227"/>
      <c r="O860" s="227"/>
      <c r="P860" s="204"/>
      <c r="S860" s="186"/>
      <c r="V860" s="90"/>
    </row>
    <row r="861" spans="1:22" x14ac:dyDescent="0.35">
      <c r="A861">
        <f t="shared" si="32"/>
        <v>0</v>
      </c>
      <c r="G861" s="2"/>
      <c r="H861" s="204"/>
      <c r="I861" s="204"/>
      <c r="J861" s="204"/>
      <c r="K861" s="204"/>
      <c r="L861" s="332"/>
      <c r="M861" s="227"/>
      <c r="N861" s="227"/>
      <c r="O861" s="227"/>
      <c r="P861" s="204"/>
      <c r="S861" s="186"/>
      <c r="V861" s="90"/>
    </row>
    <row r="862" spans="1:22" x14ac:dyDescent="0.35">
      <c r="A862">
        <f t="shared" si="32"/>
        <v>0</v>
      </c>
      <c r="G862" s="2"/>
      <c r="H862" s="204"/>
      <c r="I862" s="204"/>
      <c r="J862" s="204"/>
      <c r="K862" s="204"/>
      <c r="L862" s="332"/>
      <c r="M862" s="227"/>
      <c r="N862" s="227"/>
      <c r="O862" s="227"/>
      <c r="P862" s="204"/>
      <c r="S862" s="186"/>
      <c r="V862" s="90"/>
    </row>
    <row r="863" spans="1:22" x14ac:dyDescent="0.35">
      <c r="A863">
        <f t="shared" si="32"/>
        <v>0</v>
      </c>
      <c r="G863" s="2"/>
      <c r="H863" s="204"/>
      <c r="I863" s="204"/>
      <c r="J863" s="204"/>
      <c r="K863" s="204"/>
      <c r="L863" s="332"/>
      <c r="M863" s="227"/>
      <c r="N863" s="227"/>
      <c r="O863" s="227"/>
      <c r="P863" s="204"/>
      <c r="S863" s="186"/>
      <c r="V863" s="90"/>
    </row>
    <row r="864" spans="1:22" x14ac:dyDescent="0.35">
      <c r="A864">
        <f t="shared" si="32"/>
        <v>0</v>
      </c>
      <c r="G864" s="2"/>
      <c r="H864" s="204"/>
      <c r="I864" s="204"/>
      <c r="J864" s="204"/>
      <c r="K864" s="204"/>
      <c r="L864" s="332"/>
      <c r="M864" s="227"/>
      <c r="N864" s="227"/>
      <c r="O864" s="227"/>
      <c r="P864" s="204"/>
      <c r="S864" s="186"/>
      <c r="V864" s="90"/>
    </row>
    <row r="865" spans="1:22" x14ac:dyDescent="0.35">
      <c r="A865">
        <f t="shared" si="32"/>
        <v>0</v>
      </c>
      <c r="G865" s="2"/>
      <c r="H865" s="204"/>
      <c r="I865" s="204"/>
      <c r="J865" s="204"/>
      <c r="K865" s="204"/>
      <c r="L865" s="332"/>
      <c r="M865" s="227"/>
      <c r="N865" s="227"/>
      <c r="O865" s="227"/>
      <c r="P865" s="204"/>
      <c r="S865" s="186"/>
      <c r="V865" s="90"/>
    </row>
    <row r="866" spans="1:22" x14ac:dyDescent="0.35">
      <c r="A866">
        <f t="shared" si="32"/>
        <v>0</v>
      </c>
      <c r="G866" s="2"/>
      <c r="H866" s="204"/>
      <c r="I866" s="204"/>
      <c r="J866" s="204"/>
      <c r="K866" s="204"/>
      <c r="L866" s="332"/>
      <c r="M866" s="227"/>
      <c r="N866" s="227"/>
      <c r="O866" s="227"/>
      <c r="P866" s="204"/>
      <c r="S866" s="186"/>
      <c r="V866" s="90"/>
    </row>
    <row r="867" spans="1:22" x14ac:dyDescent="0.35">
      <c r="A867">
        <f t="shared" si="32"/>
        <v>0</v>
      </c>
      <c r="G867" s="2"/>
      <c r="H867" s="204"/>
      <c r="I867" s="204"/>
      <c r="J867" s="204"/>
      <c r="K867" s="204"/>
      <c r="L867" s="332"/>
      <c r="M867" s="227"/>
      <c r="N867" s="227"/>
      <c r="O867" s="227"/>
      <c r="P867" s="204"/>
      <c r="S867" s="186"/>
      <c r="V867" s="90"/>
    </row>
    <row r="868" spans="1:22" x14ac:dyDescent="0.35">
      <c r="A868">
        <f t="shared" si="32"/>
        <v>0</v>
      </c>
      <c r="G868" s="2"/>
      <c r="H868" s="204"/>
      <c r="I868" s="204"/>
      <c r="J868" s="204"/>
      <c r="K868" s="204"/>
      <c r="L868" s="332"/>
      <c r="M868" s="227"/>
      <c r="N868" s="227"/>
      <c r="O868" s="227"/>
      <c r="P868" s="204"/>
      <c r="S868" s="186"/>
      <c r="V868" s="90"/>
    </row>
    <row r="869" spans="1:22" x14ac:dyDescent="0.35">
      <c r="A869">
        <f t="shared" si="32"/>
        <v>0</v>
      </c>
      <c r="G869" s="2"/>
      <c r="H869" s="204"/>
      <c r="I869" s="204"/>
      <c r="J869" s="204"/>
      <c r="K869" s="204"/>
      <c r="L869" s="332"/>
      <c r="M869" s="227"/>
      <c r="N869" s="227"/>
      <c r="O869" s="227"/>
      <c r="P869" s="204"/>
      <c r="S869" s="186"/>
      <c r="V869" s="90"/>
    </row>
    <row r="870" spans="1:22" x14ac:dyDescent="0.35">
      <c r="A870">
        <f t="shared" si="32"/>
        <v>0</v>
      </c>
      <c r="G870" s="2"/>
      <c r="H870" s="204"/>
      <c r="I870" s="204"/>
      <c r="J870" s="204"/>
      <c r="K870" s="204"/>
      <c r="L870" s="332"/>
      <c r="M870" s="227"/>
      <c r="N870" s="227"/>
      <c r="O870" s="227"/>
      <c r="P870" s="204"/>
      <c r="S870" s="186"/>
      <c r="V870" s="90"/>
    </row>
    <row r="871" spans="1:22" x14ac:dyDescent="0.35">
      <c r="A871">
        <f t="shared" si="32"/>
        <v>0</v>
      </c>
      <c r="G871" s="2"/>
      <c r="H871" s="204"/>
      <c r="I871" s="204"/>
      <c r="J871" s="204"/>
      <c r="K871" s="204"/>
      <c r="L871" s="332"/>
      <c r="M871" s="227"/>
      <c r="N871" s="227"/>
      <c r="O871" s="227"/>
      <c r="P871" s="204"/>
      <c r="S871" s="186"/>
      <c r="V871" s="90"/>
    </row>
    <row r="872" spans="1:22" x14ac:dyDescent="0.35">
      <c r="A872">
        <f t="shared" si="32"/>
        <v>0</v>
      </c>
      <c r="G872" s="2"/>
      <c r="H872" s="204"/>
      <c r="I872" s="204"/>
      <c r="J872" s="204"/>
      <c r="K872" s="204"/>
      <c r="L872" s="332"/>
      <c r="M872" s="227"/>
      <c r="N872" s="227"/>
      <c r="O872" s="227"/>
      <c r="P872" s="204"/>
      <c r="S872" s="186"/>
      <c r="V872" s="90"/>
    </row>
    <row r="873" spans="1:22" x14ac:dyDescent="0.35">
      <c r="A873">
        <f t="shared" si="32"/>
        <v>0</v>
      </c>
      <c r="G873" s="2"/>
      <c r="H873" s="204"/>
      <c r="I873" s="204"/>
      <c r="J873" s="204"/>
      <c r="K873" s="204"/>
      <c r="L873" s="332"/>
      <c r="M873" s="227"/>
      <c r="N873" s="227"/>
      <c r="O873" s="227"/>
      <c r="P873" s="204"/>
      <c r="S873" s="186"/>
      <c r="V873" s="90"/>
    </row>
    <row r="874" spans="1:22" x14ac:dyDescent="0.35">
      <c r="A874">
        <f t="shared" si="32"/>
        <v>0</v>
      </c>
      <c r="G874" s="2"/>
      <c r="H874" s="204"/>
      <c r="I874" s="204"/>
      <c r="J874" s="204"/>
      <c r="K874" s="204"/>
      <c r="L874" s="332"/>
      <c r="M874" s="227"/>
      <c r="N874" s="227"/>
      <c r="O874" s="227"/>
      <c r="P874" s="204"/>
      <c r="S874" s="186"/>
      <c r="V874" s="90"/>
    </row>
    <row r="875" spans="1:22" x14ac:dyDescent="0.35">
      <c r="A875">
        <f t="shared" si="32"/>
        <v>0</v>
      </c>
      <c r="G875" s="2"/>
      <c r="H875" s="204"/>
      <c r="I875" s="204"/>
      <c r="J875" s="204"/>
      <c r="K875" s="204"/>
      <c r="L875" s="332"/>
      <c r="M875" s="227"/>
      <c r="N875" s="227"/>
      <c r="O875" s="227"/>
      <c r="P875" s="204"/>
      <c r="S875" s="186"/>
      <c r="V875" s="90"/>
    </row>
    <row r="876" spans="1:22" x14ac:dyDescent="0.35">
      <c r="A876">
        <f t="shared" si="32"/>
        <v>0</v>
      </c>
      <c r="G876" s="2"/>
      <c r="H876" s="204"/>
      <c r="I876" s="204"/>
      <c r="J876" s="204"/>
      <c r="K876" s="204"/>
      <c r="L876" s="332"/>
      <c r="M876" s="227"/>
      <c r="N876" s="227"/>
      <c r="O876" s="227"/>
      <c r="P876" s="204"/>
      <c r="S876" s="186"/>
      <c r="V876" s="90"/>
    </row>
    <row r="877" spans="1:22" x14ac:dyDescent="0.35">
      <c r="A877">
        <f t="shared" si="32"/>
        <v>0</v>
      </c>
      <c r="G877" s="2"/>
      <c r="H877" s="204"/>
      <c r="I877" s="204"/>
      <c r="J877" s="204"/>
      <c r="K877" s="204"/>
      <c r="L877" s="332"/>
      <c r="M877" s="227"/>
      <c r="N877" s="227"/>
      <c r="O877" s="227"/>
      <c r="P877" s="204"/>
      <c r="S877" s="186"/>
      <c r="V877" s="90"/>
    </row>
    <row r="878" spans="1:22" x14ac:dyDescent="0.35">
      <c r="A878">
        <f t="shared" si="32"/>
        <v>0</v>
      </c>
      <c r="G878" s="2"/>
      <c r="H878" s="204"/>
      <c r="I878" s="204"/>
      <c r="J878" s="204"/>
      <c r="K878" s="204"/>
      <c r="L878" s="332"/>
      <c r="M878" s="227"/>
      <c r="N878" s="227"/>
      <c r="O878" s="227"/>
      <c r="P878" s="204"/>
      <c r="S878" s="186"/>
      <c r="V878" s="90"/>
    </row>
    <row r="879" spans="1:22" x14ac:dyDescent="0.35">
      <c r="A879">
        <f t="shared" si="32"/>
        <v>0</v>
      </c>
      <c r="G879" s="2"/>
      <c r="H879" s="204"/>
      <c r="I879" s="204"/>
      <c r="J879" s="204"/>
      <c r="K879" s="204"/>
      <c r="L879" s="332"/>
      <c r="M879" s="227"/>
      <c r="N879" s="227"/>
      <c r="O879" s="227"/>
      <c r="P879" s="204"/>
      <c r="S879" s="186"/>
      <c r="V879" s="90"/>
    </row>
    <row r="880" spans="1:22" x14ac:dyDescent="0.35">
      <c r="A880">
        <f t="shared" si="32"/>
        <v>0</v>
      </c>
      <c r="G880" s="2"/>
      <c r="H880" s="204"/>
      <c r="I880" s="204"/>
      <c r="J880" s="204"/>
      <c r="K880" s="204"/>
      <c r="L880" s="332"/>
      <c r="M880" s="227"/>
      <c r="N880" s="227"/>
      <c r="O880" s="227"/>
      <c r="P880" s="204"/>
      <c r="S880" s="186"/>
      <c r="V880" s="90"/>
    </row>
    <row r="881" spans="1:22" x14ac:dyDescent="0.35">
      <c r="A881">
        <f t="shared" si="32"/>
        <v>0</v>
      </c>
      <c r="G881" s="2"/>
      <c r="H881" s="204"/>
      <c r="I881" s="204"/>
      <c r="J881" s="204"/>
      <c r="K881" s="204"/>
      <c r="L881" s="332"/>
      <c r="M881" s="227"/>
      <c r="N881" s="227"/>
      <c r="O881" s="227"/>
      <c r="P881" s="204"/>
      <c r="S881" s="186"/>
      <c r="V881" s="90"/>
    </row>
    <row r="882" spans="1:22" x14ac:dyDescent="0.35">
      <c r="A882">
        <f t="shared" si="32"/>
        <v>0</v>
      </c>
      <c r="G882" s="2"/>
      <c r="H882" s="204"/>
      <c r="I882" s="204"/>
      <c r="J882" s="204"/>
      <c r="K882" s="204"/>
      <c r="L882" s="332"/>
      <c r="M882" s="227"/>
      <c r="N882" s="227"/>
      <c r="O882" s="227"/>
      <c r="P882" s="204"/>
      <c r="S882" s="186"/>
      <c r="V882" s="90"/>
    </row>
    <row r="883" spans="1:22" x14ac:dyDescent="0.35">
      <c r="A883">
        <f t="shared" si="32"/>
        <v>0</v>
      </c>
      <c r="G883" s="2"/>
      <c r="H883" s="204"/>
      <c r="I883" s="204"/>
      <c r="J883" s="204"/>
      <c r="K883" s="204"/>
      <c r="L883" s="332"/>
      <c r="M883" s="227"/>
      <c r="N883" s="227"/>
      <c r="O883" s="227"/>
      <c r="P883" s="204"/>
      <c r="S883" s="186"/>
      <c r="V883" s="90"/>
    </row>
    <row r="884" spans="1:22" x14ac:dyDescent="0.35">
      <c r="A884">
        <f t="shared" si="32"/>
        <v>0</v>
      </c>
      <c r="G884" s="2"/>
      <c r="H884" s="204"/>
      <c r="I884" s="204"/>
      <c r="J884" s="204"/>
      <c r="K884" s="204"/>
      <c r="L884" s="332"/>
      <c r="M884" s="227"/>
      <c r="N884" s="227"/>
      <c r="O884" s="227"/>
      <c r="P884" s="204"/>
      <c r="S884" s="186"/>
      <c r="V884" s="90"/>
    </row>
    <row r="885" spans="1:22" x14ac:dyDescent="0.35">
      <c r="A885">
        <f t="shared" si="32"/>
        <v>0</v>
      </c>
      <c r="G885" s="2"/>
      <c r="H885" s="204"/>
      <c r="I885" s="204"/>
      <c r="J885" s="204"/>
      <c r="K885" s="204"/>
      <c r="L885" s="332"/>
      <c r="M885" s="227"/>
      <c r="N885" s="227"/>
      <c r="O885" s="227"/>
      <c r="P885" s="204"/>
      <c r="S885" s="186"/>
      <c r="V885" s="90"/>
    </row>
    <row r="886" spans="1:22" x14ac:dyDescent="0.35">
      <c r="A886">
        <f t="shared" si="32"/>
        <v>0</v>
      </c>
      <c r="G886" s="2"/>
      <c r="H886" s="204"/>
      <c r="I886" s="204"/>
      <c r="J886" s="204"/>
      <c r="K886" s="204"/>
      <c r="L886" s="332"/>
      <c r="M886" s="227"/>
      <c r="N886" s="227"/>
      <c r="O886" s="227"/>
      <c r="P886" s="204"/>
      <c r="S886" s="186"/>
      <c r="V886" s="90"/>
    </row>
    <row r="887" spans="1:22" x14ac:dyDescent="0.35">
      <c r="A887">
        <f t="shared" si="32"/>
        <v>0</v>
      </c>
      <c r="G887" s="2"/>
      <c r="H887" s="204"/>
      <c r="I887" s="204"/>
      <c r="J887" s="204"/>
      <c r="K887" s="204"/>
      <c r="L887" s="332"/>
      <c r="M887" s="227"/>
      <c r="N887" s="227"/>
      <c r="O887" s="227"/>
      <c r="P887" s="204"/>
      <c r="S887" s="186"/>
      <c r="V887" s="90"/>
    </row>
    <row r="888" spans="1:22" x14ac:dyDescent="0.35">
      <c r="A888">
        <f t="shared" si="32"/>
        <v>0</v>
      </c>
      <c r="G888" s="2"/>
      <c r="H888" s="204"/>
      <c r="I888" s="204"/>
      <c r="J888" s="204"/>
      <c r="K888" s="204"/>
      <c r="L888" s="332"/>
      <c r="M888" s="227"/>
      <c r="N888" s="227"/>
      <c r="O888" s="227"/>
      <c r="P888" s="204"/>
      <c r="S888" s="186"/>
      <c r="V888" s="90"/>
    </row>
    <row r="889" spans="1:22" x14ac:dyDescent="0.35">
      <c r="A889">
        <f t="shared" si="32"/>
        <v>0</v>
      </c>
      <c r="G889" s="2"/>
      <c r="H889" s="204"/>
      <c r="I889" s="204"/>
      <c r="J889" s="204"/>
      <c r="K889" s="204"/>
      <c r="L889" s="332"/>
      <c r="M889" s="227"/>
      <c r="N889" s="227"/>
      <c r="O889" s="227"/>
      <c r="P889" s="204"/>
      <c r="S889" s="186"/>
      <c r="V889" s="90"/>
    </row>
    <row r="890" spans="1:22" x14ac:dyDescent="0.35">
      <c r="A890">
        <f t="shared" si="32"/>
        <v>0</v>
      </c>
      <c r="G890" s="2"/>
      <c r="H890" s="204"/>
      <c r="I890" s="204"/>
      <c r="J890" s="204"/>
      <c r="K890" s="204"/>
      <c r="L890" s="332"/>
      <c r="M890" s="227"/>
      <c r="N890" s="227"/>
      <c r="O890" s="227"/>
      <c r="P890" s="204"/>
      <c r="S890" s="186"/>
      <c r="V890" s="90"/>
    </row>
    <row r="891" spans="1:22" x14ac:dyDescent="0.35">
      <c r="A891">
        <f t="shared" si="32"/>
        <v>0</v>
      </c>
      <c r="G891" s="2"/>
      <c r="H891" s="204"/>
      <c r="I891" s="204"/>
      <c r="J891" s="204"/>
      <c r="K891" s="204"/>
      <c r="L891" s="332"/>
      <c r="M891" s="227"/>
      <c r="N891" s="227"/>
      <c r="O891" s="227"/>
      <c r="P891" s="204"/>
      <c r="S891" s="186"/>
      <c r="V891" s="90"/>
    </row>
    <row r="892" spans="1:22" x14ac:dyDescent="0.35">
      <c r="A892">
        <f t="shared" si="32"/>
        <v>0</v>
      </c>
      <c r="G892" s="2"/>
      <c r="H892" s="204"/>
      <c r="I892" s="204"/>
      <c r="J892" s="204"/>
      <c r="K892" s="204"/>
      <c r="L892" s="332"/>
      <c r="M892" s="227"/>
      <c r="N892" s="227"/>
      <c r="O892" s="227"/>
      <c r="P892" s="204"/>
      <c r="S892" s="186"/>
      <c r="V892" s="90"/>
    </row>
    <row r="893" spans="1:22" x14ac:dyDescent="0.35">
      <c r="A893">
        <f t="shared" si="32"/>
        <v>0</v>
      </c>
      <c r="G893" s="2"/>
      <c r="H893" s="204"/>
      <c r="I893" s="204"/>
      <c r="J893" s="204"/>
      <c r="K893" s="204"/>
      <c r="L893" s="332"/>
      <c r="M893" s="227"/>
      <c r="N893" s="227"/>
      <c r="O893" s="227"/>
      <c r="P893" s="204"/>
      <c r="S893" s="186"/>
      <c r="V893" s="90"/>
    </row>
    <row r="894" spans="1:22" x14ac:dyDescent="0.35">
      <c r="A894">
        <f t="shared" si="32"/>
        <v>0</v>
      </c>
      <c r="G894" s="2"/>
      <c r="H894" s="204"/>
      <c r="I894" s="204"/>
      <c r="J894" s="204"/>
      <c r="K894" s="204"/>
      <c r="L894" s="332"/>
      <c r="M894" s="227"/>
      <c r="N894" s="227"/>
      <c r="O894" s="227"/>
      <c r="P894" s="204"/>
      <c r="S894" s="186"/>
      <c r="V894" s="90"/>
    </row>
    <row r="895" spans="1:22" x14ac:dyDescent="0.35">
      <c r="A895">
        <f t="shared" si="32"/>
        <v>0</v>
      </c>
      <c r="G895" s="2"/>
      <c r="H895" s="204"/>
      <c r="I895" s="204"/>
      <c r="J895" s="204"/>
      <c r="K895" s="204"/>
      <c r="L895" s="332"/>
      <c r="M895" s="227"/>
      <c r="N895" s="227"/>
      <c r="O895" s="227"/>
      <c r="P895" s="204"/>
      <c r="S895" s="186"/>
      <c r="V895" s="90"/>
    </row>
    <row r="896" spans="1:22" x14ac:dyDescent="0.35">
      <c r="A896">
        <f t="shared" si="32"/>
        <v>0</v>
      </c>
      <c r="G896" s="2"/>
      <c r="H896" s="204"/>
      <c r="I896" s="204"/>
      <c r="J896" s="204"/>
      <c r="K896" s="204"/>
      <c r="L896" s="332"/>
      <c r="M896" s="227"/>
      <c r="N896" s="227"/>
      <c r="O896" s="227"/>
      <c r="P896" s="204"/>
      <c r="S896" s="186"/>
      <c r="V896" s="90"/>
    </row>
    <row r="897" spans="1:22" x14ac:dyDescent="0.35">
      <c r="A897">
        <f t="shared" si="32"/>
        <v>0</v>
      </c>
      <c r="G897" s="2"/>
      <c r="H897" s="204"/>
      <c r="I897" s="204"/>
      <c r="J897" s="204"/>
      <c r="K897" s="204"/>
      <c r="L897" s="332"/>
      <c r="M897" s="227"/>
      <c r="N897" s="227"/>
      <c r="O897" s="227"/>
      <c r="P897" s="204"/>
      <c r="S897" s="186"/>
      <c r="V897" s="90"/>
    </row>
    <row r="898" spans="1:22" x14ac:dyDescent="0.35">
      <c r="A898">
        <f t="shared" si="32"/>
        <v>0</v>
      </c>
      <c r="G898" s="2"/>
      <c r="H898" s="204"/>
      <c r="I898" s="204"/>
      <c r="J898" s="204"/>
      <c r="K898" s="204"/>
      <c r="L898" s="332"/>
      <c r="M898" s="227"/>
      <c r="N898" s="227"/>
      <c r="O898" s="227"/>
      <c r="P898" s="204"/>
      <c r="S898" s="186"/>
      <c r="V898" s="90"/>
    </row>
    <row r="899" spans="1:22" x14ac:dyDescent="0.35">
      <c r="A899">
        <f t="shared" si="32"/>
        <v>0</v>
      </c>
      <c r="G899" s="2"/>
      <c r="H899" s="204"/>
      <c r="I899" s="204"/>
      <c r="J899" s="204"/>
      <c r="K899" s="204"/>
      <c r="L899" s="332"/>
      <c r="M899" s="227"/>
      <c r="N899" s="227"/>
      <c r="O899" s="227"/>
      <c r="P899" s="204"/>
      <c r="S899" s="186"/>
      <c r="V899" s="90"/>
    </row>
    <row r="900" spans="1:22" x14ac:dyDescent="0.35">
      <c r="A900">
        <f t="shared" si="32"/>
        <v>0</v>
      </c>
      <c r="G900" s="2"/>
      <c r="H900" s="204"/>
      <c r="I900" s="204"/>
      <c r="J900" s="204"/>
      <c r="K900" s="204"/>
      <c r="L900" s="332"/>
      <c r="M900" s="227"/>
      <c r="N900" s="227"/>
      <c r="O900" s="227"/>
      <c r="P900" s="204"/>
      <c r="S900" s="186"/>
      <c r="V900" s="90"/>
    </row>
    <row r="901" spans="1:22" x14ac:dyDescent="0.35">
      <c r="A901">
        <f t="shared" si="32"/>
        <v>0</v>
      </c>
      <c r="G901" s="2"/>
      <c r="H901" s="204"/>
      <c r="I901" s="204"/>
      <c r="J901" s="204"/>
      <c r="K901" s="204"/>
      <c r="L901" s="332"/>
      <c r="M901" s="227"/>
      <c r="N901" s="227"/>
      <c r="O901" s="227"/>
      <c r="P901" s="204"/>
      <c r="S901" s="186"/>
      <c r="V901" s="90"/>
    </row>
    <row r="902" spans="1:22" x14ac:dyDescent="0.35">
      <c r="A902">
        <f t="shared" si="32"/>
        <v>0</v>
      </c>
      <c r="G902" s="2"/>
      <c r="H902" s="204"/>
      <c r="I902" s="204"/>
      <c r="J902" s="204"/>
      <c r="K902" s="204"/>
      <c r="L902" s="332"/>
      <c r="M902" s="227"/>
      <c r="N902" s="227"/>
      <c r="O902" s="227"/>
      <c r="P902" s="204"/>
      <c r="S902" s="186"/>
      <c r="V902" s="90"/>
    </row>
    <row r="903" spans="1:22" x14ac:dyDescent="0.35">
      <c r="A903">
        <f t="shared" si="32"/>
        <v>0</v>
      </c>
      <c r="G903" s="2"/>
      <c r="H903" s="204"/>
      <c r="I903" s="204"/>
      <c r="J903" s="204"/>
      <c r="K903" s="204"/>
      <c r="L903" s="332"/>
      <c r="M903" s="227"/>
      <c r="N903" s="227"/>
      <c r="O903" s="227"/>
      <c r="P903" s="204"/>
      <c r="S903" s="186"/>
      <c r="V903" s="90"/>
    </row>
    <row r="904" spans="1:22" x14ac:dyDescent="0.35">
      <c r="A904">
        <f t="shared" ref="A904:A967" si="33">IF(B904="",0,COUNTIFS($B$7:$B$999,B904,$C$7:$C$999,C904))</f>
        <v>0</v>
      </c>
      <c r="G904" s="2"/>
      <c r="H904" s="204"/>
      <c r="I904" s="204"/>
      <c r="J904" s="204"/>
      <c r="K904" s="204"/>
      <c r="L904" s="332"/>
      <c r="M904" s="227"/>
      <c r="N904" s="227"/>
      <c r="O904" s="227"/>
      <c r="P904" s="204"/>
      <c r="S904" s="186"/>
      <c r="V904" s="90"/>
    </row>
    <row r="905" spans="1:22" x14ac:dyDescent="0.35">
      <c r="A905">
        <f t="shared" si="33"/>
        <v>0</v>
      </c>
      <c r="G905" s="2"/>
      <c r="H905" s="204"/>
      <c r="I905" s="204"/>
      <c r="J905" s="204"/>
      <c r="K905" s="204"/>
      <c r="L905" s="332"/>
      <c r="M905" s="227"/>
      <c r="N905" s="227"/>
      <c r="O905" s="227"/>
      <c r="P905" s="204"/>
      <c r="S905" s="186"/>
      <c r="V905" s="90"/>
    </row>
    <row r="906" spans="1:22" x14ac:dyDescent="0.35">
      <c r="A906">
        <f t="shared" si="33"/>
        <v>0</v>
      </c>
      <c r="G906" s="2"/>
      <c r="H906" s="204"/>
      <c r="I906" s="204"/>
      <c r="J906" s="204"/>
      <c r="K906" s="204"/>
      <c r="L906" s="332"/>
      <c r="M906" s="227"/>
      <c r="N906" s="227"/>
      <c r="O906" s="227"/>
      <c r="P906" s="204"/>
      <c r="S906" s="186"/>
      <c r="V906" s="90"/>
    </row>
    <row r="907" spans="1:22" x14ac:dyDescent="0.35">
      <c r="A907">
        <f t="shared" si="33"/>
        <v>0</v>
      </c>
      <c r="G907" s="2"/>
      <c r="H907" s="204"/>
      <c r="I907" s="204"/>
      <c r="J907" s="204"/>
      <c r="K907" s="204"/>
      <c r="L907" s="332"/>
      <c r="M907" s="227"/>
      <c r="N907" s="227"/>
      <c r="O907" s="227"/>
      <c r="P907" s="204"/>
      <c r="S907" s="186"/>
      <c r="V907" s="90"/>
    </row>
    <row r="908" spans="1:22" x14ac:dyDescent="0.35">
      <c r="A908">
        <f t="shared" si="33"/>
        <v>0</v>
      </c>
      <c r="G908" s="2"/>
      <c r="H908" s="204"/>
      <c r="I908" s="204"/>
      <c r="J908" s="204"/>
      <c r="K908" s="204"/>
      <c r="L908" s="332"/>
      <c r="M908" s="227"/>
      <c r="N908" s="227"/>
      <c r="O908" s="227"/>
      <c r="P908" s="204"/>
      <c r="S908" s="186"/>
      <c r="V908" s="90"/>
    </row>
    <row r="909" spans="1:22" x14ac:dyDescent="0.35">
      <c r="A909">
        <f t="shared" si="33"/>
        <v>0</v>
      </c>
      <c r="G909" s="2"/>
      <c r="H909" s="204"/>
      <c r="I909" s="204"/>
      <c r="J909" s="204"/>
      <c r="K909" s="204"/>
      <c r="L909" s="332"/>
      <c r="M909" s="227"/>
      <c r="N909" s="227"/>
      <c r="O909" s="227"/>
      <c r="P909" s="204"/>
      <c r="S909" s="186"/>
      <c r="V909" s="90"/>
    </row>
    <row r="910" spans="1:22" x14ac:dyDescent="0.35">
      <c r="A910">
        <f t="shared" si="33"/>
        <v>0</v>
      </c>
      <c r="G910" s="2"/>
      <c r="H910" s="204"/>
      <c r="I910" s="204"/>
      <c r="J910" s="204"/>
      <c r="K910" s="204"/>
      <c r="L910" s="332"/>
      <c r="M910" s="227"/>
      <c r="N910" s="227"/>
      <c r="O910" s="227"/>
      <c r="P910" s="204"/>
      <c r="S910" s="186"/>
      <c r="V910" s="90"/>
    </row>
    <row r="911" spans="1:22" x14ac:dyDescent="0.35">
      <c r="A911">
        <f t="shared" si="33"/>
        <v>0</v>
      </c>
      <c r="G911" s="2"/>
      <c r="H911" s="204"/>
      <c r="I911" s="204"/>
      <c r="J911" s="204"/>
      <c r="K911" s="204"/>
      <c r="L911" s="332"/>
      <c r="M911" s="227"/>
      <c r="N911" s="227"/>
      <c r="O911" s="227"/>
      <c r="P911" s="204"/>
      <c r="S911" s="186"/>
      <c r="V911" s="90"/>
    </row>
    <row r="912" spans="1:22" x14ac:dyDescent="0.35">
      <c r="A912">
        <f t="shared" si="33"/>
        <v>0</v>
      </c>
      <c r="G912" s="2"/>
      <c r="H912" s="204"/>
      <c r="I912" s="204"/>
      <c r="J912" s="204"/>
      <c r="K912" s="204"/>
      <c r="L912" s="332"/>
      <c r="M912" s="227"/>
      <c r="N912" s="227"/>
      <c r="O912" s="227"/>
      <c r="P912" s="204"/>
      <c r="S912" s="186"/>
      <c r="V912" s="90"/>
    </row>
    <row r="913" spans="1:22" x14ac:dyDescent="0.35">
      <c r="A913">
        <f t="shared" si="33"/>
        <v>0</v>
      </c>
      <c r="G913" s="2"/>
      <c r="H913" s="204"/>
      <c r="I913" s="204"/>
      <c r="J913" s="204"/>
      <c r="K913" s="204"/>
      <c r="L913" s="332"/>
      <c r="M913" s="227"/>
      <c r="N913" s="227"/>
      <c r="O913" s="227"/>
      <c r="P913" s="204"/>
      <c r="S913" s="186"/>
      <c r="V913" s="90"/>
    </row>
    <row r="914" spans="1:22" x14ac:dyDescent="0.35">
      <c r="A914">
        <f t="shared" si="33"/>
        <v>0</v>
      </c>
      <c r="G914" s="2"/>
      <c r="H914" s="204"/>
      <c r="I914" s="204"/>
      <c r="J914" s="204"/>
      <c r="K914" s="204"/>
      <c r="L914" s="332"/>
      <c r="M914" s="227"/>
      <c r="N914" s="227"/>
      <c r="O914" s="227"/>
      <c r="P914" s="204"/>
      <c r="S914" s="186"/>
      <c r="V914" s="90"/>
    </row>
    <row r="915" spans="1:22" x14ac:dyDescent="0.35">
      <c r="A915">
        <f t="shared" si="33"/>
        <v>0</v>
      </c>
      <c r="G915" s="2"/>
      <c r="H915" s="204"/>
      <c r="I915" s="204"/>
      <c r="J915" s="204"/>
      <c r="K915" s="204"/>
      <c r="L915" s="332"/>
      <c r="M915" s="227"/>
      <c r="N915" s="227"/>
      <c r="O915" s="227"/>
      <c r="P915" s="204"/>
      <c r="S915" s="186"/>
      <c r="V915" s="90"/>
    </row>
    <row r="916" spans="1:22" x14ac:dyDescent="0.35">
      <c r="A916">
        <f t="shared" si="33"/>
        <v>0</v>
      </c>
      <c r="G916" s="2"/>
      <c r="H916" s="204"/>
      <c r="I916" s="204"/>
      <c r="J916" s="204"/>
      <c r="K916" s="204"/>
      <c r="L916" s="332"/>
      <c r="M916" s="227"/>
      <c r="N916" s="227"/>
      <c r="O916" s="227"/>
      <c r="P916" s="204"/>
      <c r="S916" s="186"/>
      <c r="V916" s="90"/>
    </row>
    <row r="917" spans="1:22" x14ac:dyDescent="0.35">
      <c r="A917">
        <f t="shared" si="33"/>
        <v>0</v>
      </c>
      <c r="G917" s="2"/>
      <c r="H917" s="204"/>
      <c r="I917" s="204"/>
      <c r="J917" s="204"/>
      <c r="K917" s="204"/>
      <c r="L917" s="332"/>
      <c r="M917" s="227"/>
      <c r="N917" s="227"/>
      <c r="O917" s="227"/>
      <c r="P917" s="204"/>
      <c r="S917" s="186"/>
      <c r="V917" s="90"/>
    </row>
    <row r="918" spans="1:22" x14ac:dyDescent="0.35">
      <c r="A918">
        <f t="shared" si="33"/>
        <v>0</v>
      </c>
      <c r="G918" s="2"/>
      <c r="H918" s="204"/>
      <c r="I918" s="204"/>
      <c r="J918" s="204"/>
      <c r="K918" s="204"/>
      <c r="L918" s="332"/>
      <c r="M918" s="227"/>
      <c r="N918" s="227"/>
      <c r="O918" s="227"/>
      <c r="P918" s="204"/>
      <c r="S918" s="186"/>
      <c r="V918" s="90"/>
    </row>
    <row r="919" spans="1:22" x14ac:dyDescent="0.35">
      <c r="A919">
        <f t="shared" si="33"/>
        <v>0</v>
      </c>
      <c r="G919" s="2"/>
      <c r="H919" s="204"/>
      <c r="I919" s="204"/>
      <c r="J919" s="204"/>
      <c r="K919" s="204"/>
      <c r="L919" s="332"/>
      <c r="M919" s="227"/>
      <c r="N919" s="227"/>
      <c r="O919" s="227"/>
      <c r="P919" s="204"/>
      <c r="S919" s="186"/>
      <c r="V919" s="90"/>
    </row>
    <row r="920" spans="1:22" x14ac:dyDescent="0.35">
      <c r="A920">
        <f t="shared" si="33"/>
        <v>0</v>
      </c>
      <c r="G920" s="2"/>
      <c r="H920" s="204"/>
      <c r="I920" s="204"/>
      <c r="J920" s="204"/>
      <c r="K920" s="204"/>
      <c r="L920" s="332"/>
      <c r="M920" s="227"/>
      <c r="N920" s="227"/>
      <c r="O920" s="227"/>
      <c r="P920" s="204"/>
      <c r="S920" s="186"/>
      <c r="V920" s="90"/>
    </row>
    <row r="921" spans="1:22" x14ac:dyDescent="0.35">
      <c r="A921">
        <f t="shared" si="33"/>
        <v>0</v>
      </c>
      <c r="G921" s="2"/>
      <c r="H921" s="204"/>
      <c r="I921" s="204"/>
      <c r="J921" s="204"/>
      <c r="K921" s="204"/>
      <c r="L921" s="332"/>
      <c r="M921" s="227"/>
      <c r="N921" s="227"/>
      <c r="O921" s="227"/>
      <c r="P921" s="204"/>
      <c r="S921" s="186"/>
      <c r="V921" s="90"/>
    </row>
    <row r="922" spans="1:22" x14ac:dyDescent="0.35">
      <c r="A922">
        <f t="shared" si="33"/>
        <v>0</v>
      </c>
      <c r="G922" s="2"/>
      <c r="H922" s="204"/>
      <c r="I922" s="204"/>
      <c r="J922" s="204"/>
      <c r="K922" s="204"/>
      <c r="L922" s="332"/>
      <c r="M922" s="227"/>
      <c r="N922" s="227"/>
      <c r="O922" s="227"/>
      <c r="P922" s="204"/>
      <c r="S922" s="186"/>
      <c r="V922" s="90"/>
    </row>
    <row r="923" spans="1:22" x14ac:dyDescent="0.35">
      <c r="A923">
        <f t="shared" si="33"/>
        <v>0</v>
      </c>
      <c r="G923" s="2"/>
      <c r="H923" s="204"/>
      <c r="I923" s="204"/>
      <c r="J923" s="204"/>
      <c r="K923" s="204"/>
      <c r="L923" s="332"/>
      <c r="M923" s="227"/>
      <c r="N923" s="227"/>
      <c r="O923" s="227"/>
      <c r="P923" s="204"/>
      <c r="S923" s="186"/>
      <c r="V923" s="90"/>
    </row>
    <row r="924" spans="1:22" x14ac:dyDescent="0.35">
      <c r="A924">
        <f t="shared" si="33"/>
        <v>0</v>
      </c>
      <c r="G924" s="2"/>
      <c r="H924" s="204"/>
      <c r="I924" s="204"/>
      <c r="J924" s="204"/>
      <c r="K924" s="204"/>
      <c r="L924" s="332"/>
      <c r="M924" s="227"/>
      <c r="N924" s="227"/>
      <c r="O924" s="227"/>
      <c r="P924" s="204"/>
      <c r="S924" s="186"/>
      <c r="V924" s="90"/>
    </row>
    <row r="925" spans="1:22" x14ac:dyDescent="0.35">
      <c r="A925">
        <f t="shared" si="33"/>
        <v>0</v>
      </c>
      <c r="G925" s="2"/>
      <c r="H925" s="204"/>
      <c r="I925" s="204"/>
      <c r="J925" s="204"/>
      <c r="K925" s="204"/>
      <c r="L925" s="332"/>
      <c r="M925" s="227"/>
      <c r="N925" s="227"/>
      <c r="O925" s="227"/>
      <c r="P925" s="204"/>
      <c r="S925" s="186"/>
      <c r="V925" s="90"/>
    </row>
    <row r="926" spans="1:22" x14ac:dyDescent="0.35">
      <c r="A926">
        <f t="shared" si="33"/>
        <v>0</v>
      </c>
      <c r="G926" s="2"/>
      <c r="H926" s="204"/>
      <c r="I926" s="204"/>
      <c r="J926" s="204"/>
      <c r="K926" s="204"/>
      <c r="L926" s="332"/>
      <c r="M926" s="227"/>
      <c r="N926" s="227"/>
      <c r="O926" s="227"/>
      <c r="P926" s="204"/>
      <c r="S926" s="186"/>
      <c r="V926" s="90"/>
    </row>
    <row r="927" spans="1:22" x14ac:dyDescent="0.35">
      <c r="A927">
        <f t="shared" si="33"/>
        <v>0</v>
      </c>
      <c r="G927" s="2"/>
      <c r="H927" s="204"/>
      <c r="I927" s="204"/>
      <c r="J927" s="204"/>
      <c r="K927" s="204"/>
      <c r="L927" s="332"/>
      <c r="M927" s="227"/>
      <c r="N927" s="227"/>
      <c r="O927" s="227"/>
      <c r="P927" s="204"/>
      <c r="S927" s="186"/>
      <c r="V927" s="90"/>
    </row>
    <row r="928" spans="1:22" x14ac:dyDescent="0.35">
      <c r="A928">
        <f t="shared" si="33"/>
        <v>0</v>
      </c>
      <c r="G928" s="2"/>
      <c r="H928" s="204"/>
      <c r="I928" s="204"/>
      <c r="J928" s="204"/>
      <c r="K928" s="204"/>
      <c r="L928" s="332"/>
      <c r="M928" s="227"/>
      <c r="N928" s="227"/>
      <c r="O928" s="227"/>
      <c r="P928" s="204"/>
      <c r="S928" s="186"/>
      <c r="V928" s="90"/>
    </row>
    <row r="929" spans="1:22" x14ac:dyDescent="0.35">
      <c r="A929">
        <f t="shared" si="33"/>
        <v>0</v>
      </c>
      <c r="G929" s="2"/>
      <c r="H929" s="204"/>
      <c r="I929" s="204"/>
      <c r="J929" s="204"/>
      <c r="K929" s="204"/>
      <c r="L929" s="332"/>
      <c r="M929" s="227"/>
      <c r="N929" s="227"/>
      <c r="O929" s="227"/>
      <c r="P929" s="204"/>
      <c r="S929" s="186"/>
      <c r="V929" s="90"/>
    </row>
    <row r="930" spans="1:22" x14ac:dyDescent="0.35">
      <c r="A930">
        <f t="shared" si="33"/>
        <v>0</v>
      </c>
      <c r="G930" s="2"/>
      <c r="H930" s="204"/>
      <c r="I930" s="204"/>
      <c r="J930" s="204"/>
      <c r="K930" s="204"/>
      <c r="L930" s="332"/>
      <c r="M930" s="227"/>
      <c r="N930" s="227"/>
      <c r="O930" s="227"/>
      <c r="P930" s="204"/>
      <c r="S930" s="186"/>
      <c r="V930" s="90"/>
    </row>
    <row r="931" spans="1:22" x14ac:dyDescent="0.35">
      <c r="A931">
        <f t="shared" si="33"/>
        <v>0</v>
      </c>
      <c r="G931" s="2"/>
      <c r="H931" s="204"/>
      <c r="I931" s="204"/>
      <c r="J931" s="204"/>
      <c r="K931" s="204"/>
      <c r="L931" s="332"/>
      <c r="M931" s="227"/>
      <c r="N931" s="227"/>
      <c r="O931" s="227"/>
      <c r="P931" s="204"/>
      <c r="S931" s="186"/>
      <c r="V931" s="90"/>
    </row>
    <row r="932" spans="1:22" x14ac:dyDescent="0.35">
      <c r="A932">
        <f t="shared" si="33"/>
        <v>0</v>
      </c>
      <c r="G932" s="2"/>
      <c r="H932" s="204"/>
      <c r="I932" s="204"/>
      <c r="J932" s="204"/>
      <c r="K932" s="204"/>
      <c r="L932" s="332"/>
      <c r="M932" s="227"/>
      <c r="N932" s="227"/>
      <c r="O932" s="227"/>
      <c r="P932" s="204"/>
      <c r="S932" s="186"/>
      <c r="V932" s="90"/>
    </row>
    <row r="933" spans="1:22" x14ac:dyDescent="0.35">
      <c r="A933">
        <f t="shared" si="33"/>
        <v>0</v>
      </c>
      <c r="G933" s="2"/>
      <c r="H933" s="204"/>
      <c r="I933" s="204"/>
      <c r="J933" s="204"/>
      <c r="K933" s="204"/>
      <c r="L933" s="332"/>
      <c r="M933" s="227"/>
      <c r="N933" s="227"/>
      <c r="O933" s="227"/>
      <c r="P933" s="204"/>
      <c r="S933" s="186"/>
      <c r="V933" s="90"/>
    </row>
    <row r="934" spans="1:22" x14ac:dyDescent="0.35">
      <c r="A934">
        <f t="shared" si="33"/>
        <v>0</v>
      </c>
      <c r="G934" s="2"/>
      <c r="H934" s="204"/>
      <c r="I934" s="204"/>
      <c r="J934" s="204"/>
      <c r="K934" s="204"/>
      <c r="L934" s="332"/>
      <c r="M934" s="227"/>
      <c r="N934" s="227"/>
      <c r="O934" s="227"/>
      <c r="P934" s="204"/>
      <c r="S934" s="186"/>
      <c r="V934" s="90"/>
    </row>
    <row r="935" spans="1:22" x14ac:dyDescent="0.35">
      <c r="A935">
        <f t="shared" si="33"/>
        <v>0</v>
      </c>
      <c r="G935" s="2"/>
      <c r="H935" s="204"/>
      <c r="I935" s="204"/>
      <c r="J935" s="204"/>
      <c r="K935" s="204"/>
      <c r="L935" s="332"/>
      <c r="M935" s="227"/>
      <c r="N935" s="227"/>
      <c r="O935" s="227"/>
      <c r="P935" s="204"/>
      <c r="S935" s="186"/>
      <c r="V935" s="90"/>
    </row>
    <row r="936" spans="1:22" x14ac:dyDescent="0.35">
      <c r="A936">
        <f t="shared" si="33"/>
        <v>0</v>
      </c>
      <c r="G936" s="2"/>
      <c r="H936" s="204"/>
      <c r="I936" s="204"/>
      <c r="J936" s="204"/>
      <c r="K936" s="204"/>
      <c r="L936" s="332"/>
      <c r="M936" s="227"/>
      <c r="N936" s="227"/>
      <c r="O936" s="227"/>
      <c r="P936" s="204"/>
      <c r="S936" s="186"/>
      <c r="V936" s="90"/>
    </row>
    <row r="937" spans="1:22" x14ac:dyDescent="0.35">
      <c r="A937">
        <f t="shared" si="33"/>
        <v>0</v>
      </c>
      <c r="G937" s="2"/>
      <c r="H937" s="204"/>
      <c r="I937" s="204"/>
      <c r="J937" s="204"/>
      <c r="K937" s="204"/>
      <c r="L937" s="332"/>
      <c r="M937" s="227"/>
      <c r="N937" s="227"/>
      <c r="O937" s="227"/>
      <c r="P937" s="204"/>
      <c r="S937" s="186"/>
      <c r="V937" s="90"/>
    </row>
    <row r="938" spans="1:22" x14ac:dyDescent="0.35">
      <c r="A938">
        <f t="shared" si="33"/>
        <v>0</v>
      </c>
      <c r="G938" s="2"/>
      <c r="H938" s="204"/>
      <c r="I938" s="204"/>
      <c r="J938" s="204"/>
      <c r="K938" s="204"/>
      <c r="L938" s="332"/>
      <c r="M938" s="227"/>
      <c r="N938" s="227"/>
      <c r="O938" s="227"/>
      <c r="P938" s="204"/>
      <c r="S938" s="186"/>
      <c r="V938" s="90"/>
    </row>
    <row r="939" spans="1:22" x14ac:dyDescent="0.35">
      <c r="A939">
        <f t="shared" si="33"/>
        <v>0</v>
      </c>
      <c r="G939" s="2"/>
      <c r="H939" s="204"/>
      <c r="I939" s="204"/>
      <c r="J939" s="204"/>
      <c r="K939" s="204"/>
      <c r="L939" s="332"/>
      <c r="M939" s="227"/>
      <c r="N939" s="227"/>
      <c r="O939" s="227"/>
      <c r="P939" s="204"/>
      <c r="S939" s="186"/>
      <c r="V939" s="90"/>
    </row>
    <row r="940" spans="1:22" x14ac:dyDescent="0.35">
      <c r="A940">
        <f t="shared" si="33"/>
        <v>0</v>
      </c>
      <c r="G940" s="2"/>
      <c r="H940" s="204"/>
      <c r="I940" s="204"/>
      <c r="J940" s="204"/>
      <c r="K940" s="204"/>
      <c r="L940" s="332"/>
      <c r="M940" s="227"/>
      <c r="N940" s="227"/>
      <c r="O940" s="227"/>
      <c r="P940" s="204"/>
      <c r="S940" s="186"/>
      <c r="V940" s="90"/>
    </row>
    <row r="941" spans="1:22" x14ac:dyDescent="0.35">
      <c r="A941">
        <f t="shared" si="33"/>
        <v>0</v>
      </c>
      <c r="G941" s="2"/>
      <c r="H941" s="204"/>
      <c r="I941" s="204"/>
      <c r="J941" s="204"/>
      <c r="K941" s="204"/>
      <c r="L941" s="332"/>
      <c r="M941" s="227"/>
      <c r="N941" s="227"/>
      <c r="O941" s="227"/>
      <c r="P941" s="204"/>
      <c r="S941" s="186"/>
      <c r="V941" s="90"/>
    </row>
    <row r="942" spans="1:22" x14ac:dyDescent="0.35">
      <c r="A942">
        <f t="shared" si="33"/>
        <v>0</v>
      </c>
      <c r="G942" s="2"/>
      <c r="H942" s="204"/>
      <c r="I942" s="204"/>
      <c r="J942" s="204"/>
      <c r="K942" s="204"/>
      <c r="L942" s="332"/>
      <c r="M942" s="227"/>
      <c r="N942" s="227"/>
      <c r="O942" s="227"/>
      <c r="P942" s="204"/>
      <c r="S942" s="186"/>
      <c r="V942" s="90"/>
    </row>
    <row r="943" spans="1:22" x14ac:dyDescent="0.35">
      <c r="A943">
        <f t="shared" si="33"/>
        <v>0</v>
      </c>
      <c r="G943" s="2"/>
      <c r="H943" s="204"/>
      <c r="I943" s="204"/>
      <c r="J943" s="204"/>
      <c r="K943" s="204"/>
      <c r="L943" s="332"/>
      <c r="M943" s="227"/>
      <c r="N943" s="227"/>
      <c r="O943" s="227"/>
      <c r="P943" s="204"/>
      <c r="S943" s="186"/>
      <c r="V943" s="90"/>
    </row>
    <row r="944" spans="1:22" x14ac:dyDescent="0.35">
      <c r="A944">
        <f t="shared" si="33"/>
        <v>0</v>
      </c>
      <c r="G944" s="2"/>
      <c r="H944" s="204"/>
      <c r="I944" s="204"/>
      <c r="J944" s="204"/>
      <c r="K944" s="204"/>
      <c r="L944" s="332"/>
      <c r="M944" s="227"/>
      <c r="N944" s="227"/>
      <c r="O944" s="227"/>
      <c r="P944" s="204"/>
      <c r="S944" s="186"/>
      <c r="V944" s="90"/>
    </row>
    <row r="945" spans="1:22" x14ac:dyDescent="0.35">
      <c r="A945">
        <f t="shared" si="33"/>
        <v>0</v>
      </c>
      <c r="G945" s="2"/>
      <c r="H945" s="204"/>
      <c r="I945" s="204"/>
      <c r="J945" s="204"/>
      <c r="K945" s="204"/>
      <c r="L945" s="332"/>
      <c r="M945" s="227"/>
      <c r="N945" s="227"/>
      <c r="O945" s="227"/>
      <c r="P945" s="204"/>
      <c r="S945" s="186"/>
      <c r="V945" s="90"/>
    </row>
    <row r="946" spans="1:22" x14ac:dyDescent="0.35">
      <c r="A946">
        <f t="shared" si="33"/>
        <v>0</v>
      </c>
      <c r="G946" s="2"/>
      <c r="H946" s="204"/>
      <c r="I946" s="204"/>
      <c r="J946" s="204"/>
      <c r="K946" s="204"/>
      <c r="L946" s="332"/>
      <c r="M946" s="227"/>
      <c r="N946" s="227"/>
      <c r="O946" s="227"/>
      <c r="P946" s="204"/>
      <c r="S946" s="186"/>
      <c r="V946" s="90"/>
    </row>
    <row r="947" spans="1:22" x14ac:dyDescent="0.35">
      <c r="A947">
        <f t="shared" si="33"/>
        <v>0</v>
      </c>
      <c r="G947" s="2"/>
      <c r="H947" s="204"/>
      <c r="I947" s="204"/>
      <c r="J947" s="204"/>
      <c r="K947" s="204"/>
      <c r="L947" s="332"/>
      <c r="M947" s="227"/>
      <c r="N947" s="227"/>
      <c r="O947" s="227"/>
      <c r="P947" s="204"/>
      <c r="S947" s="186"/>
      <c r="V947" s="90"/>
    </row>
    <row r="948" spans="1:22" x14ac:dyDescent="0.35">
      <c r="A948">
        <f t="shared" si="33"/>
        <v>0</v>
      </c>
      <c r="G948" s="2"/>
      <c r="H948" s="204"/>
      <c r="I948" s="204"/>
      <c r="J948" s="204"/>
      <c r="K948" s="204"/>
      <c r="L948" s="332"/>
      <c r="M948" s="227"/>
      <c r="N948" s="227"/>
      <c r="O948" s="227"/>
      <c r="P948" s="204"/>
      <c r="S948" s="186"/>
      <c r="V948" s="90"/>
    </row>
    <row r="949" spans="1:22" x14ac:dyDescent="0.35">
      <c r="A949">
        <f t="shared" si="33"/>
        <v>0</v>
      </c>
      <c r="G949" s="2"/>
      <c r="H949" s="204"/>
      <c r="I949" s="204"/>
      <c r="J949" s="204"/>
      <c r="K949" s="204"/>
      <c r="L949" s="332"/>
      <c r="M949" s="227"/>
      <c r="N949" s="227"/>
      <c r="O949" s="227"/>
      <c r="P949" s="204"/>
      <c r="S949" s="186"/>
      <c r="V949" s="90"/>
    </row>
    <row r="950" spans="1:22" x14ac:dyDescent="0.35">
      <c r="A950">
        <f t="shared" si="33"/>
        <v>0</v>
      </c>
      <c r="G950" s="2"/>
      <c r="H950" s="204"/>
      <c r="I950" s="204"/>
      <c r="J950" s="204"/>
      <c r="K950" s="204"/>
      <c r="L950" s="332"/>
      <c r="M950" s="227"/>
      <c r="N950" s="227"/>
      <c r="O950" s="227"/>
      <c r="P950" s="204"/>
      <c r="S950" s="186"/>
      <c r="V950" s="90"/>
    </row>
    <row r="951" spans="1:22" x14ac:dyDescent="0.35">
      <c r="A951">
        <f t="shared" si="33"/>
        <v>0</v>
      </c>
      <c r="G951" s="2"/>
      <c r="H951" s="204"/>
      <c r="I951" s="204"/>
      <c r="J951" s="204"/>
      <c r="K951" s="204"/>
      <c r="L951" s="332"/>
      <c r="M951" s="227"/>
      <c r="N951" s="227"/>
      <c r="O951" s="227"/>
      <c r="P951" s="204"/>
      <c r="S951" s="186"/>
      <c r="V951" s="90"/>
    </row>
    <row r="952" spans="1:22" x14ac:dyDescent="0.35">
      <c r="A952">
        <f t="shared" si="33"/>
        <v>0</v>
      </c>
      <c r="G952" s="2"/>
      <c r="H952" s="204"/>
      <c r="I952" s="204"/>
      <c r="J952" s="204"/>
      <c r="K952" s="204"/>
      <c r="L952" s="332"/>
      <c r="M952" s="227"/>
      <c r="N952" s="227"/>
      <c r="O952" s="227"/>
      <c r="P952" s="204"/>
      <c r="S952" s="186"/>
      <c r="V952" s="90"/>
    </row>
    <row r="953" spans="1:22" x14ac:dyDescent="0.35">
      <c r="A953">
        <f t="shared" si="33"/>
        <v>0</v>
      </c>
      <c r="G953" s="2"/>
      <c r="H953" s="204"/>
      <c r="I953" s="204"/>
      <c r="J953" s="204"/>
      <c r="K953" s="204"/>
      <c r="L953" s="332"/>
      <c r="M953" s="227"/>
      <c r="N953" s="227"/>
      <c r="O953" s="227"/>
      <c r="P953" s="204"/>
      <c r="S953" s="186"/>
      <c r="V953" s="90"/>
    </row>
    <row r="954" spans="1:22" x14ac:dyDescent="0.35">
      <c r="A954">
        <f t="shared" si="33"/>
        <v>0</v>
      </c>
      <c r="G954" s="2"/>
      <c r="H954" s="204"/>
      <c r="I954" s="204"/>
      <c r="J954" s="204"/>
      <c r="K954" s="204"/>
      <c r="L954" s="332"/>
      <c r="M954" s="227"/>
      <c r="N954" s="227"/>
      <c r="O954" s="227"/>
      <c r="P954" s="204"/>
      <c r="S954" s="186"/>
      <c r="V954" s="90"/>
    </row>
    <row r="955" spans="1:22" x14ac:dyDescent="0.35">
      <c r="A955">
        <f t="shared" si="33"/>
        <v>0</v>
      </c>
      <c r="G955" s="2"/>
      <c r="H955" s="204"/>
      <c r="I955" s="204"/>
      <c r="J955" s="204"/>
      <c r="K955" s="204"/>
      <c r="L955" s="332"/>
      <c r="M955" s="227"/>
      <c r="N955" s="227"/>
      <c r="O955" s="227"/>
      <c r="P955" s="204"/>
      <c r="S955" s="186"/>
      <c r="V955" s="90"/>
    </row>
    <row r="956" spans="1:22" x14ac:dyDescent="0.35">
      <c r="A956">
        <f t="shared" si="33"/>
        <v>0</v>
      </c>
      <c r="G956" s="2"/>
      <c r="H956" s="204"/>
      <c r="I956" s="204"/>
      <c r="J956" s="204"/>
      <c r="K956" s="204"/>
      <c r="L956" s="332"/>
      <c r="M956" s="227"/>
      <c r="N956" s="227"/>
      <c r="O956" s="227"/>
      <c r="P956" s="204"/>
      <c r="S956" s="186"/>
      <c r="V956" s="90"/>
    </row>
    <row r="957" spans="1:22" x14ac:dyDescent="0.35">
      <c r="A957">
        <f t="shared" si="33"/>
        <v>0</v>
      </c>
      <c r="G957" s="2"/>
      <c r="H957" s="204"/>
      <c r="I957" s="204"/>
      <c r="J957" s="204"/>
      <c r="K957" s="204"/>
      <c r="L957" s="332"/>
      <c r="M957" s="227"/>
      <c r="N957" s="227"/>
      <c r="O957" s="227"/>
      <c r="P957" s="204"/>
      <c r="S957" s="186"/>
      <c r="V957" s="90"/>
    </row>
    <row r="958" spans="1:22" x14ac:dyDescent="0.35">
      <c r="A958">
        <f t="shared" si="33"/>
        <v>0</v>
      </c>
      <c r="G958" s="2"/>
      <c r="H958" s="204"/>
      <c r="I958" s="204"/>
      <c r="J958" s="204"/>
      <c r="K958" s="204"/>
      <c r="L958" s="332"/>
      <c r="M958" s="227"/>
      <c r="N958" s="227"/>
      <c r="O958" s="227"/>
      <c r="P958" s="204"/>
      <c r="S958" s="186"/>
      <c r="V958" s="90"/>
    </row>
    <row r="959" spans="1:22" x14ac:dyDescent="0.35">
      <c r="A959">
        <f t="shared" si="33"/>
        <v>0</v>
      </c>
      <c r="G959" s="2"/>
      <c r="H959" s="204"/>
      <c r="I959" s="204"/>
      <c r="J959" s="204"/>
      <c r="K959" s="204"/>
      <c r="L959" s="332"/>
      <c r="M959" s="227"/>
      <c r="N959" s="227"/>
      <c r="O959" s="227"/>
      <c r="P959" s="204"/>
      <c r="S959" s="186"/>
      <c r="V959" s="90"/>
    </row>
    <row r="960" spans="1:22" x14ac:dyDescent="0.35">
      <c r="A960">
        <f t="shared" si="33"/>
        <v>0</v>
      </c>
      <c r="G960" s="2"/>
      <c r="H960" s="204"/>
      <c r="I960" s="204"/>
      <c r="J960" s="204"/>
      <c r="K960" s="204"/>
      <c r="L960" s="332"/>
      <c r="M960" s="227"/>
      <c r="N960" s="227"/>
      <c r="O960" s="227"/>
      <c r="P960" s="204"/>
      <c r="S960" s="186"/>
      <c r="V960" s="90"/>
    </row>
    <row r="961" spans="1:22" x14ac:dyDescent="0.35">
      <c r="A961">
        <f t="shared" si="33"/>
        <v>0</v>
      </c>
      <c r="G961" s="2"/>
      <c r="H961" s="204"/>
      <c r="I961" s="204"/>
      <c r="J961" s="204"/>
      <c r="K961" s="204"/>
      <c r="L961" s="332"/>
      <c r="M961" s="227"/>
      <c r="N961" s="227"/>
      <c r="O961" s="227"/>
      <c r="P961" s="204"/>
      <c r="S961" s="186"/>
      <c r="V961" s="90"/>
    </row>
    <row r="962" spans="1:22" x14ac:dyDescent="0.35">
      <c r="A962">
        <f t="shared" si="33"/>
        <v>0</v>
      </c>
      <c r="G962" s="2"/>
      <c r="H962" s="204"/>
      <c r="I962" s="204"/>
      <c r="J962" s="204"/>
      <c r="K962" s="204"/>
      <c r="L962" s="332"/>
      <c r="M962" s="227"/>
      <c r="N962" s="227"/>
      <c r="O962" s="227"/>
      <c r="P962" s="204"/>
      <c r="S962" s="186"/>
      <c r="V962" s="90"/>
    </row>
    <row r="963" spans="1:22" x14ac:dyDescent="0.35">
      <c r="A963">
        <f t="shared" si="33"/>
        <v>0</v>
      </c>
      <c r="G963" s="2"/>
      <c r="H963" s="204"/>
      <c r="I963" s="204"/>
      <c r="J963" s="204"/>
      <c r="K963" s="204"/>
      <c r="L963" s="332"/>
      <c r="M963" s="227"/>
      <c r="N963" s="227"/>
      <c r="O963" s="227"/>
      <c r="P963" s="204"/>
      <c r="S963" s="186"/>
      <c r="V963" s="90"/>
    </row>
    <row r="964" spans="1:22" x14ac:dyDescent="0.35">
      <c r="A964">
        <f t="shared" si="33"/>
        <v>0</v>
      </c>
      <c r="G964" s="2"/>
      <c r="H964" s="204"/>
      <c r="I964" s="204"/>
      <c r="J964" s="204"/>
      <c r="K964" s="204"/>
      <c r="L964" s="332"/>
      <c r="M964" s="227"/>
      <c r="N964" s="227"/>
      <c r="O964" s="227"/>
      <c r="P964" s="204"/>
      <c r="S964" s="186"/>
      <c r="V964" s="90"/>
    </row>
    <row r="965" spans="1:22" x14ac:dyDescent="0.35">
      <c r="A965">
        <f t="shared" si="33"/>
        <v>0</v>
      </c>
      <c r="G965" s="2"/>
      <c r="H965" s="204"/>
      <c r="I965" s="204"/>
      <c r="J965" s="204"/>
      <c r="K965" s="204"/>
      <c r="L965" s="332"/>
      <c r="M965" s="227"/>
      <c r="N965" s="227"/>
      <c r="O965" s="227"/>
      <c r="P965" s="204"/>
      <c r="S965" s="186"/>
      <c r="V965" s="90"/>
    </row>
    <row r="966" spans="1:22" x14ac:dyDescent="0.35">
      <c r="A966">
        <f t="shared" si="33"/>
        <v>0</v>
      </c>
      <c r="G966" s="2"/>
      <c r="H966" s="204"/>
      <c r="I966" s="204"/>
      <c r="J966" s="204"/>
      <c r="K966" s="204"/>
      <c r="L966" s="332"/>
      <c r="M966" s="227"/>
      <c r="N966" s="227"/>
      <c r="O966" s="227"/>
      <c r="P966" s="204"/>
      <c r="S966" s="186"/>
      <c r="V966" s="90"/>
    </row>
    <row r="967" spans="1:22" x14ac:dyDescent="0.35">
      <c r="A967">
        <f t="shared" si="33"/>
        <v>0</v>
      </c>
      <c r="G967" s="2"/>
      <c r="H967" s="204"/>
      <c r="I967" s="204"/>
      <c r="J967" s="204"/>
      <c r="K967" s="204"/>
      <c r="L967" s="332"/>
      <c r="M967" s="227"/>
      <c r="N967" s="227"/>
      <c r="O967" s="227"/>
      <c r="P967" s="204"/>
      <c r="S967" s="186"/>
      <c r="V967" s="90"/>
    </row>
    <row r="968" spans="1:22" x14ac:dyDescent="0.35">
      <c r="A968">
        <f t="shared" ref="A968:A1027" si="34">IF(B968="",0,COUNTIFS($B$7:$B$999,B968,$C$7:$C$999,C968))</f>
        <v>0</v>
      </c>
      <c r="G968" s="2"/>
      <c r="H968" s="204"/>
      <c r="I968" s="204"/>
      <c r="J968" s="204"/>
      <c r="K968" s="204"/>
      <c r="L968" s="332"/>
      <c r="M968" s="227"/>
      <c r="N968" s="227"/>
      <c r="O968" s="227"/>
      <c r="P968" s="204"/>
      <c r="S968" s="186"/>
      <c r="V968" s="90"/>
    </row>
    <row r="969" spans="1:22" x14ac:dyDescent="0.35">
      <c r="A969">
        <f t="shared" si="34"/>
        <v>0</v>
      </c>
      <c r="G969" s="2"/>
      <c r="H969" s="204"/>
      <c r="I969" s="204"/>
      <c r="J969" s="204"/>
      <c r="K969" s="204"/>
      <c r="L969" s="332"/>
      <c r="M969" s="227"/>
      <c r="N969" s="227"/>
      <c r="O969" s="227"/>
      <c r="P969" s="204"/>
      <c r="S969" s="186"/>
      <c r="V969" s="90"/>
    </row>
    <row r="970" spans="1:22" x14ac:dyDescent="0.35">
      <c r="A970">
        <f t="shared" si="34"/>
        <v>0</v>
      </c>
      <c r="G970" s="2"/>
      <c r="H970" s="204"/>
      <c r="I970" s="204"/>
      <c r="J970" s="204"/>
      <c r="K970" s="204"/>
      <c r="L970" s="332"/>
      <c r="M970" s="227"/>
      <c r="N970" s="227"/>
      <c r="O970" s="227"/>
      <c r="P970" s="204"/>
      <c r="S970" s="186"/>
      <c r="V970" s="90"/>
    </row>
    <row r="971" spans="1:22" x14ac:dyDescent="0.35">
      <c r="A971">
        <f t="shared" si="34"/>
        <v>0</v>
      </c>
      <c r="G971" s="2"/>
      <c r="H971" s="204"/>
      <c r="I971" s="204"/>
      <c r="J971" s="204"/>
      <c r="K971" s="204"/>
      <c r="L971" s="332"/>
      <c r="M971" s="227"/>
      <c r="N971" s="227"/>
      <c r="O971" s="227"/>
      <c r="P971" s="204"/>
      <c r="S971" s="186"/>
      <c r="V971" s="90"/>
    </row>
    <row r="972" spans="1:22" x14ac:dyDescent="0.35">
      <c r="A972">
        <f t="shared" si="34"/>
        <v>0</v>
      </c>
      <c r="G972" s="2"/>
      <c r="H972" s="204"/>
      <c r="I972" s="204"/>
      <c r="J972" s="204"/>
      <c r="K972" s="204"/>
      <c r="L972" s="332"/>
      <c r="M972" s="227"/>
      <c r="N972" s="227"/>
      <c r="O972" s="227"/>
      <c r="P972" s="204"/>
      <c r="S972" s="186"/>
      <c r="V972" s="90"/>
    </row>
    <row r="973" spans="1:22" x14ac:dyDescent="0.35">
      <c r="A973">
        <f t="shared" si="34"/>
        <v>0</v>
      </c>
      <c r="G973" s="2"/>
      <c r="H973" s="204"/>
      <c r="I973" s="204"/>
      <c r="J973" s="204"/>
      <c r="K973" s="204"/>
      <c r="L973" s="332"/>
      <c r="M973" s="227"/>
      <c r="N973" s="227"/>
      <c r="O973" s="227"/>
      <c r="P973" s="204"/>
      <c r="S973" s="186"/>
      <c r="V973" s="90"/>
    </row>
    <row r="974" spans="1:22" x14ac:dyDescent="0.35">
      <c r="A974">
        <f t="shared" si="34"/>
        <v>0</v>
      </c>
      <c r="G974" s="2"/>
      <c r="H974" s="204"/>
      <c r="I974" s="204"/>
      <c r="J974" s="204"/>
      <c r="K974" s="204"/>
      <c r="L974" s="332"/>
      <c r="M974" s="227"/>
      <c r="N974" s="227"/>
      <c r="O974" s="227"/>
      <c r="P974" s="204"/>
      <c r="S974" s="186"/>
      <c r="V974" s="90"/>
    </row>
    <row r="975" spans="1:22" x14ac:dyDescent="0.35">
      <c r="A975">
        <f t="shared" si="34"/>
        <v>0</v>
      </c>
      <c r="G975" s="2"/>
      <c r="H975" s="204"/>
      <c r="I975" s="204"/>
      <c r="J975" s="204"/>
      <c r="K975" s="204"/>
      <c r="L975" s="332"/>
      <c r="M975" s="227"/>
      <c r="N975" s="227"/>
      <c r="O975" s="227"/>
      <c r="P975" s="204"/>
      <c r="S975" s="186"/>
      <c r="V975" s="90"/>
    </row>
    <row r="976" spans="1:22" x14ac:dyDescent="0.35">
      <c r="A976">
        <f t="shared" si="34"/>
        <v>0</v>
      </c>
      <c r="G976" s="2"/>
      <c r="H976" s="204"/>
      <c r="I976" s="204"/>
      <c r="J976" s="204"/>
      <c r="K976" s="204"/>
      <c r="L976" s="332"/>
      <c r="M976" s="227"/>
      <c r="N976" s="227"/>
      <c r="O976" s="227"/>
      <c r="P976" s="204"/>
      <c r="S976" s="186"/>
      <c r="V976" s="90"/>
    </row>
    <row r="977" spans="1:22" x14ac:dyDescent="0.35">
      <c r="A977">
        <f t="shared" si="34"/>
        <v>0</v>
      </c>
      <c r="G977" s="2"/>
      <c r="H977" s="204"/>
      <c r="I977" s="204"/>
      <c r="J977" s="204"/>
      <c r="K977" s="204"/>
      <c r="L977" s="332"/>
      <c r="M977" s="227"/>
      <c r="N977" s="227"/>
      <c r="O977" s="227"/>
      <c r="P977" s="204"/>
      <c r="S977" s="186"/>
      <c r="V977" s="90"/>
    </row>
    <row r="978" spans="1:22" x14ac:dyDescent="0.35">
      <c r="A978">
        <f t="shared" si="34"/>
        <v>0</v>
      </c>
      <c r="G978" s="2"/>
      <c r="H978" s="204"/>
      <c r="I978" s="204"/>
      <c r="J978" s="204"/>
      <c r="K978" s="204"/>
      <c r="L978" s="332"/>
      <c r="M978" s="227"/>
      <c r="N978" s="227"/>
      <c r="O978" s="227"/>
      <c r="P978" s="204"/>
      <c r="S978" s="186"/>
      <c r="V978" s="90"/>
    </row>
    <row r="979" spans="1:22" x14ac:dyDescent="0.35">
      <c r="A979">
        <f t="shared" si="34"/>
        <v>0</v>
      </c>
      <c r="G979" s="2"/>
      <c r="H979" s="204"/>
      <c r="I979" s="204"/>
      <c r="J979" s="204"/>
      <c r="K979" s="204"/>
      <c r="L979" s="332"/>
      <c r="M979" s="227"/>
      <c r="N979" s="227"/>
      <c r="O979" s="227"/>
      <c r="P979" s="204"/>
      <c r="S979" s="186"/>
      <c r="V979" s="90"/>
    </row>
    <row r="980" spans="1:22" x14ac:dyDescent="0.35">
      <c r="A980">
        <f t="shared" si="34"/>
        <v>0</v>
      </c>
      <c r="G980" s="2"/>
      <c r="H980" s="204"/>
      <c r="I980" s="204"/>
      <c r="J980" s="204"/>
      <c r="K980" s="204"/>
      <c r="L980" s="332"/>
      <c r="M980" s="227"/>
      <c r="N980" s="227"/>
      <c r="O980" s="227"/>
      <c r="P980" s="204"/>
      <c r="S980" s="186"/>
      <c r="V980" s="90"/>
    </row>
    <row r="981" spans="1:22" x14ac:dyDescent="0.35">
      <c r="A981">
        <f t="shared" si="34"/>
        <v>0</v>
      </c>
      <c r="G981" s="2"/>
      <c r="H981" s="204"/>
      <c r="I981" s="204"/>
      <c r="J981" s="204"/>
      <c r="K981" s="204"/>
      <c r="L981" s="332"/>
      <c r="M981" s="227"/>
      <c r="N981" s="227"/>
      <c r="O981" s="227"/>
      <c r="P981" s="204"/>
      <c r="S981" s="186"/>
      <c r="V981" s="90"/>
    </row>
    <row r="982" spans="1:22" x14ac:dyDescent="0.35">
      <c r="A982">
        <f t="shared" si="34"/>
        <v>0</v>
      </c>
      <c r="G982" s="2"/>
      <c r="H982" s="204"/>
      <c r="I982" s="204"/>
      <c r="J982" s="204"/>
      <c r="K982" s="204"/>
      <c r="L982" s="332"/>
      <c r="M982" s="227"/>
      <c r="N982" s="227"/>
      <c r="O982" s="227"/>
      <c r="P982" s="204"/>
      <c r="S982" s="186"/>
      <c r="V982" s="90"/>
    </row>
    <row r="983" spans="1:22" x14ac:dyDescent="0.35">
      <c r="A983">
        <f t="shared" si="34"/>
        <v>0</v>
      </c>
      <c r="G983" s="2"/>
      <c r="H983" s="204"/>
      <c r="I983" s="204"/>
      <c r="J983" s="204"/>
      <c r="K983" s="204"/>
      <c r="L983" s="332"/>
      <c r="M983" s="227"/>
      <c r="N983" s="227"/>
      <c r="O983" s="227"/>
      <c r="P983" s="204"/>
      <c r="S983" s="186"/>
      <c r="V983" s="90"/>
    </row>
    <row r="984" spans="1:22" x14ac:dyDescent="0.35">
      <c r="A984">
        <f t="shared" si="34"/>
        <v>0</v>
      </c>
      <c r="G984" s="2"/>
      <c r="H984" s="204"/>
      <c r="I984" s="204"/>
      <c r="J984" s="204"/>
      <c r="K984" s="204"/>
      <c r="L984" s="332"/>
      <c r="M984" s="227"/>
      <c r="N984" s="227"/>
      <c r="O984" s="227"/>
      <c r="P984" s="204"/>
      <c r="S984" s="186"/>
      <c r="V984" s="90"/>
    </row>
    <row r="985" spans="1:22" x14ac:dyDescent="0.35">
      <c r="A985">
        <f t="shared" si="34"/>
        <v>0</v>
      </c>
      <c r="G985" s="2"/>
      <c r="H985" s="204"/>
      <c r="I985" s="204"/>
      <c r="J985" s="204"/>
      <c r="K985" s="204"/>
      <c r="L985" s="332"/>
      <c r="M985" s="227"/>
      <c r="N985" s="227"/>
      <c r="O985" s="227"/>
      <c r="P985" s="204"/>
      <c r="S985" s="186"/>
      <c r="V985" s="90"/>
    </row>
    <row r="986" spans="1:22" x14ac:dyDescent="0.35">
      <c r="A986">
        <f t="shared" si="34"/>
        <v>0</v>
      </c>
      <c r="G986" s="2"/>
      <c r="H986" s="204"/>
      <c r="I986" s="204"/>
      <c r="J986" s="204"/>
      <c r="K986" s="204"/>
      <c r="L986" s="332"/>
      <c r="M986" s="227"/>
      <c r="N986" s="227"/>
      <c r="O986" s="227"/>
      <c r="P986" s="204"/>
      <c r="S986" s="186"/>
      <c r="V986" s="90"/>
    </row>
    <row r="987" spans="1:22" x14ac:dyDescent="0.35">
      <c r="A987">
        <f t="shared" si="34"/>
        <v>0</v>
      </c>
      <c r="G987" s="2"/>
      <c r="H987" s="204"/>
      <c r="I987" s="204"/>
      <c r="J987" s="204"/>
      <c r="K987" s="204"/>
      <c r="L987" s="332"/>
      <c r="M987" s="227"/>
      <c r="N987" s="227"/>
      <c r="O987" s="227"/>
      <c r="P987" s="204"/>
      <c r="S987" s="186"/>
      <c r="V987" s="90"/>
    </row>
    <row r="988" spans="1:22" x14ac:dyDescent="0.35">
      <c r="A988">
        <f t="shared" si="34"/>
        <v>0</v>
      </c>
      <c r="G988" s="2"/>
      <c r="H988" s="204"/>
      <c r="I988" s="204"/>
      <c r="J988" s="204"/>
      <c r="K988" s="204"/>
      <c r="L988" s="332"/>
      <c r="M988" s="227"/>
      <c r="N988" s="227"/>
      <c r="O988" s="227"/>
      <c r="P988" s="204"/>
      <c r="S988" s="186"/>
      <c r="V988" s="90"/>
    </row>
    <row r="989" spans="1:22" x14ac:dyDescent="0.35">
      <c r="A989">
        <f t="shared" si="34"/>
        <v>0</v>
      </c>
      <c r="G989" s="2"/>
      <c r="H989" s="204"/>
      <c r="I989" s="204"/>
      <c r="J989" s="204"/>
      <c r="K989" s="204"/>
      <c r="L989" s="332"/>
      <c r="M989" s="227"/>
      <c r="N989" s="227"/>
      <c r="O989" s="227"/>
      <c r="P989" s="204"/>
      <c r="S989" s="186"/>
      <c r="V989" s="90"/>
    </row>
    <row r="990" spans="1:22" x14ac:dyDescent="0.35">
      <c r="A990">
        <f t="shared" si="34"/>
        <v>0</v>
      </c>
      <c r="G990" s="2"/>
      <c r="H990" s="204"/>
      <c r="I990" s="204"/>
      <c r="J990" s="204"/>
      <c r="K990" s="204"/>
      <c r="L990" s="332"/>
      <c r="M990" s="227"/>
      <c r="N990" s="227"/>
      <c r="O990" s="227"/>
      <c r="P990" s="204"/>
      <c r="S990" s="186"/>
      <c r="V990" s="90"/>
    </row>
    <row r="991" spans="1:22" x14ac:dyDescent="0.35">
      <c r="A991">
        <f t="shared" si="34"/>
        <v>0</v>
      </c>
      <c r="G991" s="2"/>
      <c r="H991" s="204"/>
      <c r="I991" s="204"/>
      <c r="J991" s="204"/>
      <c r="K991" s="204"/>
      <c r="L991" s="332"/>
      <c r="M991" s="227"/>
      <c r="N991" s="227"/>
      <c r="O991" s="227"/>
      <c r="P991" s="204"/>
      <c r="S991" s="186"/>
      <c r="V991" s="90"/>
    </row>
    <row r="992" spans="1:22" x14ac:dyDescent="0.35">
      <c r="A992">
        <f t="shared" si="34"/>
        <v>0</v>
      </c>
      <c r="G992" s="2"/>
      <c r="H992" s="204"/>
      <c r="I992" s="204"/>
      <c r="J992" s="204"/>
      <c r="K992" s="204"/>
      <c r="L992" s="332"/>
      <c r="M992" s="227"/>
      <c r="N992" s="227"/>
      <c r="O992" s="227"/>
      <c r="P992" s="204"/>
      <c r="S992" s="186"/>
      <c r="V992" s="90"/>
    </row>
    <row r="993" spans="1:22" x14ac:dyDescent="0.35">
      <c r="A993">
        <f t="shared" si="34"/>
        <v>0</v>
      </c>
      <c r="G993" s="2"/>
      <c r="H993" s="204"/>
      <c r="I993" s="204"/>
      <c r="J993" s="204"/>
      <c r="K993" s="204"/>
      <c r="L993" s="332"/>
      <c r="M993" s="227"/>
      <c r="N993" s="227"/>
      <c r="O993" s="227"/>
      <c r="P993" s="204"/>
      <c r="S993" s="186"/>
      <c r="V993" s="90"/>
    </row>
    <row r="994" spans="1:22" x14ac:dyDescent="0.35">
      <c r="A994">
        <f t="shared" si="34"/>
        <v>0</v>
      </c>
      <c r="G994" s="2"/>
      <c r="H994" s="204"/>
      <c r="I994" s="204"/>
      <c r="J994" s="204"/>
      <c r="K994" s="204"/>
      <c r="L994" s="332"/>
      <c r="M994" s="227"/>
      <c r="N994" s="227"/>
      <c r="O994" s="227"/>
      <c r="P994" s="204"/>
      <c r="S994" s="186"/>
      <c r="V994" s="90"/>
    </row>
    <row r="995" spans="1:22" x14ac:dyDescent="0.35">
      <c r="A995">
        <f t="shared" si="34"/>
        <v>0</v>
      </c>
      <c r="G995" s="2"/>
      <c r="H995" s="204"/>
      <c r="I995" s="204"/>
      <c r="J995" s="204"/>
      <c r="K995" s="204"/>
      <c r="L995" s="332"/>
      <c r="M995" s="227"/>
      <c r="N995" s="227"/>
      <c r="O995" s="227"/>
      <c r="P995" s="204"/>
      <c r="S995" s="186"/>
      <c r="V995" s="90"/>
    </row>
    <row r="996" spans="1:22" x14ac:dyDescent="0.35">
      <c r="A996">
        <f t="shared" si="34"/>
        <v>0</v>
      </c>
      <c r="G996" s="2"/>
      <c r="H996" s="204"/>
      <c r="I996" s="204"/>
      <c r="J996" s="204"/>
      <c r="K996" s="204"/>
      <c r="L996" s="332"/>
      <c r="M996" s="227"/>
      <c r="N996" s="227"/>
      <c r="O996" s="227"/>
      <c r="P996" s="204"/>
      <c r="S996" s="186"/>
      <c r="V996" s="90"/>
    </row>
    <row r="997" spans="1:22" x14ac:dyDescent="0.35">
      <c r="A997">
        <f t="shared" si="34"/>
        <v>0</v>
      </c>
      <c r="G997" s="2"/>
      <c r="H997" s="204"/>
      <c r="I997" s="204"/>
      <c r="J997" s="204"/>
      <c r="K997" s="204"/>
      <c r="L997" s="332"/>
      <c r="M997" s="227"/>
      <c r="N997" s="227"/>
      <c r="O997" s="227"/>
      <c r="P997" s="204"/>
      <c r="S997" s="186"/>
      <c r="V997" s="90"/>
    </row>
    <row r="998" spans="1:22" x14ac:dyDescent="0.35">
      <c r="A998">
        <f t="shared" si="34"/>
        <v>0</v>
      </c>
      <c r="G998" s="2"/>
      <c r="H998" s="204"/>
      <c r="I998" s="204"/>
      <c r="J998" s="204"/>
      <c r="K998" s="204"/>
      <c r="L998" s="332"/>
      <c r="M998" s="227"/>
      <c r="N998" s="227"/>
      <c r="O998" s="227"/>
      <c r="P998" s="204"/>
      <c r="S998" s="186"/>
      <c r="V998" s="90"/>
    </row>
    <row r="999" spans="1:22" x14ac:dyDescent="0.35">
      <c r="A999">
        <f t="shared" si="34"/>
        <v>0</v>
      </c>
      <c r="G999" s="2"/>
      <c r="H999" s="204"/>
      <c r="I999" s="204"/>
      <c r="J999" s="204"/>
      <c r="K999" s="204"/>
      <c r="L999" s="332"/>
      <c r="M999" s="227"/>
      <c r="N999" s="227"/>
      <c r="O999" s="227"/>
      <c r="P999" s="204"/>
      <c r="S999" s="186"/>
      <c r="V999" s="90"/>
    </row>
    <row r="1000" spans="1:22" x14ac:dyDescent="0.35">
      <c r="A1000">
        <f t="shared" si="34"/>
        <v>0</v>
      </c>
      <c r="G1000" s="2"/>
      <c r="H1000" s="204"/>
      <c r="I1000" s="204"/>
      <c r="J1000" s="204"/>
      <c r="K1000" s="204"/>
      <c r="L1000" s="332"/>
      <c r="M1000" s="227"/>
      <c r="N1000" s="227"/>
      <c r="O1000" s="227"/>
      <c r="P1000" s="204"/>
      <c r="S1000" s="186"/>
      <c r="V1000" s="90"/>
    </row>
    <row r="1001" spans="1:22" x14ac:dyDescent="0.35">
      <c r="A1001">
        <f t="shared" si="34"/>
        <v>0</v>
      </c>
      <c r="G1001" s="2"/>
      <c r="H1001" s="204"/>
      <c r="I1001" s="204"/>
      <c r="J1001" s="204"/>
      <c r="K1001" s="204"/>
      <c r="L1001" s="332"/>
      <c r="M1001" s="227"/>
      <c r="N1001" s="227"/>
      <c r="O1001" s="227"/>
      <c r="P1001" s="204"/>
      <c r="S1001" s="186"/>
      <c r="V1001" s="90"/>
    </row>
    <row r="1002" spans="1:22" x14ac:dyDescent="0.35">
      <c r="A1002">
        <f t="shared" si="34"/>
        <v>0</v>
      </c>
      <c r="G1002" s="2"/>
      <c r="H1002" s="204"/>
      <c r="I1002" s="204"/>
      <c r="J1002" s="204"/>
      <c r="K1002" s="204"/>
      <c r="L1002" s="332"/>
      <c r="M1002" s="227"/>
      <c r="N1002" s="227"/>
      <c r="O1002" s="227"/>
      <c r="P1002" s="204"/>
      <c r="S1002" s="186"/>
      <c r="V1002" s="90"/>
    </row>
    <row r="1003" spans="1:22" x14ac:dyDescent="0.35">
      <c r="A1003">
        <f t="shared" si="34"/>
        <v>0</v>
      </c>
      <c r="G1003" s="2"/>
      <c r="H1003" s="204"/>
      <c r="I1003" s="204"/>
      <c r="J1003" s="204"/>
      <c r="K1003" s="204"/>
      <c r="L1003" s="332"/>
      <c r="M1003" s="227"/>
      <c r="N1003" s="227"/>
      <c r="O1003" s="227"/>
      <c r="P1003" s="204"/>
      <c r="S1003" s="186"/>
      <c r="V1003" s="90"/>
    </row>
    <row r="1004" spans="1:22" x14ac:dyDescent="0.35">
      <c r="A1004">
        <f t="shared" si="34"/>
        <v>0</v>
      </c>
      <c r="G1004" s="2"/>
      <c r="H1004" s="204"/>
      <c r="I1004" s="204"/>
      <c r="J1004" s="204"/>
      <c r="K1004" s="204"/>
      <c r="L1004" s="332"/>
      <c r="M1004" s="227"/>
      <c r="N1004" s="227"/>
      <c r="O1004" s="227"/>
      <c r="P1004" s="204"/>
      <c r="S1004" s="186"/>
      <c r="V1004" s="90"/>
    </row>
    <row r="1005" spans="1:22" x14ac:dyDescent="0.35">
      <c r="A1005">
        <f t="shared" si="34"/>
        <v>0</v>
      </c>
      <c r="G1005" s="2"/>
      <c r="H1005" s="204"/>
      <c r="I1005" s="204"/>
      <c r="J1005" s="204"/>
      <c r="K1005" s="204"/>
      <c r="L1005" s="332"/>
      <c r="M1005" s="227"/>
      <c r="N1005" s="227"/>
      <c r="O1005" s="227"/>
      <c r="P1005" s="204"/>
      <c r="S1005" s="186"/>
      <c r="V1005" s="90"/>
    </row>
    <row r="1006" spans="1:22" x14ac:dyDescent="0.35">
      <c r="A1006">
        <f t="shared" si="34"/>
        <v>0</v>
      </c>
      <c r="G1006" s="2"/>
      <c r="H1006" s="204"/>
      <c r="I1006" s="204"/>
      <c r="J1006" s="204"/>
      <c r="K1006" s="204"/>
      <c r="L1006" s="332"/>
      <c r="M1006" s="227"/>
      <c r="N1006" s="227"/>
      <c r="O1006" s="227"/>
      <c r="P1006" s="204"/>
      <c r="S1006" s="186"/>
      <c r="V1006" s="90"/>
    </row>
    <row r="1007" spans="1:22" x14ac:dyDescent="0.35">
      <c r="A1007">
        <f t="shared" si="34"/>
        <v>0</v>
      </c>
      <c r="G1007" s="2"/>
      <c r="H1007" s="204"/>
      <c r="I1007" s="204"/>
      <c r="J1007" s="204"/>
      <c r="K1007" s="204"/>
      <c r="L1007" s="332"/>
      <c r="M1007" s="227"/>
      <c r="N1007" s="227"/>
      <c r="O1007" s="227"/>
      <c r="P1007" s="204"/>
      <c r="S1007" s="186"/>
      <c r="V1007" s="90"/>
    </row>
    <row r="1008" spans="1:22" x14ac:dyDescent="0.35">
      <c r="A1008">
        <f t="shared" si="34"/>
        <v>0</v>
      </c>
      <c r="G1008" s="2"/>
      <c r="H1008" s="204"/>
      <c r="I1008" s="204"/>
      <c r="J1008" s="204"/>
      <c r="K1008" s="204"/>
      <c r="L1008" s="332"/>
      <c r="M1008" s="227"/>
      <c r="N1008" s="227"/>
      <c r="O1008" s="227"/>
      <c r="P1008" s="204"/>
      <c r="S1008" s="186"/>
      <c r="V1008" s="90"/>
    </row>
    <row r="1009" spans="1:22" x14ac:dyDescent="0.35">
      <c r="A1009">
        <f t="shared" si="34"/>
        <v>0</v>
      </c>
      <c r="G1009" s="2"/>
      <c r="H1009" s="204"/>
      <c r="I1009" s="204"/>
      <c r="J1009" s="204"/>
      <c r="K1009" s="204"/>
      <c r="L1009" s="332"/>
      <c r="M1009" s="227"/>
      <c r="N1009" s="227"/>
      <c r="O1009" s="227"/>
      <c r="P1009" s="204"/>
      <c r="S1009" s="186"/>
      <c r="V1009" s="90"/>
    </row>
    <row r="1010" spans="1:22" x14ac:dyDescent="0.35">
      <c r="A1010">
        <f t="shared" si="34"/>
        <v>0</v>
      </c>
      <c r="G1010" s="2"/>
      <c r="H1010" s="204"/>
      <c r="I1010" s="204"/>
      <c r="J1010" s="204"/>
      <c r="K1010" s="204"/>
      <c r="L1010" s="332"/>
      <c r="M1010" s="227"/>
      <c r="N1010" s="227"/>
      <c r="O1010" s="227"/>
      <c r="P1010" s="204"/>
      <c r="S1010" s="186"/>
      <c r="V1010" s="90"/>
    </row>
    <row r="1011" spans="1:22" x14ac:dyDescent="0.35">
      <c r="A1011">
        <f t="shared" si="34"/>
        <v>0</v>
      </c>
      <c r="G1011" s="2"/>
      <c r="H1011" s="204"/>
      <c r="I1011" s="204"/>
      <c r="J1011" s="204"/>
      <c r="K1011" s="204"/>
      <c r="L1011" s="332"/>
      <c r="M1011" s="227"/>
      <c r="N1011" s="227"/>
      <c r="O1011" s="227"/>
      <c r="P1011" s="204"/>
      <c r="S1011" s="186"/>
      <c r="V1011" s="90"/>
    </row>
    <row r="1012" spans="1:22" x14ac:dyDescent="0.35">
      <c r="A1012">
        <f t="shared" si="34"/>
        <v>0</v>
      </c>
      <c r="G1012" s="2"/>
      <c r="H1012" s="204"/>
      <c r="I1012" s="204"/>
      <c r="J1012" s="204"/>
      <c r="K1012" s="204"/>
      <c r="L1012" s="332"/>
      <c r="M1012" s="227"/>
      <c r="N1012" s="227"/>
      <c r="O1012" s="227"/>
      <c r="P1012" s="204"/>
      <c r="S1012" s="186"/>
      <c r="V1012" s="90"/>
    </row>
    <row r="1013" spans="1:22" x14ac:dyDescent="0.35">
      <c r="A1013">
        <f t="shared" si="34"/>
        <v>0</v>
      </c>
      <c r="G1013" s="2"/>
      <c r="H1013" s="204"/>
      <c r="I1013" s="204"/>
      <c r="J1013" s="204"/>
      <c r="K1013" s="204"/>
      <c r="L1013" s="332"/>
      <c r="M1013" s="227"/>
      <c r="N1013" s="227"/>
      <c r="O1013" s="227"/>
      <c r="P1013" s="204"/>
      <c r="S1013" s="186"/>
      <c r="V1013" s="90"/>
    </row>
    <row r="1014" spans="1:22" x14ac:dyDescent="0.35">
      <c r="A1014">
        <f t="shared" si="34"/>
        <v>0</v>
      </c>
      <c r="G1014" s="2"/>
      <c r="H1014" s="204"/>
      <c r="I1014" s="204"/>
      <c r="J1014" s="204"/>
      <c r="K1014" s="204"/>
      <c r="L1014" s="332"/>
      <c r="M1014" s="227"/>
      <c r="N1014" s="227"/>
      <c r="O1014" s="227"/>
      <c r="P1014" s="204"/>
      <c r="S1014" s="186"/>
      <c r="V1014" s="90"/>
    </row>
    <row r="1015" spans="1:22" x14ac:dyDescent="0.35">
      <c r="A1015">
        <f t="shared" si="34"/>
        <v>0</v>
      </c>
      <c r="G1015" s="2"/>
      <c r="H1015" s="204"/>
      <c r="I1015" s="204"/>
      <c r="J1015" s="204"/>
      <c r="K1015" s="204"/>
      <c r="L1015" s="332"/>
      <c r="M1015" s="227"/>
      <c r="N1015" s="227"/>
      <c r="O1015" s="227"/>
      <c r="P1015" s="204"/>
      <c r="S1015" s="186"/>
      <c r="V1015" s="90"/>
    </row>
    <row r="1016" spans="1:22" x14ac:dyDescent="0.35">
      <c r="A1016">
        <f t="shared" si="34"/>
        <v>0</v>
      </c>
      <c r="G1016" s="2"/>
      <c r="H1016" s="204"/>
      <c r="I1016" s="204"/>
      <c r="J1016" s="204"/>
      <c r="K1016" s="204"/>
      <c r="L1016" s="332"/>
      <c r="M1016" s="227"/>
      <c r="N1016" s="227"/>
      <c r="O1016" s="227"/>
      <c r="P1016" s="204"/>
      <c r="S1016" s="186"/>
      <c r="V1016" s="90"/>
    </row>
    <row r="1017" spans="1:22" x14ac:dyDescent="0.35">
      <c r="A1017">
        <f t="shared" si="34"/>
        <v>0</v>
      </c>
      <c r="G1017" s="2"/>
      <c r="H1017" s="204"/>
      <c r="I1017" s="204"/>
      <c r="J1017" s="204"/>
      <c r="K1017" s="204"/>
      <c r="L1017" s="332"/>
      <c r="M1017" s="227"/>
      <c r="N1017" s="227"/>
      <c r="O1017" s="227"/>
      <c r="P1017" s="204"/>
      <c r="S1017" s="186"/>
      <c r="V1017" s="90"/>
    </row>
    <row r="1018" spans="1:22" x14ac:dyDescent="0.35">
      <c r="A1018">
        <f t="shared" si="34"/>
        <v>0</v>
      </c>
      <c r="G1018" s="2"/>
      <c r="H1018" s="204"/>
      <c r="I1018" s="204"/>
      <c r="J1018" s="204"/>
      <c r="K1018" s="204"/>
      <c r="L1018" s="332"/>
      <c r="M1018" s="227"/>
      <c r="N1018" s="227"/>
      <c r="O1018" s="227"/>
      <c r="P1018" s="204"/>
      <c r="S1018" s="186"/>
      <c r="V1018" s="90"/>
    </row>
    <row r="1019" spans="1:22" x14ac:dyDescent="0.35">
      <c r="A1019">
        <f t="shared" si="34"/>
        <v>0</v>
      </c>
      <c r="G1019" s="2"/>
      <c r="H1019" s="204"/>
      <c r="I1019" s="204"/>
      <c r="J1019" s="204"/>
      <c r="K1019" s="204"/>
      <c r="L1019" s="332"/>
      <c r="M1019" s="227"/>
      <c r="N1019" s="227"/>
      <c r="O1019" s="227"/>
      <c r="P1019" s="204"/>
      <c r="S1019" s="186"/>
      <c r="V1019" s="90"/>
    </row>
    <row r="1020" spans="1:22" x14ac:dyDescent="0.35">
      <c r="A1020">
        <f t="shared" si="34"/>
        <v>0</v>
      </c>
      <c r="G1020" s="2"/>
      <c r="H1020" s="204"/>
      <c r="I1020" s="204"/>
      <c r="J1020" s="204"/>
      <c r="K1020" s="204"/>
      <c r="L1020" s="332"/>
      <c r="M1020" s="227"/>
      <c r="N1020" s="227"/>
      <c r="O1020" s="227"/>
      <c r="P1020" s="204"/>
      <c r="S1020" s="186"/>
      <c r="V1020" s="90"/>
    </row>
    <row r="1021" spans="1:22" x14ac:dyDescent="0.35">
      <c r="A1021">
        <f t="shared" si="34"/>
        <v>0</v>
      </c>
      <c r="G1021" s="2"/>
      <c r="H1021" s="204"/>
      <c r="I1021" s="204"/>
      <c r="J1021" s="204"/>
      <c r="K1021" s="204"/>
      <c r="L1021" s="332"/>
      <c r="M1021" s="227"/>
      <c r="N1021" s="227"/>
      <c r="O1021" s="227"/>
      <c r="P1021" s="204"/>
      <c r="S1021" s="186"/>
      <c r="V1021" s="90"/>
    </row>
    <row r="1022" spans="1:22" x14ac:dyDescent="0.35">
      <c r="A1022">
        <f t="shared" si="34"/>
        <v>0</v>
      </c>
      <c r="G1022" s="2"/>
      <c r="H1022" s="204"/>
      <c r="I1022" s="204"/>
      <c r="J1022" s="204"/>
      <c r="K1022" s="204"/>
      <c r="L1022" s="332"/>
      <c r="M1022" s="227"/>
      <c r="N1022" s="227"/>
      <c r="O1022" s="227"/>
      <c r="P1022" s="204"/>
      <c r="S1022" s="186"/>
      <c r="V1022" s="90"/>
    </row>
    <row r="1023" spans="1:22" x14ac:dyDescent="0.35">
      <c r="A1023">
        <f t="shared" si="34"/>
        <v>0</v>
      </c>
      <c r="G1023" s="2"/>
      <c r="H1023" s="204"/>
      <c r="I1023" s="204"/>
      <c r="J1023" s="204"/>
      <c r="K1023" s="204"/>
      <c r="L1023" s="332"/>
      <c r="M1023" s="227"/>
      <c r="N1023" s="227"/>
      <c r="O1023" s="227"/>
      <c r="P1023" s="204"/>
      <c r="S1023" s="186"/>
      <c r="V1023" s="90"/>
    </row>
    <row r="1024" spans="1:22" x14ac:dyDescent="0.35">
      <c r="A1024">
        <f t="shared" si="34"/>
        <v>0</v>
      </c>
      <c r="G1024" s="2"/>
      <c r="H1024" s="204"/>
      <c r="I1024" s="204"/>
      <c r="J1024" s="204"/>
      <c r="K1024" s="204"/>
      <c r="L1024" s="332"/>
      <c r="M1024" s="227"/>
      <c r="N1024" s="227"/>
      <c r="O1024" s="227"/>
      <c r="P1024" s="204"/>
      <c r="S1024" s="186"/>
      <c r="V1024" s="90"/>
    </row>
    <row r="1025" spans="1:22" x14ac:dyDescent="0.35">
      <c r="A1025">
        <f t="shared" si="34"/>
        <v>0</v>
      </c>
      <c r="G1025" s="2"/>
      <c r="H1025" s="204"/>
      <c r="I1025" s="204"/>
      <c r="J1025" s="204"/>
      <c r="K1025" s="204"/>
      <c r="L1025" s="332"/>
      <c r="M1025" s="227"/>
      <c r="N1025" s="227"/>
      <c r="O1025" s="227"/>
      <c r="P1025" s="204"/>
      <c r="S1025" s="186"/>
      <c r="V1025" s="90"/>
    </row>
    <row r="1026" spans="1:22" x14ac:dyDescent="0.35">
      <c r="A1026">
        <f t="shared" si="34"/>
        <v>0</v>
      </c>
      <c r="G1026" s="2"/>
      <c r="H1026" s="204"/>
      <c r="I1026" s="204"/>
      <c r="J1026" s="204"/>
      <c r="K1026" s="204"/>
      <c r="L1026" s="332"/>
      <c r="M1026" s="227"/>
      <c r="N1026" s="227"/>
      <c r="O1026" s="227"/>
      <c r="P1026" s="204"/>
      <c r="S1026" s="186"/>
      <c r="V1026" s="90"/>
    </row>
    <row r="1027" spans="1:22" x14ac:dyDescent="0.35">
      <c r="A1027">
        <f t="shared" si="34"/>
        <v>0</v>
      </c>
      <c r="G1027" s="2"/>
      <c r="H1027" s="204"/>
      <c r="I1027" s="204"/>
      <c r="J1027" s="204"/>
      <c r="K1027" s="204"/>
      <c r="L1027" s="332"/>
      <c r="M1027" s="227"/>
      <c r="N1027" s="227"/>
      <c r="O1027" s="227"/>
      <c r="P1027" s="204"/>
      <c r="S1027" s="186"/>
      <c r="V1027" s="90"/>
    </row>
    <row r="1028" spans="1:22" x14ac:dyDescent="0.35">
      <c r="I1028" s="204"/>
      <c r="J1028" s="204"/>
      <c r="K1028" s="204"/>
      <c r="L1028" s="204"/>
    </row>
    <row r="1029" spans="1:22" x14ac:dyDescent="0.35">
      <c r="I1029" s="204"/>
      <c r="J1029" s="204"/>
      <c r="K1029" s="204"/>
      <c r="L1029" s="204"/>
      <c r="P1029" s="204"/>
    </row>
    <row r="1030" spans="1:22" x14ac:dyDescent="0.35">
      <c r="I1030" s="204"/>
      <c r="J1030" s="204"/>
      <c r="K1030" s="204"/>
      <c r="L1030" s="204"/>
      <c r="P1030" s="348"/>
    </row>
    <row r="1031" spans="1:22" x14ac:dyDescent="0.35">
      <c r="I1031" s="204"/>
      <c r="J1031" s="204"/>
      <c r="K1031" s="204"/>
      <c r="L1031" s="204"/>
      <c r="P1031" s="90"/>
      <c r="Q1031" s="90"/>
    </row>
    <row r="1032" spans="1:22" x14ac:dyDescent="0.35">
      <c r="I1032" s="204"/>
      <c r="J1032" s="204"/>
      <c r="K1032" s="204"/>
      <c r="L1032" s="204"/>
      <c r="P1032" s="90"/>
      <c r="Q1032" s="90"/>
    </row>
    <row r="1033" spans="1:22" x14ac:dyDescent="0.35">
      <c r="I1033" s="204"/>
      <c r="J1033" s="204"/>
      <c r="K1033" s="204"/>
      <c r="L1033" s="204"/>
      <c r="P1033" s="90"/>
    </row>
    <row r="1034" spans="1:22" x14ac:dyDescent="0.35">
      <c r="I1034" s="204"/>
      <c r="J1034" s="204"/>
      <c r="K1034" s="204"/>
      <c r="L1034" s="204"/>
    </row>
    <row r="1035" spans="1:22" x14ac:dyDescent="0.35">
      <c r="I1035" s="204"/>
      <c r="J1035" s="204"/>
      <c r="K1035" s="204"/>
      <c r="L1035" s="204"/>
      <c r="P1035" s="75"/>
      <c r="Q1035" s="75"/>
    </row>
    <row r="1036" spans="1:22" x14ac:dyDescent="0.35">
      <c r="I1036" s="204"/>
      <c r="J1036" s="204"/>
      <c r="K1036" s="204"/>
      <c r="L1036" s="204"/>
    </row>
    <row r="1037" spans="1:22" x14ac:dyDescent="0.35">
      <c r="I1037" s="204"/>
      <c r="J1037" s="204"/>
      <c r="K1037" s="204"/>
      <c r="L1037" s="204"/>
    </row>
  </sheetData>
  <autoFilter ref="A6:T1027" xr:uid="{05CC7AB1-E3D1-48BB-92D6-BC9DBC39E771}"/>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0363-4B4F-42C0-AD09-408C5BFB6FC6}">
  <sheetPr codeName="Sheet13"/>
  <dimension ref="A1:D89"/>
  <sheetViews>
    <sheetView workbookViewId="0">
      <selection activeCell="H90" sqref="H90"/>
    </sheetView>
  </sheetViews>
  <sheetFormatPr defaultRowHeight="14.5" x14ac:dyDescent="0.35"/>
  <sheetData>
    <row r="1" spans="1:4" x14ac:dyDescent="0.35">
      <c r="A1" t="s">
        <v>37</v>
      </c>
      <c r="B1" t="s">
        <v>121</v>
      </c>
      <c r="C1" t="s">
        <v>126</v>
      </c>
      <c r="D1" t="s">
        <v>127</v>
      </c>
    </row>
    <row r="2" spans="1:4" x14ac:dyDescent="0.35">
      <c r="A2" t="s">
        <v>31</v>
      </c>
      <c r="B2" t="s">
        <v>80</v>
      </c>
      <c r="C2">
        <v>2016</v>
      </c>
      <c r="D2">
        <v>0.85</v>
      </c>
    </row>
    <row r="3" spans="1:4" x14ac:dyDescent="0.35">
      <c r="A3" t="s">
        <v>31</v>
      </c>
      <c r="B3" t="s">
        <v>80</v>
      </c>
      <c r="C3">
        <v>2017</v>
      </c>
      <c r="D3">
        <v>0.85</v>
      </c>
    </row>
    <row r="4" spans="1:4" x14ac:dyDescent="0.35">
      <c r="A4" t="s">
        <v>31</v>
      </c>
      <c r="B4" t="s">
        <v>80</v>
      </c>
      <c r="C4">
        <v>2018</v>
      </c>
      <c r="D4">
        <v>0.85</v>
      </c>
    </row>
    <row r="5" spans="1:4" x14ac:dyDescent="0.35">
      <c r="A5" t="s">
        <v>31</v>
      </c>
      <c r="B5" t="s">
        <v>80</v>
      </c>
      <c r="C5">
        <v>2019</v>
      </c>
      <c r="D5">
        <v>0.85</v>
      </c>
    </row>
    <row r="6" spans="1:4" x14ac:dyDescent="0.35">
      <c r="A6" t="s">
        <v>31</v>
      </c>
      <c r="B6" t="s">
        <v>80</v>
      </c>
      <c r="C6">
        <v>2020</v>
      </c>
      <c r="D6">
        <v>0.85</v>
      </c>
    </row>
    <row r="7" spans="1:4" x14ac:dyDescent="0.35">
      <c r="A7" t="s">
        <v>31</v>
      </c>
      <c r="B7" t="s">
        <v>80</v>
      </c>
      <c r="C7">
        <v>2021</v>
      </c>
      <c r="D7">
        <v>0.85</v>
      </c>
    </row>
    <row r="8" spans="1:4" x14ac:dyDescent="0.35">
      <c r="A8" t="s">
        <v>31</v>
      </c>
      <c r="B8" t="s">
        <v>80</v>
      </c>
      <c r="C8">
        <v>2022</v>
      </c>
      <c r="D8">
        <v>0.85</v>
      </c>
    </row>
    <row r="9" spans="1:4" x14ac:dyDescent="0.35">
      <c r="A9" t="s">
        <v>31</v>
      </c>
      <c r="B9" t="s">
        <v>79</v>
      </c>
      <c r="C9">
        <v>2016</v>
      </c>
      <c r="D9">
        <v>0.85</v>
      </c>
    </row>
    <row r="10" spans="1:4" x14ac:dyDescent="0.35">
      <c r="A10" t="s">
        <v>31</v>
      </c>
      <c r="B10" t="s">
        <v>79</v>
      </c>
      <c r="C10">
        <v>2017</v>
      </c>
      <c r="D10">
        <v>0.85</v>
      </c>
    </row>
    <row r="11" spans="1:4" x14ac:dyDescent="0.35">
      <c r="A11" t="s">
        <v>31</v>
      </c>
      <c r="B11" t="s">
        <v>79</v>
      </c>
      <c r="C11">
        <v>2018</v>
      </c>
      <c r="D11">
        <v>0.85</v>
      </c>
    </row>
    <row r="12" spans="1:4" x14ac:dyDescent="0.35">
      <c r="A12" t="s">
        <v>31</v>
      </c>
      <c r="B12" t="s">
        <v>79</v>
      </c>
      <c r="C12">
        <v>2019</v>
      </c>
      <c r="D12">
        <v>0.85</v>
      </c>
    </row>
    <row r="13" spans="1:4" x14ac:dyDescent="0.35">
      <c r="A13" t="s">
        <v>31</v>
      </c>
      <c r="B13" t="s">
        <v>79</v>
      </c>
      <c r="C13">
        <v>2020</v>
      </c>
      <c r="D13">
        <v>0.85</v>
      </c>
    </row>
    <row r="14" spans="1:4" x14ac:dyDescent="0.35">
      <c r="A14" t="s">
        <v>31</v>
      </c>
      <c r="B14" t="s">
        <v>79</v>
      </c>
      <c r="C14">
        <v>2021</v>
      </c>
      <c r="D14">
        <v>0.85</v>
      </c>
    </row>
    <row r="15" spans="1:4" x14ac:dyDescent="0.35">
      <c r="A15" t="s">
        <v>31</v>
      </c>
      <c r="B15" t="s">
        <v>79</v>
      </c>
      <c r="C15">
        <v>2022</v>
      </c>
      <c r="D15">
        <v>0.85</v>
      </c>
    </row>
    <row r="16" spans="1:4" x14ac:dyDescent="0.35">
      <c r="A16" t="s">
        <v>31</v>
      </c>
      <c r="B16" t="s">
        <v>78</v>
      </c>
      <c r="C16">
        <v>2016</v>
      </c>
      <c r="D16">
        <v>0.85</v>
      </c>
    </row>
    <row r="17" spans="1:4" x14ac:dyDescent="0.35">
      <c r="A17" t="s">
        <v>31</v>
      </c>
      <c r="B17" t="s">
        <v>78</v>
      </c>
      <c r="C17">
        <v>2017</v>
      </c>
      <c r="D17">
        <v>0.85</v>
      </c>
    </row>
    <row r="18" spans="1:4" x14ac:dyDescent="0.35">
      <c r="A18" t="s">
        <v>31</v>
      </c>
      <c r="B18" t="s">
        <v>78</v>
      </c>
      <c r="C18">
        <v>2018</v>
      </c>
      <c r="D18">
        <v>0.85</v>
      </c>
    </row>
    <row r="19" spans="1:4" x14ac:dyDescent="0.35">
      <c r="A19" t="s">
        <v>31</v>
      </c>
      <c r="B19" t="s">
        <v>78</v>
      </c>
      <c r="C19">
        <v>2019</v>
      </c>
      <c r="D19">
        <v>0.85</v>
      </c>
    </row>
    <row r="20" spans="1:4" x14ac:dyDescent="0.35">
      <c r="A20" t="s">
        <v>31</v>
      </c>
      <c r="B20" t="s">
        <v>78</v>
      </c>
      <c r="C20">
        <v>2020</v>
      </c>
      <c r="D20">
        <v>0.85</v>
      </c>
    </row>
    <row r="21" spans="1:4" x14ac:dyDescent="0.35">
      <c r="A21" t="s">
        <v>31</v>
      </c>
      <c r="B21" t="s">
        <v>78</v>
      </c>
      <c r="C21">
        <v>2021</v>
      </c>
      <c r="D21">
        <v>0.85</v>
      </c>
    </row>
    <row r="22" spans="1:4" x14ac:dyDescent="0.35">
      <c r="A22" t="s">
        <v>31</v>
      </c>
      <c r="B22" t="s">
        <v>78</v>
      </c>
      <c r="C22">
        <v>2022</v>
      </c>
      <c r="D22">
        <v>0.85</v>
      </c>
    </row>
    <row r="23" spans="1:4" x14ac:dyDescent="0.35">
      <c r="A23" t="s">
        <v>31</v>
      </c>
      <c r="B23" t="s">
        <v>97</v>
      </c>
      <c r="C23">
        <v>2016</v>
      </c>
      <c r="D23">
        <v>0.85</v>
      </c>
    </row>
    <row r="24" spans="1:4" x14ac:dyDescent="0.35">
      <c r="A24" t="s">
        <v>31</v>
      </c>
      <c r="B24" t="s">
        <v>97</v>
      </c>
      <c r="C24">
        <v>2017</v>
      </c>
      <c r="D24">
        <v>0.85</v>
      </c>
    </row>
    <row r="25" spans="1:4" x14ac:dyDescent="0.35">
      <c r="A25" t="s">
        <v>31</v>
      </c>
      <c r="B25" t="s">
        <v>97</v>
      </c>
      <c r="C25">
        <v>2018</v>
      </c>
      <c r="D25">
        <v>0.85</v>
      </c>
    </row>
    <row r="26" spans="1:4" x14ac:dyDescent="0.35">
      <c r="A26" t="s">
        <v>31</v>
      </c>
      <c r="B26" t="s">
        <v>97</v>
      </c>
      <c r="C26">
        <v>2019</v>
      </c>
      <c r="D26">
        <v>0.85</v>
      </c>
    </row>
    <row r="27" spans="1:4" x14ac:dyDescent="0.35">
      <c r="A27" t="s">
        <v>31</v>
      </c>
      <c r="B27" t="s">
        <v>97</v>
      </c>
      <c r="C27">
        <v>2020</v>
      </c>
      <c r="D27">
        <v>0.85</v>
      </c>
    </row>
    <row r="28" spans="1:4" x14ac:dyDescent="0.35">
      <c r="A28" t="s">
        <v>31</v>
      </c>
      <c r="B28" t="s">
        <v>97</v>
      </c>
      <c r="C28">
        <v>2021</v>
      </c>
      <c r="D28">
        <v>0.85</v>
      </c>
    </row>
    <row r="29" spans="1:4" x14ac:dyDescent="0.35">
      <c r="A29" t="s">
        <v>31</v>
      </c>
      <c r="B29" t="s">
        <v>97</v>
      </c>
      <c r="C29">
        <v>2022</v>
      </c>
      <c r="D29">
        <v>0.85</v>
      </c>
    </row>
    <row r="30" spans="1:4" x14ac:dyDescent="0.35">
      <c r="A30" t="s">
        <v>29</v>
      </c>
      <c r="B30" t="s">
        <v>80</v>
      </c>
      <c r="C30">
        <v>2016</v>
      </c>
      <c r="D30">
        <v>0.5</v>
      </c>
    </row>
    <row r="31" spans="1:4" x14ac:dyDescent="0.35">
      <c r="A31" t="s">
        <v>29</v>
      </c>
      <c r="B31" t="s">
        <v>80</v>
      </c>
      <c r="C31">
        <v>2017</v>
      </c>
      <c r="D31">
        <v>0.5</v>
      </c>
    </row>
    <row r="32" spans="1:4" x14ac:dyDescent="0.35">
      <c r="A32" t="s">
        <v>29</v>
      </c>
      <c r="B32" t="s">
        <v>80</v>
      </c>
      <c r="C32">
        <v>2018</v>
      </c>
      <c r="D32">
        <v>0.5</v>
      </c>
    </row>
    <row r="33" spans="1:4" x14ac:dyDescent="0.35">
      <c r="A33" t="s">
        <v>29</v>
      </c>
      <c r="B33" t="s">
        <v>80</v>
      </c>
      <c r="C33">
        <v>2019</v>
      </c>
      <c r="D33">
        <v>0.5</v>
      </c>
    </row>
    <row r="34" spans="1:4" x14ac:dyDescent="0.35">
      <c r="A34" t="s">
        <v>29</v>
      </c>
      <c r="B34" t="s">
        <v>80</v>
      </c>
      <c r="C34">
        <v>2020</v>
      </c>
      <c r="D34">
        <v>0.5</v>
      </c>
    </row>
    <row r="35" spans="1:4" x14ac:dyDescent="0.35">
      <c r="A35" t="s">
        <v>29</v>
      </c>
      <c r="B35" t="s">
        <v>80</v>
      </c>
      <c r="C35">
        <v>2021</v>
      </c>
      <c r="D35">
        <v>0.4</v>
      </c>
    </row>
    <row r="36" spans="1:4" x14ac:dyDescent="0.35">
      <c r="A36" t="s">
        <v>29</v>
      </c>
      <c r="B36" t="s">
        <v>80</v>
      </c>
      <c r="C36">
        <v>2022</v>
      </c>
      <c r="D36">
        <v>0.4</v>
      </c>
    </row>
    <row r="37" spans="1:4" x14ac:dyDescent="0.35">
      <c r="A37" t="s">
        <v>29</v>
      </c>
      <c r="B37" t="s">
        <v>79</v>
      </c>
      <c r="C37">
        <v>2016</v>
      </c>
      <c r="D37">
        <v>0.5</v>
      </c>
    </row>
    <row r="38" spans="1:4" x14ac:dyDescent="0.35">
      <c r="A38" t="s">
        <v>29</v>
      </c>
      <c r="B38" t="s">
        <v>79</v>
      </c>
      <c r="C38">
        <v>2017</v>
      </c>
      <c r="D38">
        <v>0.5</v>
      </c>
    </row>
    <row r="39" spans="1:4" x14ac:dyDescent="0.35">
      <c r="A39" t="s">
        <v>29</v>
      </c>
      <c r="B39" t="s">
        <v>79</v>
      </c>
      <c r="C39">
        <v>2018</v>
      </c>
      <c r="D39">
        <v>0.5</v>
      </c>
    </row>
    <row r="40" spans="1:4" x14ac:dyDescent="0.35">
      <c r="A40" t="s">
        <v>29</v>
      </c>
      <c r="B40" t="s">
        <v>79</v>
      </c>
      <c r="C40">
        <v>2019</v>
      </c>
      <c r="D40">
        <v>0.5</v>
      </c>
    </row>
    <row r="41" spans="1:4" x14ac:dyDescent="0.35">
      <c r="A41" t="s">
        <v>29</v>
      </c>
      <c r="B41" t="s">
        <v>79</v>
      </c>
      <c r="C41">
        <v>2020</v>
      </c>
      <c r="D41">
        <v>0.5</v>
      </c>
    </row>
    <row r="42" spans="1:4" x14ac:dyDescent="0.35">
      <c r="A42" t="s">
        <v>29</v>
      </c>
      <c r="B42" t="s">
        <v>79</v>
      </c>
      <c r="C42">
        <v>2021</v>
      </c>
      <c r="D42">
        <v>0.4</v>
      </c>
    </row>
    <row r="43" spans="1:4" x14ac:dyDescent="0.35">
      <c r="A43" t="s">
        <v>29</v>
      </c>
      <c r="B43" t="s">
        <v>79</v>
      </c>
      <c r="C43">
        <v>2022</v>
      </c>
      <c r="D43">
        <v>0.4</v>
      </c>
    </row>
    <row r="44" spans="1:4" x14ac:dyDescent="0.35">
      <c r="A44" t="s">
        <v>29</v>
      </c>
      <c r="B44" t="s">
        <v>78</v>
      </c>
      <c r="C44">
        <v>2016</v>
      </c>
      <c r="D44">
        <v>0.5</v>
      </c>
    </row>
    <row r="45" spans="1:4" x14ac:dyDescent="0.35">
      <c r="A45" t="s">
        <v>29</v>
      </c>
      <c r="B45" t="s">
        <v>78</v>
      </c>
      <c r="C45">
        <v>2017</v>
      </c>
      <c r="D45">
        <v>0.5</v>
      </c>
    </row>
    <row r="46" spans="1:4" x14ac:dyDescent="0.35">
      <c r="A46" t="s">
        <v>29</v>
      </c>
      <c r="B46" t="s">
        <v>78</v>
      </c>
      <c r="C46">
        <v>2018</v>
      </c>
      <c r="D46">
        <v>0.5</v>
      </c>
    </row>
    <row r="47" spans="1:4" x14ac:dyDescent="0.35">
      <c r="A47" t="s">
        <v>29</v>
      </c>
      <c r="B47" t="s">
        <v>78</v>
      </c>
      <c r="C47">
        <v>2019</v>
      </c>
      <c r="D47">
        <v>0.5</v>
      </c>
    </row>
    <row r="48" spans="1:4" x14ac:dyDescent="0.35">
      <c r="A48" t="s">
        <v>29</v>
      </c>
      <c r="B48" t="s">
        <v>78</v>
      </c>
      <c r="C48">
        <v>2020</v>
      </c>
      <c r="D48">
        <v>0.5</v>
      </c>
    </row>
    <row r="49" spans="1:4" x14ac:dyDescent="0.35">
      <c r="A49" t="s">
        <v>29</v>
      </c>
      <c r="B49" t="s">
        <v>78</v>
      </c>
      <c r="C49">
        <v>2021</v>
      </c>
      <c r="D49">
        <v>0.5</v>
      </c>
    </row>
    <row r="50" spans="1:4" x14ac:dyDescent="0.35">
      <c r="A50" t="s">
        <v>29</v>
      </c>
      <c r="B50" t="s">
        <v>78</v>
      </c>
      <c r="C50">
        <v>2022</v>
      </c>
      <c r="D50">
        <v>0.4</v>
      </c>
    </row>
    <row r="51" spans="1:4" x14ac:dyDescent="0.35">
      <c r="A51" t="s">
        <v>29</v>
      </c>
      <c r="B51" t="s">
        <v>97</v>
      </c>
      <c r="C51">
        <v>2016</v>
      </c>
      <c r="D51">
        <v>0.5</v>
      </c>
    </row>
    <row r="52" spans="1:4" x14ac:dyDescent="0.35">
      <c r="A52" t="s">
        <v>29</v>
      </c>
      <c r="B52" t="s">
        <v>97</v>
      </c>
      <c r="C52">
        <v>2017</v>
      </c>
      <c r="D52">
        <v>0.5</v>
      </c>
    </row>
    <row r="53" spans="1:4" x14ac:dyDescent="0.35">
      <c r="A53" t="s">
        <v>29</v>
      </c>
      <c r="B53" t="s">
        <v>97</v>
      </c>
      <c r="C53">
        <v>2018</v>
      </c>
      <c r="D53">
        <v>0.5</v>
      </c>
    </row>
    <row r="54" spans="1:4" x14ac:dyDescent="0.35">
      <c r="A54" t="s">
        <v>29</v>
      </c>
      <c r="B54" t="s">
        <v>97</v>
      </c>
      <c r="C54">
        <v>2019</v>
      </c>
      <c r="D54">
        <v>0.5</v>
      </c>
    </row>
    <row r="55" spans="1:4" x14ac:dyDescent="0.35">
      <c r="A55" t="s">
        <v>29</v>
      </c>
      <c r="B55" t="s">
        <v>97</v>
      </c>
      <c r="C55">
        <v>2020</v>
      </c>
      <c r="D55">
        <v>0.5</v>
      </c>
    </row>
    <row r="56" spans="1:4" x14ac:dyDescent="0.35">
      <c r="A56" t="s">
        <v>29</v>
      </c>
      <c r="B56" t="s">
        <v>97</v>
      </c>
      <c r="C56">
        <v>2021</v>
      </c>
      <c r="D56">
        <v>0.4</v>
      </c>
    </row>
    <row r="57" spans="1:4" x14ac:dyDescent="0.35">
      <c r="A57" t="s">
        <v>29</v>
      </c>
      <c r="B57" t="s">
        <v>97</v>
      </c>
      <c r="C57">
        <v>2022</v>
      </c>
      <c r="D57">
        <v>0.4</v>
      </c>
    </row>
    <row r="58" spans="1:4" x14ac:dyDescent="0.35">
      <c r="A58" s="183" t="s">
        <v>31</v>
      </c>
      <c r="B58" s="133" t="s">
        <v>80</v>
      </c>
      <c r="C58" s="133">
        <v>2023</v>
      </c>
      <c r="D58" s="184">
        <v>0.85</v>
      </c>
    </row>
    <row r="59" spans="1:4" x14ac:dyDescent="0.35">
      <c r="A59" s="185" t="s">
        <v>31</v>
      </c>
      <c r="B59" t="s">
        <v>79</v>
      </c>
      <c r="C59">
        <v>2023</v>
      </c>
      <c r="D59" s="186">
        <v>0.85</v>
      </c>
    </row>
    <row r="60" spans="1:4" x14ac:dyDescent="0.35">
      <c r="A60" s="185" t="s">
        <v>31</v>
      </c>
      <c r="B60" t="s">
        <v>78</v>
      </c>
      <c r="C60">
        <v>2023</v>
      </c>
      <c r="D60" s="186">
        <v>0.85</v>
      </c>
    </row>
    <row r="61" spans="1:4" x14ac:dyDescent="0.35">
      <c r="A61" s="185" t="s">
        <v>31</v>
      </c>
      <c r="B61" t="s">
        <v>97</v>
      </c>
      <c r="C61">
        <v>2023</v>
      </c>
      <c r="D61" s="186">
        <v>0.85</v>
      </c>
    </row>
    <row r="62" spans="1:4" x14ac:dyDescent="0.35">
      <c r="A62" s="185" t="s">
        <v>29</v>
      </c>
      <c r="B62" t="s">
        <v>80</v>
      </c>
      <c r="C62">
        <v>2023</v>
      </c>
      <c r="D62" s="186">
        <v>0.5</v>
      </c>
    </row>
    <row r="63" spans="1:4" x14ac:dyDescent="0.35">
      <c r="A63" s="185" t="s">
        <v>29</v>
      </c>
      <c r="B63" t="s">
        <v>79</v>
      </c>
      <c r="C63">
        <v>2023</v>
      </c>
      <c r="D63" s="186">
        <v>0.5</v>
      </c>
    </row>
    <row r="64" spans="1:4" x14ac:dyDescent="0.35">
      <c r="A64" s="185" t="s">
        <v>29</v>
      </c>
      <c r="B64" t="s">
        <v>78</v>
      </c>
      <c r="C64">
        <v>2023</v>
      </c>
      <c r="D64" s="186">
        <v>0.5</v>
      </c>
    </row>
    <row r="65" spans="1:4" x14ac:dyDescent="0.35">
      <c r="A65" s="187" t="s">
        <v>29</v>
      </c>
      <c r="B65" s="188" t="s">
        <v>97</v>
      </c>
      <c r="C65" s="188">
        <v>2023</v>
      </c>
      <c r="D65" s="189">
        <v>0.5</v>
      </c>
    </row>
    <row r="66" spans="1:4" x14ac:dyDescent="0.35">
      <c r="A66" s="185" t="s">
        <v>31</v>
      </c>
      <c r="B66" t="s">
        <v>80</v>
      </c>
      <c r="C66">
        <v>2024</v>
      </c>
      <c r="D66" s="186">
        <v>0.85</v>
      </c>
    </row>
    <row r="67" spans="1:4" x14ac:dyDescent="0.35">
      <c r="A67" s="185" t="s">
        <v>31</v>
      </c>
      <c r="B67" t="s">
        <v>79</v>
      </c>
      <c r="C67">
        <v>2024</v>
      </c>
      <c r="D67" s="186">
        <v>0.85</v>
      </c>
    </row>
    <row r="68" spans="1:4" x14ac:dyDescent="0.35">
      <c r="A68" s="185" t="s">
        <v>31</v>
      </c>
      <c r="B68" t="s">
        <v>78</v>
      </c>
      <c r="C68">
        <v>2024</v>
      </c>
      <c r="D68" s="186">
        <v>0.85</v>
      </c>
    </row>
    <row r="69" spans="1:4" x14ac:dyDescent="0.35">
      <c r="A69" s="185" t="s">
        <v>31</v>
      </c>
      <c r="B69" t="s">
        <v>97</v>
      </c>
      <c r="C69">
        <v>2024</v>
      </c>
      <c r="D69" s="186">
        <v>0.85</v>
      </c>
    </row>
    <row r="70" spans="1:4" x14ac:dyDescent="0.35">
      <c r="A70" s="185" t="s">
        <v>29</v>
      </c>
      <c r="B70" t="s">
        <v>80</v>
      </c>
      <c r="C70">
        <v>2024</v>
      </c>
      <c r="D70" s="186">
        <v>0.5</v>
      </c>
    </row>
    <row r="71" spans="1:4" x14ac:dyDescent="0.35">
      <c r="A71" s="185" t="s">
        <v>29</v>
      </c>
      <c r="B71" t="s">
        <v>79</v>
      </c>
      <c r="C71">
        <v>2024</v>
      </c>
      <c r="D71" s="186">
        <v>0.5</v>
      </c>
    </row>
    <row r="72" spans="1:4" x14ac:dyDescent="0.35">
      <c r="A72" s="185" t="s">
        <v>29</v>
      </c>
      <c r="B72" t="s">
        <v>78</v>
      </c>
      <c r="C72">
        <v>2024</v>
      </c>
      <c r="D72" s="186">
        <v>0.5</v>
      </c>
    </row>
    <row r="73" spans="1:4" x14ac:dyDescent="0.35">
      <c r="A73" s="185" t="s">
        <v>29</v>
      </c>
      <c r="B73" t="s">
        <v>97</v>
      </c>
      <c r="C73">
        <v>2024</v>
      </c>
      <c r="D73" s="186">
        <v>0.5</v>
      </c>
    </row>
    <row r="74" spans="1:4" x14ac:dyDescent="0.35">
      <c r="A74" s="199" t="s">
        <v>29</v>
      </c>
      <c r="B74" s="203" t="s">
        <v>80</v>
      </c>
      <c r="C74" s="133">
        <v>2025</v>
      </c>
      <c r="D74" s="184">
        <v>0.5</v>
      </c>
    </row>
    <row r="75" spans="1:4" x14ac:dyDescent="0.35">
      <c r="A75" s="41" t="s">
        <v>29</v>
      </c>
      <c r="B75" s="6" t="s">
        <v>79</v>
      </c>
      <c r="C75">
        <v>2025</v>
      </c>
      <c r="D75" s="186">
        <v>0.5</v>
      </c>
    </row>
    <row r="76" spans="1:4" x14ac:dyDescent="0.35">
      <c r="A76" s="41" t="s">
        <v>29</v>
      </c>
      <c r="B76" s="6" t="s">
        <v>78</v>
      </c>
      <c r="C76">
        <v>2025</v>
      </c>
      <c r="D76" s="186">
        <v>0.5</v>
      </c>
    </row>
    <row r="77" spans="1:4" x14ac:dyDescent="0.35">
      <c r="A77" s="41" t="s">
        <v>29</v>
      </c>
      <c r="B77" s="6" t="s">
        <v>97</v>
      </c>
      <c r="C77">
        <v>2025</v>
      </c>
      <c r="D77" s="186">
        <v>0.5</v>
      </c>
    </row>
    <row r="78" spans="1:4" x14ac:dyDescent="0.35">
      <c r="A78" s="41" t="s">
        <v>31</v>
      </c>
      <c r="B78" s="6" t="s">
        <v>80</v>
      </c>
      <c r="C78">
        <v>2025</v>
      </c>
      <c r="D78" s="186">
        <v>0.85</v>
      </c>
    </row>
    <row r="79" spans="1:4" x14ac:dyDescent="0.35">
      <c r="A79" s="41" t="s">
        <v>31</v>
      </c>
      <c r="B79" s="6" t="s">
        <v>79</v>
      </c>
      <c r="C79">
        <v>2025</v>
      </c>
      <c r="D79" s="186">
        <v>0.85</v>
      </c>
    </row>
    <row r="80" spans="1:4" x14ac:dyDescent="0.35">
      <c r="A80" s="41" t="s">
        <v>31</v>
      </c>
      <c r="B80" s="6" t="s">
        <v>78</v>
      </c>
      <c r="C80">
        <v>2025</v>
      </c>
      <c r="D80" s="186">
        <v>0.85</v>
      </c>
    </row>
    <row r="81" spans="1:4" x14ac:dyDescent="0.35">
      <c r="A81" s="41" t="s">
        <v>31</v>
      </c>
      <c r="B81" s="6" t="s">
        <v>97</v>
      </c>
      <c r="C81">
        <v>2025</v>
      </c>
      <c r="D81" s="186">
        <v>0.85</v>
      </c>
    </row>
    <row r="82" spans="1:4" x14ac:dyDescent="0.35">
      <c r="A82" s="199" t="s">
        <v>29</v>
      </c>
      <c r="B82" s="203" t="s">
        <v>80</v>
      </c>
      <c r="C82" s="133">
        <v>2026</v>
      </c>
      <c r="D82" s="184">
        <v>0.5</v>
      </c>
    </row>
    <row r="83" spans="1:4" x14ac:dyDescent="0.35">
      <c r="A83" s="41" t="s">
        <v>29</v>
      </c>
      <c r="B83" s="6" t="s">
        <v>79</v>
      </c>
      <c r="C83">
        <v>2026</v>
      </c>
      <c r="D83" s="186">
        <v>0.5</v>
      </c>
    </row>
    <row r="84" spans="1:4" x14ac:dyDescent="0.35">
      <c r="A84" s="41" t="s">
        <v>29</v>
      </c>
      <c r="B84" s="6" t="s">
        <v>78</v>
      </c>
      <c r="C84">
        <v>2026</v>
      </c>
      <c r="D84" s="186">
        <v>0.5</v>
      </c>
    </row>
    <row r="85" spans="1:4" x14ac:dyDescent="0.35">
      <c r="A85" s="41" t="s">
        <v>29</v>
      </c>
      <c r="B85" s="6" t="s">
        <v>97</v>
      </c>
      <c r="C85">
        <v>2026</v>
      </c>
      <c r="D85" s="186">
        <v>0.5</v>
      </c>
    </row>
    <row r="86" spans="1:4" x14ac:dyDescent="0.35">
      <c r="A86" s="41" t="s">
        <v>31</v>
      </c>
      <c r="B86" s="6" t="s">
        <v>80</v>
      </c>
      <c r="C86">
        <v>2026</v>
      </c>
      <c r="D86" s="186">
        <v>0.85</v>
      </c>
    </row>
    <row r="87" spans="1:4" x14ac:dyDescent="0.35">
      <c r="A87" s="41" t="s">
        <v>31</v>
      </c>
      <c r="B87" s="6" t="s">
        <v>79</v>
      </c>
      <c r="C87">
        <v>2026</v>
      </c>
      <c r="D87" s="186">
        <v>0.85</v>
      </c>
    </row>
    <row r="88" spans="1:4" x14ac:dyDescent="0.35">
      <c r="A88" s="41" t="s">
        <v>31</v>
      </c>
      <c r="B88" s="6" t="s">
        <v>78</v>
      </c>
      <c r="C88">
        <v>2026</v>
      </c>
      <c r="D88" s="186">
        <v>0.85</v>
      </c>
    </row>
    <row r="89" spans="1:4" x14ac:dyDescent="0.35">
      <c r="A89" s="42" t="s">
        <v>31</v>
      </c>
      <c r="B89" s="57" t="s">
        <v>97</v>
      </c>
      <c r="C89" s="188">
        <v>2026</v>
      </c>
      <c r="D89" s="189">
        <v>0.85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C48B-7E15-4CFA-8363-6232BC57AC93}">
  <sheetPr codeName="Sheet2"/>
  <dimension ref="A2:Y350"/>
  <sheetViews>
    <sheetView zoomScaleNormal="100" workbookViewId="0">
      <selection activeCell="C5" sqref="C5:F41"/>
    </sheetView>
  </sheetViews>
  <sheetFormatPr defaultRowHeight="14.5" x14ac:dyDescent="0.35"/>
  <cols>
    <col min="1" max="1" width="15.08984375" customWidth="1"/>
    <col min="2" max="2" width="41.90625" bestFit="1" customWidth="1"/>
    <col min="3" max="3" width="41" bestFit="1" customWidth="1"/>
    <col min="4" max="4" width="13.90625" bestFit="1" customWidth="1"/>
    <col min="5" max="5" width="19.90625" customWidth="1"/>
    <col min="6" max="6" width="12.36328125" customWidth="1"/>
    <col min="7" max="7" width="27.453125" bestFit="1" customWidth="1"/>
    <col min="8" max="8" width="22.08984375" customWidth="1"/>
    <col min="9" max="9" width="25.36328125" customWidth="1"/>
    <col min="10" max="10" width="15.6328125" customWidth="1"/>
    <col min="11" max="11" width="41.90625" bestFit="1" customWidth="1"/>
    <col min="12" max="12" width="14.36328125" customWidth="1"/>
    <col min="13" max="13" width="42.08984375" bestFit="1" customWidth="1"/>
    <col min="14" max="14" width="36.6328125" bestFit="1" customWidth="1"/>
    <col min="15" max="15" width="15.6328125" bestFit="1" customWidth="1"/>
    <col min="16" max="16" width="37.90625" customWidth="1"/>
    <col min="17" max="17" width="16.6328125" bestFit="1" customWidth="1"/>
    <col min="18" max="18" width="24.90625" customWidth="1"/>
    <col min="19" max="19" width="12.36328125" bestFit="1" customWidth="1"/>
    <col min="20" max="20" width="8.453125" bestFit="1" customWidth="1"/>
    <col min="21" max="21" width="15.90625" bestFit="1" customWidth="1"/>
    <col min="22" max="22" width="21.453125" bestFit="1" customWidth="1"/>
    <col min="23" max="23" width="16.90625" bestFit="1" customWidth="1"/>
    <col min="24" max="24" width="22.453125" bestFit="1" customWidth="1"/>
    <col min="25" max="25" width="18" bestFit="1" customWidth="1"/>
    <col min="26" max="26" width="27" bestFit="1" customWidth="1"/>
    <col min="27" max="27" width="23.90625" bestFit="1" customWidth="1"/>
    <col min="28" max="28" width="22.08984375" bestFit="1" customWidth="1"/>
    <col min="29" max="29" width="11.36328125" bestFit="1" customWidth="1"/>
  </cols>
  <sheetData>
    <row r="2" spans="2:25" x14ac:dyDescent="0.35">
      <c r="B2" s="28" t="s">
        <v>32</v>
      </c>
      <c r="C2" s="24"/>
      <c r="D2" s="24"/>
      <c r="E2" s="24"/>
      <c r="F2" s="24"/>
      <c r="G2" s="24"/>
      <c r="H2" s="24"/>
      <c r="I2" s="24"/>
      <c r="J2" s="24"/>
      <c r="K2" s="24"/>
      <c r="L2" s="24"/>
      <c r="M2" s="24"/>
      <c r="P2" s="19" t="s">
        <v>65</v>
      </c>
      <c r="U2" s="59" t="s">
        <v>108</v>
      </c>
      <c r="V2" s="60" t="s">
        <v>106</v>
      </c>
      <c r="W2" s="60" t="s">
        <v>109</v>
      </c>
      <c r="X2" s="60" t="s">
        <v>110</v>
      </c>
      <c r="Y2" s="61" t="s">
        <v>111</v>
      </c>
    </row>
    <row r="3" spans="2:25" x14ac:dyDescent="0.35">
      <c r="E3" s="289">
        <f>E6/D6</f>
        <v>0.79999999999999993</v>
      </c>
      <c r="G3" s="424">
        <f>G7/D7</f>
        <v>0.8</v>
      </c>
      <c r="P3" s="20">
        <v>0.5</v>
      </c>
      <c r="R3" s="22" t="s">
        <v>82</v>
      </c>
      <c r="S3" s="22" t="s">
        <v>183</v>
      </c>
      <c r="U3" s="41" t="s">
        <v>107</v>
      </c>
      <c r="V3" s="68">
        <v>200</v>
      </c>
      <c r="W3" s="66">
        <f>4*PI()*(V3^2)</f>
        <v>502654.82457436691</v>
      </c>
      <c r="X3" s="6"/>
      <c r="Y3" s="54"/>
    </row>
    <row r="4" spans="2:25" x14ac:dyDescent="0.35">
      <c r="B4" s="22" t="s">
        <v>70</v>
      </c>
      <c r="C4" s="22" t="s">
        <v>0</v>
      </c>
      <c r="D4" s="22" t="s">
        <v>435</v>
      </c>
      <c r="E4" s="22" t="s">
        <v>177</v>
      </c>
      <c r="F4" s="22" t="s">
        <v>62</v>
      </c>
      <c r="G4" s="22" t="s">
        <v>436</v>
      </c>
      <c r="H4" s="22" t="s">
        <v>87</v>
      </c>
      <c r="I4" s="22" t="s">
        <v>178</v>
      </c>
      <c r="R4" s="14">
        <v>0</v>
      </c>
      <c r="S4" s="37">
        <v>0.2</v>
      </c>
      <c r="U4" s="41" t="s">
        <v>16</v>
      </c>
      <c r="V4" s="69">
        <v>400</v>
      </c>
      <c r="W4" s="66">
        <f>4*PI()*(V4^2)</f>
        <v>2010619.2982974676</v>
      </c>
      <c r="X4" s="62">
        <f>+$W$3/W4</f>
        <v>0.25</v>
      </c>
      <c r="Y4" s="63">
        <v>0.4</v>
      </c>
    </row>
    <row r="5" spans="2:25" x14ac:dyDescent="0.35">
      <c r="B5" s="12" t="s">
        <v>36</v>
      </c>
      <c r="C5" s="23"/>
      <c r="D5" s="403">
        <f>SUMIFS('Input Data'!$AK:$AK,'Input Data'!$K:$K,"GEO-GSO",'Input Data'!$Q:$Q,1)*Proton_Flare_InsLoss</f>
        <v>47706969.120397568</v>
      </c>
      <c r="E5" s="13">
        <f>SUMIFS('Input Data'!$BB:$BB,'Input Data'!$K:$K,"GEO-GSO",'Input Data'!$Q:$Q,1)*Proton_Flare_InsLoss</f>
        <v>38165575.296318017</v>
      </c>
      <c r="F5" s="13">
        <f>SUMIFS('Input Data'!$BC:$BC,'Input Data'!$K:$K,"GEO-GSO",'Input Data'!$Q:$Q,1)*Proton_Flare_InsLoss</f>
        <v>0</v>
      </c>
      <c r="G5" s="403">
        <f>SUMIFS('Input Data'!$BF:$BF,'Input Data'!$K:$K,"GEO-GSO",'Input Data'!$Q:$Q,1)*Proton_Flare_InsLoss</f>
        <v>38165575.296318017</v>
      </c>
      <c r="H5" s="38">
        <f>1-(G5/D5)</f>
        <v>0.20000000000000073</v>
      </c>
      <c r="I5" s="25"/>
      <c r="J5" s="33"/>
      <c r="P5" s="19" t="s">
        <v>66</v>
      </c>
      <c r="R5" s="14">
        <v>6</v>
      </c>
      <c r="S5" s="37">
        <v>0.4</v>
      </c>
      <c r="U5" s="41" t="s">
        <v>15</v>
      </c>
      <c r="V5" s="68">
        <v>10000</v>
      </c>
      <c r="W5" s="66">
        <f>4*PI()*(V5^2)</f>
        <v>1256637061.4359171</v>
      </c>
      <c r="X5" s="62">
        <f>+$W$3/W5</f>
        <v>4.0000000000000002E-4</v>
      </c>
      <c r="Y5" s="63">
        <v>0.1</v>
      </c>
    </row>
    <row r="6" spans="2:25" x14ac:dyDescent="0.35">
      <c r="B6" s="12" t="s">
        <v>38</v>
      </c>
      <c r="C6" s="14" t="str">
        <f>'Bus Manufacturer'!D7</f>
        <v>Airbus Defence and Space (Toulouse)</v>
      </c>
      <c r="D6" s="13">
        <f>'Bus Manufacturer'!D9</f>
        <v>267843601.85336688</v>
      </c>
      <c r="E6" s="13">
        <f>D6-'Bus Manufacturer'!F9</f>
        <v>214274881.48269349</v>
      </c>
      <c r="F6" s="13">
        <f>'Bus Manufacturer'!G9</f>
        <v>0</v>
      </c>
      <c r="G6" s="13">
        <f>E6-F6</f>
        <v>214274881.48269349</v>
      </c>
      <c r="H6" s="38">
        <f t="shared" ref="H6:H7" si="0">1-(G6/D6)</f>
        <v>0.20000000000000007</v>
      </c>
      <c r="I6" s="25"/>
      <c r="J6" s="148"/>
      <c r="P6" s="20">
        <v>1</v>
      </c>
      <c r="R6" s="14">
        <v>12</v>
      </c>
      <c r="S6" s="37">
        <v>0.6</v>
      </c>
      <c r="U6" s="42" t="s">
        <v>113</v>
      </c>
      <c r="V6" s="70">
        <v>36000</v>
      </c>
      <c r="W6" s="67">
        <f>4*PI()*(V6^2)</f>
        <v>16286016316.209488</v>
      </c>
      <c r="X6" s="64">
        <f>+$W$3/W6</f>
        <v>3.0864197530864198E-5</v>
      </c>
      <c r="Y6" s="65">
        <v>0.05</v>
      </c>
    </row>
    <row r="7" spans="2:25" x14ac:dyDescent="0.35">
      <c r="B7" s="12" t="s">
        <v>39</v>
      </c>
      <c r="C7" s="23"/>
      <c r="D7" s="398" cm="1">
        <f t="array" ref="D7">(SUMPRODUCT('Input Data'!$AK:$AK,'Input Data'!$P:$P,--('Input Data'!$K:$K="GEO-GSO"),--('Input Data'!$Q:$Q=1))+SUMPRODUCT('Input Data'!$AK:$AK,'Input Data'!$P:$P,--('Input Data'!$K:$K="MEO"),--('Input Data'!$Q:$Q=1)))*Generic_Defect_Loss</f>
        <v>133349351.03564525</v>
      </c>
      <c r="E7" s="13" cm="1">
        <f t="array" ref="E7">(SUMPRODUCT('Input Data'!$BB:$BB,'Input Data'!$P:$P,--('Input Data'!$K:$K="GEO-GSO"),--('Input Data'!$Q:$Q=1))+SUMPRODUCT('Input Data'!$BB:$BB,'Input Data'!$P:$P,--('Input Data'!$K:$K="MEO"),--('Input Data'!$Q:$Q=1)))*Generic_Defect_Loss</f>
        <v>106679480.8285162</v>
      </c>
      <c r="F7" s="13" cm="1">
        <f t="array" ref="F7">(SUMPRODUCT('Input Data'!$BC:$BC,'Input Data'!$P:$P,--('Input Data'!$K:$K="GEO-GSO"),--('Input Data'!$Q:$Q=1))+SUMPRODUCT('Input Data'!$BC:$BC,'Input Data'!$P:$P,--('Input Data'!$K:$K="MEO"),--('Input Data'!$Q:$Q=1)))*Generic_Defect_Loss</f>
        <v>0</v>
      </c>
      <c r="G7" s="13" cm="1">
        <f t="array" ref="G7">(SUMPRODUCT('Input Data'!$BF:$BF,'Input Data'!$P:$P,--('Input Data'!$K:$K="GEO-GSO"),--('Input Data'!$Q:$Q=1))+SUMPRODUCT('Input Data'!$BF:$BF,'Input Data'!$P:$P,--('Input Data'!$K:$K="MEO"),--('Input Data'!$Q:$Q=1)))*Generic_Defect_Loss</f>
        <v>106679480.8285162</v>
      </c>
      <c r="H7" s="38">
        <f t="shared" si="0"/>
        <v>0.19999999999999996</v>
      </c>
      <c r="I7" s="25"/>
      <c r="J7">
        <f>SUM(I14,I23)/0.05</f>
        <v>475974631.41549063</v>
      </c>
      <c r="O7" s="4"/>
      <c r="R7" s="14">
        <v>18</v>
      </c>
      <c r="S7" s="37">
        <v>0.8</v>
      </c>
    </row>
    <row r="8" spans="2:25" x14ac:dyDescent="0.35">
      <c r="B8" s="12" t="s">
        <v>40</v>
      </c>
      <c r="C8" s="23"/>
      <c r="D8" s="434" cm="1">
        <f t="array" ref="D8">(SUMPRODUCT('Input Data'!$AK:$AK,'Input Data'!$AE:$AE,--('Input Data'!$K:$K="GEO-GSO"),--('Input Data'!$Q:$Q=1))+SUMPRODUCT('Input Data'!$AK:$AK,'Input Data'!$AE:$AE,--('Input Data'!$K:$K="MEO"),--('Input Data'!$Q:$Q=1))+SUMPRODUCT('Input Data'!$AK:$AK,'Input Data'!$AE:$AE,--('Input Data'!$K:$K="LEO"),--('Input Data'!$Q:$Q=1)))*Space_Debris_Loss</f>
        <v>108771647.68476349</v>
      </c>
      <c r="E8" s="13" cm="1">
        <f t="array" ref="E8">(SUMPRODUCT('Input Data'!$BB:$BB,'Input Data'!$AE:$AE,--('Input Data'!$K:$K="GEO-GSO"),--('Input Data'!$Q:$Q=1))+SUMPRODUCT('Input Data'!$BB:$BB,'Input Data'!$AE:$AE,--('Input Data'!$K:$K="MEO"),--('Input Data'!$Q:$Q=1))+SUMPRODUCT('Input Data'!$BB:$BB,'Input Data'!$AE:$AE,--('Input Data'!$K:$K="LEO"),--('Input Data'!$Q:$Q=1)))*Space_Debris_Loss</f>
        <v>87017318.147810847</v>
      </c>
      <c r="F8" s="13" cm="1">
        <f t="array" ref="F8">(SUMPRODUCT('Input Data'!$BC:$BC,'Input Data'!$AE:$AE,--('Input Data'!$K:$K="GEO-GSO"),--('Input Data'!$Q:$Q=1))+SUMPRODUCT('Input Data'!$BC:$BC,'Input Data'!$AE:$AE,--('Input Data'!$K:$K="MEO"),--('Input Data'!$Q:$Q=1))+SUMPRODUCT('Input Data'!$BC:$BC,'Input Data'!$AE:$AE,--('Input Data'!$K:$K="LEO"),--('Input Data'!$Q:$Q=1)))*Space_Debris_Loss</f>
        <v>0</v>
      </c>
      <c r="G8" s="13" cm="1">
        <f t="array" ref="G8">(SUMPRODUCT('Input Data'!$BF:$BF,'Input Data'!$AE:$AE,--('Input Data'!$K:$K="GEO-GSO"),--('Input Data'!$Q:$Q=1))+SUMPRODUCT('Input Data'!$BF:$BF,'Input Data'!$AE:$AE,--('Input Data'!$K:$K="MEO"),--('Input Data'!$Q:$Q=1))+SUMPRODUCT('Input Data'!$BF:$BF,'Input Data'!$AE:$AE,--('Input Data'!$K:$K="LEO"),--('Input Data'!$Q:$Q=1)))*Space_Debris_Loss</f>
        <v>87017318.147810847</v>
      </c>
      <c r="H8" s="38">
        <f>1-(G8/D8)</f>
        <v>0.19999999999999951</v>
      </c>
      <c r="I8" s="25"/>
      <c r="J8" s="4">
        <f>[2]Summary!$I$14-I14</f>
        <v>526120.26544703543</v>
      </c>
      <c r="O8" s="4"/>
      <c r="P8" s="19" t="s">
        <v>67</v>
      </c>
    </row>
    <row r="9" spans="2:25" x14ac:dyDescent="0.35">
      <c r="B9" s="12" t="s">
        <v>69</v>
      </c>
      <c r="C9" s="393" t="str">
        <f ca="1">Spacecraft!E7</f>
        <v>SXM-10</v>
      </c>
      <c r="D9" s="13">
        <f ca="1">D18</f>
        <v>39999960</v>
      </c>
      <c r="E9" s="13">
        <f t="shared" ref="E9:H9" ca="1" si="1">E18</f>
        <v>31999968</v>
      </c>
      <c r="F9" s="13">
        <f t="shared" ca="1" si="1"/>
        <v>0</v>
      </c>
      <c r="G9" s="13">
        <f t="shared" ca="1" si="1"/>
        <v>31999968</v>
      </c>
      <c r="H9" s="38">
        <f t="shared" ca="1" si="1"/>
        <v>0.19999999999999996</v>
      </c>
      <c r="I9" s="30">
        <f>_xlfn.MAXIFS('Input Data'!$BT:$BT,'Input Data'!$Q:$Q,1)</f>
        <v>42889946.503245682</v>
      </c>
      <c r="J9" s="4">
        <f>[2]Summary!$I$23-I23</f>
        <v>270461.01534667984</v>
      </c>
      <c r="O9" s="4"/>
      <c r="P9" s="20">
        <v>0.05</v>
      </c>
    </row>
    <row r="10" spans="2:25" x14ac:dyDescent="0.35">
      <c r="D10" s="91"/>
      <c r="E10" s="4">
        <f ca="1">(D5-E5)+(D6-E6)+(D7-E7)+(D8-E8)+(D9-E9)</f>
        <v>119534305.93883464</v>
      </c>
    </row>
    <row r="11" spans="2:25" x14ac:dyDescent="0.35">
      <c r="B11" s="29" t="s">
        <v>29</v>
      </c>
      <c r="C11" s="24"/>
      <c r="D11" s="24"/>
      <c r="E11" s="24"/>
      <c r="F11" s="24"/>
      <c r="G11" s="24"/>
      <c r="H11" s="24"/>
      <c r="I11" s="24"/>
      <c r="J11" s="24"/>
      <c r="K11" s="24"/>
      <c r="L11" s="24"/>
      <c r="M11" s="24"/>
    </row>
    <row r="12" spans="2:25" x14ac:dyDescent="0.35">
      <c r="F12" s="395"/>
      <c r="G12">
        <f>G17/D17</f>
        <v>0.80000000000000016</v>
      </c>
      <c r="H12" s="424"/>
      <c r="I12">
        <f>I17/G17</f>
        <v>0.49502264330089235</v>
      </c>
      <c r="J12" s="437">
        <f>I17-[2]Summary!$I$17</f>
        <v>6222934.5430635326</v>
      </c>
    </row>
    <row r="13" spans="2:25" x14ac:dyDescent="0.35">
      <c r="B13" s="22" t="s">
        <v>70</v>
      </c>
      <c r="C13" s="22" t="s">
        <v>0</v>
      </c>
      <c r="D13" s="22" t="s">
        <v>435</v>
      </c>
      <c r="E13" s="22" t="s">
        <v>177</v>
      </c>
      <c r="F13" s="22" t="s">
        <v>62</v>
      </c>
      <c r="G13" s="22" t="s">
        <v>178</v>
      </c>
      <c r="H13" s="22" t="s">
        <v>87</v>
      </c>
      <c r="I13" s="22" t="s">
        <v>213</v>
      </c>
      <c r="J13" s="22" t="s">
        <v>208</v>
      </c>
      <c r="K13" s="22" t="s">
        <v>214</v>
      </c>
      <c r="L13" s="22" t="s">
        <v>209</v>
      </c>
      <c r="M13" s="180"/>
    </row>
    <row r="14" spans="2:25" x14ac:dyDescent="0.35">
      <c r="B14" s="12" t="s">
        <v>36</v>
      </c>
      <c r="C14" s="23"/>
      <c r="D14" s="13">
        <f>SUMIFS('Input Data'!$AK:$AK,'Input Data'!$K:$K,"GEO-GSO",'Input Data'!$Q:$Q,1,'Input Data'!$AL:$AL,"FUL")*Proton_Flare_InsLoss</f>
        <v>29792884.239627898</v>
      </c>
      <c r="E14" s="13">
        <f>SUMIFS('Input Data'!$BB:$BB,'Input Data'!$K:$K,"GEO-GSO",'Input Data'!$Q:$Q,1,'Input Data'!$AL:$AL,"FUL")*Proton_Flare_InsLoss</f>
        <v>23834307.391702328</v>
      </c>
      <c r="F14" s="13">
        <f>SUMIFS('Input Data'!$BC:$BC,'Input Data'!$K:$K,"GEO-GSO",'Input Data'!$Q:$Q,1,'Input Data'!$AL:$AL,"FUL")*Proton_Flare_InsLoss</f>
        <v>0</v>
      </c>
      <c r="G14" s="13">
        <f>SUMIFS('Input Data'!$BF:$BF,'Input Data'!$K:$K,"GEO-GSO",'Input Data'!$Q:$Q,1,'Input Data'!$AL:$AL,"FUL")*Proton_Flare_InsLoss</f>
        <v>23834307.391702328</v>
      </c>
      <c r="H14" s="38">
        <f>1-(G14/D14)</f>
        <v>0.19999999999999962</v>
      </c>
      <c r="I14" s="403">
        <f>SUMIFS('Input Data'!$BH:$BH,'Input Data'!$K:$K,"GEO-GSO",'Input Data'!$Q:$Q,1,'Input Data'!$AL:$AL,"FUL")*Proton_Flare_InsLoss</f>
        <v>11617153.851851165</v>
      </c>
      <c r="J14" s="13">
        <f>SUMIFS('Input Data'!$BL:$BL,'Input Data'!$K:$K,"GEO-GSO",'Input Data'!$Q:$Q,1,'Input Data'!$AL:$AL,"FUL")*Proton_Flare_InsLoss</f>
        <v>12217153.539851166</v>
      </c>
      <c r="K14" s="13">
        <f>IF(J14&gt;FUL_Deductible,MIN(J14-FUL_Deductible,FUL_Limit),0)</f>
        <v>0</v>
      </c>
      <c r="L14" s="13">
        <f>J14-K14</f>
        <v>12217153.539851166</v>
      </c>
      <c r="M14" s="38">
        <f>1-(L14/G14)</f>
        <v>0.48741310837904006</v>
      </c>
      <c r="N14" s="91"/>
      <c r="O14" s="13" t="b">
        <f>+D14*(1-H14)=G14</f>
        <v>1</v>
      </c>
      <c r="P14" s="26" t="b">
        <f>AND(I14/G14&lt;=0.5,J14/G14&gt;=0.5)</f>
        <v>1</v>
      </c>
      <c r="Q14" s="7" t="b">
        <f>ABS(+I14+J14-G14)&lt;1</f>
        <v>1</v>
      </c>
    </row>
    <row r="15" spans="2:25" x14ac:dyDescent="0.35">
      <c r="B15" s="12" t="s">
        <v>38</v>
      </c>
      <c r="C15" s="35" t="str">
        <f>'Bus Manufacturer'!J7</f>
        <v>Airbus Defence and Space (Toulouse)</v>
      </c>
      <c r="D15" s="13">
        <f>'Bus Manufacturer'!J9</f>
        <v>122607729.29155537</v>
      </c>
      <c r="E15" s="13">
        <f>'Bus Manufacturer'!J9-'Bus Manufacturer'!K9</f>
        <v>98086183.433244303</v>
      </c>
      <c r="F15" s="13">
        <f>'Bus Manufacturer'!L9</f>
        <v>0</v>
      </c>
      <c r="G15" s="13">
        <f>E15-F15</f>
        <v>98086183.433244303</v>
      </c>
      <c r="H15" s="38">
        <f>1-(G15/D15)</f>
        <v>0.19999999999999996</v>
      </c>
      <c r="I15" s="13">
        <f>'Bus Manufacturer'!M9</f>
        <v>49043091.716622137</v>
      </c>
      <c r="J15" s="13">
        <f>'Bus Manufacturer'!N9</f>
        <v>49043091.716622166</v>
      </c>
      <c r="K15" s="13">
        <f>IF(J15&gt;FUL_Deductible,MIN(J15-FUL_Deductible,FUL_Limit),0)</f>
        <v>0</v>
      </c>
      <c r="L15" s="13">
        <f>J15-K15</f>
        <v>49043091.716622166</v>
      </c>
      <c r="M15" s="38">
        <f t="shared" ref="M15:M18" si="2">1-(L15/G15)</f>
        <v>0.49999999999999989</v>
      </c>
      <c r="N15" s="79"/>
      <c r="O15" s="13" t="b">
        <f t="shared" ref="O15:O18" si="3">+D15*(1-H15)=G15</f>
        <v>1</v>
      </c>
      <c r="P15" s="26" t="b">
        <f>AND(I15/G15&lt;=0.5,J15/G15&gt;=0.5)</f>
        <v>1</v>
      </c>
      <c r="Q15" s="7" t="b">
        <f>ABS(+I15+J15-G15)&lt;1</f>
        <v>1</v>
      </c>
    </row>
    <row r="16" spans="2:25" x14ac:dyDescent="0.35">
      <c r="B16" s="12" t="s">
        <v>39</v>
      </c>
      <c r="C16" s="23"/>
      <c r="D16" s="13" cm="1">
        <f t="array" ref="D16">(SUMPRODUCT('Input Data'!$AK:$AK,'Input Data'!$P:$P,--('Input Data'!$K:$K="GEO-GSO"),--('Input Data'!$Q:$Q=1),--('Input Data'!$AL:$AL="FUL"))+SUMPRODUCT('Input Data'!$AK:$AK,'Input Data'!$P:$P,--('Input Data'!$K:$K="MEO"),--('Input Data'!$Q:$Q=1),--('Input Data'!$AL:$AL="FUL")))*Generic_Defect_Loss</f>
        <v>93137025.012543261</v>
      </c>
      <c r="E16" s="13" cm="1">
        <f t="array" ref="E16">(SUMPRODUCT('Input Data'!$BB:$BB,'Input Data'!$P:$P,--('Input Data'!$K:$K="GEO-GSO"),--('Input Data'!$Q:$Q=1),--('Input Data'!$AL:$AL="FUL"))+SUMPRODUCT('Input Data'!$BB:$BB,'Input Data'!$P:$P,--('Input Data'!$K:$K="MEO"),--('Input Data'!$Q:$Q=1),--('Input Data'!$AL:$AL="FUL")))*Generic_Defect_Loss</f>
        <v>74509620.010034576</v>
      </c>
      <c r="F16" s="13" cm="1">
        <f t="array" ref="F16">(SUMPRODUCT('Input Data'!$BC:$BC,'Input Data'!$P:$P,--('Input Data'!$K:$K="GEO-GSO"),--('Input Data'!$Q:$Q=1),--('Input Data'!$AL:$AL="FUL"))+SUMPRODUCT('Input Data'!$BC:$BC,'Input Data'!$P:$P,--('Input Data'!$K:$K="MEO"),--('Input Data'!$Q:$Q=1),--('Input Data'!$AL:$AL="FUL")))*Generic_Defect_Loss</f>
        <v>0</v>
      </c>
      <c r="G16" s="13" cm="1">
        <f t="array" ref="G16">(SUMPRODUCT('Input Data'!$BF:$BF,'Input Data'!$P:$P,--('Input Data'!$K:$K="GEO-GSO"),--('Input Data'!$Q:$Q=1),--('Input Data'!$AL:$AL="FUL"))+SUMPRODUCT('Input Data'!$BF:$BF,'Input Data'!$P:$P,--('Input Data'!$K:$K="MEO"),--('Input Data'!$Q:$Q=1),--('Input Data'!$AL:$AL="FUL")))*Generic_Defect_Loss</f>
        <v>74509620.010034576</v>
      </c>
      <c r="H16" s="38">
        <f t="shared" ref="H16" si="4">1-(G16/D16)</f>
        <v>0.2000000000000004</v>
      </c>
      <c r="I16" s="528" cm="1">
        <f t="array" ref="I16">(SUMPRODUCT('Input Data'!$BH:$BH,'Input Data'!$P:$P,--('Input Data'!$K:$K="GEO-GSO"),--('Input Data'!$Q:$Q=1),--('Input Data'!$AL:$AL="FUL"))+SUMPRODUCT('Input Data'!$BH:$BH,'Input Data'!$P:$P,--('Input Data'!$K:$K="MEO"),--('Input Data'!$Q:$Q=1),--('Input Data'!$AL:$AL="FUL")))*Generic_Defect_Loss</f>
        <v>36374810.309017293</v>
      </c>
      <c r="J16" s="13" cm="1">
        <f t="array" ref="J16">(SUMPRODUCT('Input Data'!$BL:$BL,'Input Data'!$P:$P,--('Input Data'!$K:$K="GEO-GSO"),--('Input Data'!$Q:$Q=1),--('Input Data'!$AL:$AL="FUL"))+SUMPRODUCT('Input Data'!$BL:$BL,'Input Data'!$P:$P,--('Input Data'!$K:$K="MEO"),--('Input Data'!$Q:$Q=1),--('Input Data'!$AL:$AL="FUL")))*Generic_Defect_Loss</f>
        <v>38134809.70101729</v>
      </c>
      <c r="K16" s="13">
        <f>IF(J16&gt;FUL_Deductible,MIN(J16-FUL_Deductible,FUL_Limit),0)</f>
        <v>0</v>
      </c>
      <c r="L16" s="13">
        <f t="shared" ref="L16:L18" si="5">J16-K16</f>
        <v>38134809.70101729</v>
      </c>
      <c r="M16" s="38">
        <f t="shared" si="2"/>
        <v>0.48818944861238733</v>
      </c>
      <c r="O16" s="13" t="b">
        <f t="shared" si="3"/>
        <v>1</v>
      </c>
      <c r="P16" s="26" t="b">
        <f>AND(I16/G16&lt;=0.5,J16/G16&gt;=0.5)</f>
        <v>1</v>
      </c>
      <c r="Q16" s="7" t="b">
        <f>ABS(+I16+J16-G16)&lt;1</f>
        <v>1</v>
      </c>
    </row>
    <row r="17" spans="1:24" x14ac:dyDescent="0.35">
      <c r="B17" s="12" t="s">
        <v>40</v>
      </c>
      <c r="C17" s="23"/>
      <c r="D17" s="13" cm="1">
        <f t="array" ref="D17">(SUMPRODUCT('Input Data'!$AK:$AK,'Input Data'!$AE:$AE,--('Input Data'!$K:$K="GEO-GSO"),--('Input Data'!$Q:$Q=1),--('Input Data'!$AL:$AL="FUL"))+SUMPRODUCT('Input Data'!$AK:$AK,'Input Data'!$AE:$AE,--('Input Data'!$K:$K="MEO"),--('Input Data'!$Q:$Q=1),--('Input Data'!$AL:$AL="FUL"))+SUMPRODUCT('Input Data'!$AK:$AK,'Input Data'!$AE:$AE,--('Input Data'!$K:$K="LEO"),--('Input Data'!$Q:$Q=1),--('Input Data'!$AL:$AL="FUL")))*Space_Debris_Loss</f>
        <v>75341155.490671456</v>
      </c>
      <c r="E17" s="13" cm="1">
        <f t="array" ref="E17">(SUMPRODUCT('Input Data'!$BB:$BB,'Input Data'!$AE:$AE,--('Input Data'!$K:$K="GEO-GSO"),--('Input Data'!$Q:$Q=1),--('Input Data'!$AL:$AL="FUL"))+SUMPRODUCT('Input Data'!$BB:$BB,'Input Data'!$AE:$AE,--('Input Data'!$K:$K="MEO"),--('Input Data'!$Q:$Q=1),--('Input Data'!$AL:$AL="FUL"))+SUMPRODUCT('Input Data'!$BB:$BB,'Input Data'!$AE:$AE,--('Input Data'!$K:$K="LEO"),--('Input Data'!$Q:$Q=1),--('Input Data'!$AL:$AL="FUL")))*Space_Debris_Loss</f>
        <v>60272924.392537177</v>
      </c>
      <c r="F17" s="13" cm="1">
        <f t="array" ref="F17">(SUMPRODUCT('Input Data'!$BC:$BC,'Input Data'!$AE:$AE,--('Input Data'!$K:$K="GEO-GSO"),--('Input Data'!$Q:$Q=1),--('Input Data'!$AL:$AL="FUL"))+SUMPRODUCT('Input Data'!$BC:$BC,'Input Data'!$AE:$AE,--('Input Data'!$K:$K="MEO"),--('Input Data'!$Q:$Q=1),--('Input Data'!$AL:$AL="FUL"))+SUMPRODUCT('Input Data'!$BC:$BC,'Input Data'!$AE:$AE,--('Input Data'!$K:$K="LEO"),--('Input Data'!$Q:$Q=1),--('Input Data'!$AL:$AL="FUL")))*Space_Debris_Loss</f>
        <v>0</v>
      </c>
      <c r="G17" s="13" cm="1">
        <f t="array" ref="G17">(SUMPRODUCT('Input Data'!$BF:$BF,'Input Data'!$AE:$AE,--('Input Data'!$K:$K="GEO-GSO"),--('Input Data'!$Q:$Q=1),--('Input Data'!$AL:$AL="FUL"))+SUMPRODUCT('Input Data'!$BF:$BF,'Input Data'!$AE:$AE,--('Input Data'!$K:$K="MEO"),--('Input Data'!$Q:$Q=1),--('Input Data'!$AL:$AL="FUL"))+SUMPRODUCT('Input Data'!$BF:$BF,'Input Data'!$AE:$AE,--('Input Data'!$K:$K="LEO"),--('Input Data'!$Q:$Q=1),--('Input Data'!$AL:$AL="FUL")))*Space_Debris_Loss</f>
        <v>60272924.392537177</v>
      </c>
      <c r="H17" s="38">
        <f>1-(G17/D17)</f>
        <v>0.19999999999999984</v>
      </c>
      <c r="I17" s="398" cm="1">
        <f t="array" ref="I17">(SUMPRODUCT('Input Data'!$BH:$BH,'Input Data'!$AE:$AE,--('Input Data'!$K:$K="GEO-GSO"),--('Input Data'!$Q:$Q=1),--('Input Data'!$AL:$AL="FUL"))+SUMPRODUCT('Input Data'!$BH:$BH,'Input Data'!$AE:$AE,--('Input Data'!$K:$K="MEO"),--('Input Data'!$Q:$Q=1),--('Input Data'!$AL:$AL="FUL"))+SUMPRODUCT('Input Data'!$BH:$BH,'Input Data'!$AE:$AE,--('Input Data'!$K:$K="LEO"),--('Input Data'!$Q:$Q=1),--('Input Data'!$AL:$AL="FUL")))*Space_Debris_Loss</f>
        <v>29836462.352268584</v>
      </c>
      <c r="J17" s="13" cm="1">
        <f t="array" ref="J17">(SUMPRODUCT('Input Data'!$BL:$BL,'Input Data'!$AE:$AE,--('Input Data'!$K:$K="GEO-GSO"),--('Input Data'!$Q:$Q=1),--('Input Data'!$AL:$AL="FUL"))+SUMPRODUCT('Input Data'!$BL:$BL,'Input Data'!$AE:$AE,--('Input Data'!$K:$K="MEO"),--('Input Data'!$Q:$Q=1),--('Input Data'!$AL:$AL="FUL"))+SUMPRODUCT('Input Data'!$BL:$BL,'Input Data'!$AE:$AE,--('Input Data'!$K:$K="LEO"),--('Input Data'!$Q:$Q=1),--('Input Data'!$AL:$AL="FUL")))*Space_Debris_Loss</f>
        <v>30436462.040268585</v>
      </c>
      <c r="K17" s="13">
        <f>IF(J17&gt;FUL_Deductible,MIN(J17-FUL_Deductible,FUL_Limit),0)</f>
        <v>0</v>
      </c>
      <c r="L17" s="13">
        <f>J17-K17</f>
        <v>30436462.040268585</v>
      </c>
      <c r="M17" s="38">
        <f t="shared" si="2"/>
        <v>0.49502264330089252</v>
      </c>
      <c r="O17" s="13" t="b">
        <f t="shared" si="3"/>
        <v>1</v>
      </c>
      <c r="P17" s="26" t="b">
        <f>AND(I17/G17&lt;=0.5,J17/G17&gt;=0.5)</f>
        <v>1</v>
      </c>
      <c r="Q17" s="7" t="b">
        <f>ABS(+I17+J17-G17)&lt;1</f>
        <v>1</v>
      </c>
    </row>
    <row r="18" spans="1:24" x14ac:dyDescent="0.35">
      <c r="A18" s="394" t="s">
        <v>603</v>
      </c>
      <c r="B18" s="12" t="s">
        <v>71</v>
      </c>
      <c r="C18" s="393" t="str">
        <f ca="1">Spacecraft!L7</f>
        <v>SXM-10</v>
      </c>
      <c r="D18" s="13">
        <f ca="1">SUMIFS('Input Data'!$AK:$AK,'Input Data'!$X:$X,$C18)</f>
        <v>39999960</v>
      </c>
      <c r="E18" s="13">
        <f ca="1">SUMIFS('Input Data'!$BB:$BB,'Input Data'!$X:$X,$C18)</f>
        <v>31999968</v>
      </c>
      <c r="F18" s="13">
        <f ca="1">SUMIFS('Input Data'!$BC:$BC,'Input Data'!$X:$X,$C18)</f>
        <v>0</v>
      </c>
      <c r="G18" s="13">
        <f ca="1">SUMIFS('Input Data'!$BF:$BF,'Input Data'!$X:$X,$C18)</f>
        <v>31999968</v>
      </c>
      <c r="H18" s="38">
        <f t="shared" ref="H18" ca="1" si="6">1-(G18/D18)</f>
        <v>0.19999999999999996</v>
      </c>
      <c r="I18" s="13">
        <f ca="1">SUMIFS('Input Data'!$BH:$BH,'Input Data'!$X:$X,$C18)</f>
        <v>12799987.200000001</v>
      </c>
      <c r="J18" s="13">
        <f ca="1">G18-I18</f>
        <v>19199980.799999997</v>
      </c>
      <c r="K18" s="13">
        <f ca="1">IF(J18&gt;FUL_Deductible,MIN(J18-FUL_Deductible,FUL_Limit),0)</f>
        <v>0</v>
      </c>
      <c r="L18" s="13">
        <f t="shared" ca="1" si="5"/>
        <v>19199980.799999997</v>
      </c>
      <c r="M18" s="38">
        <f t="shared" ca="1" si="2"/>
        <v>0.40000000000000013</v>
      </c>
      <c r="O18" s="13" t="b">
        <f t="shared" ca="1" si="3"/>
        <v>1</v>
      </c>
      <c r="P18" s="26" t="b">
        <f ca="1">AND(I18/G18&lt;=0.5,J18/G18&gt;=0.5)</f>
        <v>1</v>
      </c>
      <c r="Q18" s="7" t="b">
        <f ca="1">ABS(+I18+J18-G18)&lt;1</f>
        <v>1</v>
      </c>
    </row>
    <row r="19" spans="1:24" x14ac:dyDescent="0.35">
      <c r="I19" s="4">
        <f ca="1">SUM(I14:I18,I23:I27)</f>
        <v>317593800.16570598</v>
      </c>
      <c r="K19" s="4">
        <f ca="1">SUM(K14:K18,K23:K27)</f>
        <v>9928304.7074174285</v>
      </c>
      <c r="O19" s="6"/>
      <c r="P19" s="6"/>
    </row>
    <row r="20" spans="1:24" x14ac:dyDescent="0.35">
      <c r="B20" s="29" t="s">
        <v>31</v>
      </c>
      <c r="C20" s="24"/>
      <c r="D20" s="24"/>
      <c r="E20" s="24"/>
      <c r="F20" s="24"/>
      <c r="G20" s="24"/>
      <c r="H20" s="24"/>
      <c r="I20" s="24"/>
      <c r="J20" s="24"/>
      <c r="K20" s="24"/>
      <c r="L20" s="24"/>
      <c r="M20" s="24"/>
    </row>
    <row r="21" spans="1:24" x14ac:dyDescent="0.35">
      <c r="I21">
        <f>I26/G26</f>
        <v>0.85000000000000009</v>
      </c>
      <c r="J21" s="437">
        <f>I26-[2]Summary!$I$26</f>
        <v>-7090122.105882071</v>
      </c>
      <c r="Q21" s="4">
        <f ca="1">+I27+J27-G27</f>
        <v>0</v>
      </c>
    </row>
    <row r="22" spans="1:24" x14ac:dyDescent="0.35">
      <c r="B22" s="22" t="s">
        <v>70</v>
      </c>
      <c r="C22" s="22" t="s">
        <v>0</v>
      </c>
      <c r="D22" s="22" t="s">
        <v>435</v>
      </c>
      <c r="E22" s="22" t="s">
        <v>177</v>
      </c>
      <c r="F22" s="22" t="s">
        <v>62</v>
      </c>
      <c r="G22" s="22" t="s">
        <v>178</v>
      </c>
      <c r="H22" s="22" t="s">
        <v>87</v>
      </c>
      <c r="I22" s="22" t="s">
        <v>213</v>
      </c>
      <c r="J22" s="22" t="s">
        <v>208</v>
      </c>
      <c r="K22" s="22" t="s">
        <v>214</v>
      </c>
      <c r="L22" s="22" t="s">
        <v>209</v>
      </c>
      <c r="M22" s="180"/>
    </row>
    <row r="23" spans="1:24" x14ac:dyDescent="0.35">
      <c r="B23" s="12" t="s">
        <v>36</v>
      </c>
      <c r="C23" s="23"/>
      <c r="D23" s="13">
        <f>SUMIFS('Input Data'!$AK:$AK,'Input Data'!$K:$K,"GEO-GSO",'Input Data'!$Q:$Q,1,'Input Data'!$AL:$AL,"FIID")*Proton_Flare_InsLoss</f>
        <v>17914084.880769655</v>
      </c>
      <c r="E23" s="13">
        <f>SUMIFS('Input Data'!$BB:$BB,'Input Data'!$K:$K,"GEO-GSO",'Input Data'!$Q:$Q,1,'Input Data'!$AL:$AL,"FIID")*Proton_Flare_InsLoss</f>
        <v>14331267.904615723</v>
      </c>
      <c r="F23" s="13">
        <f>SUMIFS('Input Data'!$BC:$BC,'Input Data'!$K:$K,"GEO-GSO",'Input Data'!$Q:$Q,1,'Input Data'!$AL:$AL,"FIID")*Proton_Flare_InsLoss</f>
        <v>0</v>
      </c>
      <c r="G23" s="13">
        <f>SUMIFS('Input Data'!$BF:$BF,'Input Data'!$K:$K,"GEO-GSO",'Input Data'!$Q:$Q,1,'Input Data'!$AL:$AL,"FIID")*Proton_Flare_InsLoss</f>
        <v>14331267.904615723</v>
      </c>
      <c r="H23" s="38">
        <f>1-(G23/D23)</f>
        <v>0.20000000000000007</v>
      </c>
      <c r="I23" s="403">
        <f>SUMIFS('Input Data'!$BH:$BH,'Input Data'!$K:$K,"GEO-GSO",'Input Data'!$Q:$Q,1,'Input Data'!$AL:$AL,"FIID")*Proton_Flare_InsLoss</f>
        <v>12181577.718923366</v>
      </c>
      <c r="J23" s="13">
        <f>SUMIFS('Input Data'!$BL:$BL,'Input Data'!$K:$K,"GEO-GSO",'Input Data'!$Q:$Q,1,'Input Data'!$AL:$AL,"FIID")*Proton_Flare_InsLoss</f>
        <v>2149690.1856923592</v>
      </c>
      <c r="K23" s="13">
        <f>IF(J23&gt;FIID_Deductible,MIN(J23-FIID_Deductible,FIID_Limit),0)</f>
        <v>0</v>
      </c>
      <c r="L23" s="13">
        <f>J23-K23</f>
        <v>2149690.1856923592</v>
      </c>
      <c r="M23" s="38">
        <f>1-(L23/G23)</f>
        <v>0.85</v>
      </c>
      <c r="O23" s="13" t="b">
        <f t="shared" ref="O23:O26" si="7">+D23*(1-H23)=G23</f>
        <v>1</v>
      </c>
      <c r="P23" s="26" t="b">
        <f>+I23/G23=0.85</f>
        <v>1</v>
      </c>
      <c r="Q23" s="7" t="b">
        <f>ABS(+I23+J23-G23)&lt;1</f>
        <v>1</v>
      </c>
    </row>
    <row r="24" spans="1:24" x14ac:dyDescent="0.35">
      <c r="B24" s="12" t="s">
        <v>38</v>
      </c>
      <c r="C24" s="35" t="str">
        <f>'Bus Manufacturer'!Q7</f>
        <v>Airbus Defence and Space (Toulouse)</v>
      </c>
      <c r="D24" s="13">
        <f>'Bus Manufacturer'!Q9</f>
        <v>145235872.56181151</v>
      </c>
      <c r="E24" s="13">
        <f>'Bus Manufacturer'!Q9-'Bus Manufacturer'!R9</f>
        <v>116188698.04944921</v>
      </c>
      <c r="F24" s="13">
        <f>'Bus Manufacturer'!S9</f>
        <v>0</v>
      </c>
      <c r="G24" s="13">
        <f>E24-F24</f>
        <v>116188698.04944921</v>
      </c>
      <c r="H24" s="38">
        <f t="shared" ref="H24:H25" si="8">1-(G24/D24)</f>
        <v>0.19999999999999996</v>
      </c>
      <c r="I24" s="13">
        <f>'Bus Manufacturer'!T9</f>
        <v>98760393.342031777</v>
      </c>
      <c r="J24" s="13">
        <f>'Bus Manufacturer'!U9</f>
        <v>17428304.707417428</v>
      </c>
      <c r="K24" s="13">
        <f>IF(J24&gt;FIID_Deductible,MIN(J24-FIID_Deductible,FIID_Limit),0)</f>
        <v>9928304.7074174285</v>
      </c>
      <c r="L24" s="13">
        <f t="shared" ref="L24:L26" si="9">J24-K24</f>
        <v>7500000</v>
      </c>
      <c r="M24" s="38">
        <f>1-(L24/G24)</f>
        <v>0.93544983181747987</v>
      </c>
      <c r="O24" s="13" t="b">
        <f t="shared" si="7"/>
        <v>1</v>
      </c>
      <c r="P24" s="26" t="b">
        <f>+I24/G24=0.85</f>
        <v>1</v>
      </c>
      <c r="Q24" s="7" t="b">
        <f>ABS(+I24+J24-G24)&lt;1</f>
        <v>1</v>
      </c>
    </row>
    <row r="25" spans="1:24" x14ac:dyDescent="0.35">
      <c r="A25" s="204"/>
      <c r="B25" s="12" t="s">
        <v>39</v>
      </c>
      <c r="C25" s="23"/>
      <c r="D25" s="13" cm="1">
        <f t="array" ref="D25">(SUMPRODUCT('Input Data'!$AK:$AK,'Input Data'!$P:$P,--('Input Data'!$K:$K="GEO-GSO"),--('Input Data'!$Q:$Q=1),--('Input Data'!$AL:$AL="FIID"))+SUMPRODUCT('Input Data'!$AK:$AK,'Input Data'!$P:$P,--('Input Data'!$K:$K="MEO"),--('Input Data'!$Q:$Q=1),--('Input Data'!$AL:$AL="FIID")))*Generic_Defect_Loss</f>
        <v>40212326.023101956</v>
      </c>
      <c r="E25" s="13" cm="1">
        <f t="array" ref="E25">(SUMPRODUCT('Input Data'!$BB:$BB,'Input Data'!$P:$P,--('Input Data'!$K:$K="GEO-GSO"),--('Input Data'!$Q:$Q=1),--('Input Data'!$AL:$AL="FIID"))+SUMPRODUCT('Input Data'!$BB:$BB,'Input Data'!$P:$P,--('Input Data'!$K:$K="MEO"),--('Input Data'!$Q:$Q=1),--('Input Data'!$AL:$AL="FIID")))*Generic_Defect_Loss</f>
        <v>32169860.818481561</v>
      </c>
      <c r="F25" s="13" cm="1">
        <f t="array" ref="F25">(SUMPRODUCT('Input Data'!$BC:$BC,'Input Data'!$P:$P,--('Input Data'!$K:$K="GEO-GSO"),--('Input Data'!$Q:$Q=1),--('Input Data'!$AL:$AL="FIID"))+SUMPRODUCT('Input Data'!$BC:$BC,'Input Data'!$P:$P,--('Input Data'!$K:$K="MEO"),--('Input Data'!$Q:$Q=1),--('Input Data'!$AL:$AL="FIID")))*Generic_Defect_Loss</f>
        <v>0</v>
      </c>
      <c r="G25" s="13" cm="1">
        <f t="array" ref="G25">(SUMPRODUCT('Input Data'!$BF:$BF,'Input Data'!$P:$P,--('Input Data'!$K:$K="GEO-GSO"),--('Input Data'!$Q:$Q=1),--('Input Data'!$AL:$AL="FIID"))+SUMPRODUCT('Input Data'!$BF:$BF,'Input Data'!$P:$P,--('Input Data'!$K:$K="MEO"),--('Input Data'!$Q:$Q=1),--('Input Data'!$AL:$AL="FIID")))*Generic_Defect_Loss</f>
        <v>32169860.818481561</v>
      </c>
      <c r="H25" s="38">
        <f t="shared" si="8"/>
        <v>0.20000000000000007</v>
      </c>
      <c r="I25" s="13" cm="1">
        <f t="array" ref="I25">(SUMPRODUCT('Input Data'!$BH:$BH,'Input Data'!$P:$P,--('Input Data'!$K:$K="GEO-GSO"),--('Input Data'!$Q:$Q=1),--('Input Data'!$AL:$AL="FIID"))+SUMPRODUCT('Input Data'!$BH:$BH,'Input Data'!$P:$P,--('Input Data'!$K:$K="MEO"),--('Input Data'!$Q:$Q=1),--('Input Data'!$AL:$AL="FIID")))*Generic_Defect_Loss</f>
        <v>27344381.695709325</v>
      </c>
      <c r="J25" s="13" cm="1">
        <f t="array" ref="J25">(SUMPRODUCT('Input Data'!$BL:$BL,'Input Data'!$P:$P,--('Input Data'!$K:$K="GEO-GSO"),--('Input Data'!$Q:$Q=1),--('Input Data'!$AL:$AL="FIID"))+SUMPRODUCT('Input Data'!$BL:$BL,'Input Data'!$P:$P,--('Input Data'!$K:$K="MEO"),--('Input Data'!$Q:$Q=1),--('Input Data'!$AL:$AL="FIID")))*Generic_Defect_Loss</f>
        <v>4825479.1227722345</v>
      </c>
      <c r="K25" s="13">
        <f>IF(J25&gt;FIID_Deductible,MIN(J25-FIID_Deductible,FIID_Limit),0)</f>
        <v>0</v>
      </c>
      <c r="L25" s="13">
        <f>J25-K25</f>
        <v>4825479.1227722345</v>
      </c>
      <c r="M25" s="38">
        <f>1-(L25/G25)</f>
        <v>0.85</v>
      </c>
      <c r="O25" s="13" t="b">
        <f t="shared" si="7"/>
        <v>1</v>
      </c>
      <c r="P25" s="26" t="b">
        <f>+I25/G25=0.85</f>
        <v>1</v>
      </c>
      <c r="Q25" s="7" t="b">
        <f>ABS(+I25+J25-G25)&lt;1</f>
        <v>1</v>
      </c>
    </row>
    <row r="26" spans="1:24" x14ac:dyDescent="0.35">
      <c r="B26" s="12" t="s">
        <v>40</v>
      </c>
      <c r="C26" s="23"/>
      <c r="D26" s="13" cm="1">
        <f t="array" ref="D26">(SUMPRODUCT('Input Data'!$AK:$AK,'Input Data'!$AE:$AE,--('Input Data'!$K:$K="GEO-GSO"),--('Input Data'!$Q:$Q=1),--('Input Data'!$AL:$AL="FIID"))+SUMPRODUCT('Input Data'!$AK:$AK,'Input Data'!$AE:$AE,--('Input Data'!$K:$K="MEO"),--('Input Data'!$Q:$Q=1),--('Input Data'!$AL:$AL="FIID"))+SUMPRODUCT('Input Data'!$AK:$AK,'Input Data'!$AE:$AE,--('Input Data'!$K:$K="LEO"),--('Input Data'!$Q:$Q=1),--('Input Data'!$AL:$AL="FIID")))*Space_Debris_Loss</f>
        <v>29430522.594092067</v>
      </c>
      <c r="E26" s="13" cm="1">
        <f t="array" ref="E26">(SUMPRODUCT('Input Data'!$BB:$BB,'Input Data'!$AE:$AE,--('Input Data'!$K:$K="GEO-GSO"),--('Input Data'!$Q:$Q=1),--('Input Data'!$AL:$AL="FIID"))+SUMPRODUCT('Input Data'!$BB:$BB,'Input Data'!$AE:$AE,--('Input Data'!$K:$K="MEO"),--('Input Data'!$Q:$Q=1),--('Input Data'!$AL:$AL="FIID"))+SUMPRODUCT('Input Data'!$BB:$BB,'Input Data'!$AE:$AE,--('Input Data'!$K:$K="LEO"),--('Input Data'!$Q:$Q=1),--('Input Data'!$AL:$AL="FIID")))*Space_Debris_Loss</f>
        <v>23544418.075273655</v>
      </c>
      <c r="F26" s="13" cm="1">
        <f t="array" ref="F26">(SUMPRODUCT('Input Data'!$BC:$BC,'Input Data'!$AE:$AE,--('Input Data'!$K:$K="GEO-GSO"),--('Input Data'!$Q:$Q=1),--('Input Data'!$AL:$AL="FIID"))+SUMPRODUCT('Input Data'!$BC:$BC,'Input Data'!$AE:$AE,--('Input Data'!$K:$K="MEO"),--('Input Data'!$Q:$Q=1),--('Input Data'!$AL:$AL="FIID"))+SUMPRODUCT('Input Data'!$BC:$BC,'Input Data'!$AE:$AE,--('Input Data'!$K:$K="GEO-GSO"),--('Input Data'!$Q:$Q=1),--('Input Data'!$AL:$AL="FIID")))*Space_Debris_Loss</f>
        <v>0</v>
      </c>
      <c r="G26" s="13" cm="1">
        <f t="array" ref="G26">(SUMPRODUCT('Input Data'!$BF:$BF,'Input Data'!$AE:$AE,--('Input Data'!$K:$K="GEO-GSO"),--('Input Data'!$Q:$Q=1),--('Input Data'!$AL:$AL="FIID"))+SUMPRODUCT('Input Data'!$BF:$BF,'Input Data'!$AE:$AE,--('Input Data'!$K:$K="MEO"),--('Input Data'!$Q:$Q=1),--('Input Data'!$AL:$AL="FIID"))+SUMPRODUCT('Input Data'!$BF:$BF,'Input Data'!$AE:$AE,--('Input Data'!$K:$K="LEO"),--('Input Data'!$Q:$Q=1),--('Input Data'!$AL:$AL="FIID")))*Space_Debris_Loss</f>
        <v>23544418.075273655</v>
      </c>
      <c r="H26" s="38">
        <f>1-(G26/D26)</f>
        <v>0.19999999999999996</v>
      </c>
      <c r="I26" s="398" cm="1">
        <f t="array" ref="I26">(SUMPRODUCT('Input Data'!$BH:$BH,'Input Data'!$AE:$AE,--('Input Data'!$K:$K="GEO-GSO"),--('Input Data'!$Q:$Q=1),--('Input Data'!$AL:$AL="FIID"))+SUMPRODUCT('Input Data'!$BH:$BH,'Input Data'!$AE:$AE,--('Input Data'!$K:$K="MEO"),--('Input Data'!$Q:$Q=1),--('Input Data'!$AL:$AL="FIID"))+SUMPRODUCT('Input Data'!$BH:$BH,'Input Data'!$AE:$AE,--('Input Data'!$K:$K="LEO"),--('Input Data'!$Q:$Q=1),--('Input Data'!$AL:$AL="FIID")))*Space_Debris_Loss</f>
        <v>20012755.36398261</v>
      </c>
      <c r="J26" s="13" cm="1">
        <f t="array" ref="J26">(SUMPRODUCT('Input Data'!$BL:$BL,'Input Data'!$AE:$AE,--('Input Data'!$K:$K="GEO-GSO"),--('Input Data'!$Q:$Q=1),--('Input Data'!$AL:$AL="FIID"))+SUMPRODUCT('Input Data'!$BL:$BL,'Input Data'!$AE:$AE,--('Input Data'!$K:$K="MEO"),--('Input Data'!$Q:$Q=1),--('Input Data'!$AL:$AL="FIID"))+SUMPRODUCT('Input Data'!$BL:$BL,'Input Data'!$AE:$AE,--('Input Data'!$K:$K="LEO"),--('Input Data'!$Q:$Q=1),--('Input Data'!$AL:$AL="FIID")))*Space_Debris_Loss</f>
        <v>3531662.7112910482</v>
      </c>
      <c r="K26" s="13">
        <f>IF(J26&gt;FIID_Deductible,MIN(J26-FIID_Deductible,FIID_Limit),0)</f>
        <v>0</v>
      </c>
      <c r="L26" s="13">
        <f t="shared" si="9"/>
        <v>3531662.7112910482</v>
      </c>
      <c r="M26" s="38">
        <f>1-(L26/G26)</f>
        <v>0.85</v>
      </c>
      <c r="O26" s="13" t="b">
        <f t="shared" si="7"/>
        <v>1</v>
      </c>
      <c r="P26" s="26" t="b">
        <f>+Summary!I26/G26=0.85</f>
        <v>1</v>
      </c>
      <c r="Q26" s="7" t="b">
        <f>ABS(+Summary!I26+J26-G26)&lt;1</f>
        <v>1</v>
      </c>
    </row>
    <row r="27" spans="1:24" x14ac:dyDescent="0.35">
      <c r="B27" s="12" t="s">
        <v>71</v>
      </c>
      <c r="C27" s="392" t="str">
        <f ca="1">Spacecraft!S7</f>
        <v>SPAINSAT NG-1</v>
      </c>
      <c r="D27" s="13">
        <f ca="1">SUMIFS('Input Data'!$AK:$AK,'Input Data'!$X:$X,$C27)</f>
        <v>28857627.37544075</v>
      </c>
      <c r="E27" s="13">
        <f ca="1">SUMIFS('Input Data'!$BB:$BB,'Input Data'!$X:$X,$C27)</f>
        <v>23086101.900352601</v>
      </c>
      <c r="F27" s="13">
        <f ca="1">SUMIFS('Input Data'!$BC:$BC,'Input Data'!$X:$X,$C27)</f>
        <v>0</v>
      </c>
      <c r="G27" s="13">
        <f ca="1">SUMIFS('Input Data'!$BF:$BF,'Input Data'!$X:$X,$C27)</f>
        <v>23086101.900352601</v>
      </c>
      <c r="H27" s="38">
        <f ca="1">1-(G27/D27)</f>
        <v>0.19999999999999996</v>
      </c>
      <c r="I27" s="13">
        <f ca="1">SUMIFS('Input Data'!$BH:$BH,'Input Data'!$X:$X,$C27)</f>
        <v>19623186.615299709</v>
      </c>
      <c r="J27" s="13">
        <f ca="1">SUMIFS('Input Data'!$BL:$BL,'Input Data'!$X:$X,$C27)</f>
        <v>3462915.2850528909</v>
      </c>
      <c r="K27" s="13">
        <f ca="1">IF(J27&gt;FIID_Deductible,MIN(J27-FIID_Deductible,FIID_Limit),0)</f>
        <v>0</v>
      </c>
      <c r="L27" s="13">
        <f ca="1">J27-K27</f>
        <v>3462915.2850528909</v>
      </c>
      <c r="M27" s="38">
        <f ca="1">1-(L27/G27)</f>
        <v>0.85</v>
      </c>
      <c r="O27" s="13" t="b">
        <f ca="1">+D27*(1-H27)=G27</f>
        <v>1</v>
      </c>
      <c r="P27" s="26" t="b">
        <f ca="1">+I27/G27=0.85</f>
        <v>1</v>
      </c>
      <c r="Q27" s="7" t="b">
        <f ca="1">ABS(+I27+J27-G27)&lt;1</f>
        <v>1</v>
      </c>
    </row>
    <row r="28" spans="1:24" x14ac:dyDescent="0.35">
      <c r="D28" s="348"/>
      <c r="H28" s="239"/>
    </row>
    <row r="29" spans="1:24" x14ac:dyDescent="0.35">
      <c r="B29" s="29" t="s">
        <v>639</v>
      </c>
      <c r="C29" s="24"/>
      <c r="D29" s="24"/>
      <c r="E29" s="24"/>
      <c r="F29" s="24"/>
      <c r="G29" s="24"/>
      <c r="H29" s="24"/>
      <c r="I29" s="24"/>
      <c r="J29" s="24"/>
      <c r="K29" s="24"/>
      <c r="L29" s="24"/>
      <c r="M29" s="24"/>
      <c r="O29" s="29" t="s">
        <v>34</v>
      </c>
      <c r="P29" s="24"/>
      <c r="Q29" s="24"/>
      <c r="R29" s="24"/>
      <c r="S29" s="24"/>
      <c r="T29" s="24"/>
      <c r="U29" s="24"/>
      <c r="V29" s="24"/>
    </row>
    <row r="30" spans="1:24" x14ac:dyDescent="0.35">
      <c r="O30" s="5"/>
    </row>
    <row r="31" spans="1:24" x14ac:dyDescent="0.35">
      <c r="B31" s="22" t="s">
        <v>70</v>
      </c>
      <c r="C31" s="22" t="s">
        <v>0</v>
      </c>
      <c r="D31" s="22" t="s">
        <v>435</v>
      </c>
      <c r="E31" s="22" t="s">
        <v>177</v>
      </c>
      <c r="F31" s="22" t="s">
        <v>62</v>
      </c>
      <c r="G31" s="22" t="s">
        <v>178</v>
      </c>
      <c r="H31" s="22" t="s">
        <v>87</v>
      </c>
      <c r="I31" s="22" t="s">
        <v>63</v>
      </c>
      <c r="J31" s="22" t="s">
        <v>64</v>
      </c>
      <c r="O31" s="22" t="s">
        <v>70</v>
      </c>
      <c r="P31" s="22" t="s">
        <v>0</v>
      </c>
      <c r="Q31" s="22" t="s">
        <v>435</v>
      </c>
      <c r="R31" s="22" t="s">
        <v>177</v>
      </c>
      <c r="S31" s="22" t="s">
        <v>62</v>
      </c>
      <c r="T31" s="22" t="s">
        <v>178</v>
      </c>
      <c r="U31" s="22" t="s">
        <v>63</v>
      </c>
      <c r="V31" s="22" t="s">
        <v>64</v>
      </c>
    </row>
    <row r="32" spans="1:24" x14ac:dyDescent="0.35">
      <c r="B32" s="12" t="s">
        <v>36</v>
      </c>
      <c r="C32" s="23"/>
      <c r="D32" s="13">
        <f>SUMIFS('Input Data'!$AK:$AK,'Input Data'!$K:$K,"GEO-GSO",'Input Data'!$Q:$Q,1,'Input Data'!$AL:$AL,"FIBL")*Proton_Flare_InsLoss</f>
        <v>0</v>
      </c>
      <c r="E32" s="13">
        <f>SUMIFS('Input Data'!$BB:$BB,'Input Data'!$K:$K,"GEO-GSO",'Input Data'!$Q:$Q,1,'Input Data'!$AL:$AL,"FIBL")*Proton_Flare_InsLoss</f>
        <v>0</v>
      </c>
      <c r="F32" s="13">
        <f>SUMIFS('Input Data'!$BC:$BC,'Input Data'!$K:$K,"GEO-GSO",'Input Data'!$Q:$Q,1,'Input Data'!$AL:$AL,"FIBL")*Proton_Flare_InsLoss</f>
        <v>0</v>
      </c>
      <c r="G32" s="13">
        <f>SUMIFS('Input Data'!$BF:$BF,'Input Data'!$K:$K,"GEO-GSO",'Input Data'!$Q:$Q,1,'Input Data'!$AL:$AL,"FIBL")*Proton_Flare_InsLoss</f>
        <v>0</v>
      </c>
      <c r="H32" s="38"/>
      <c r="I32" s="13">
        <v>0</v>
      </c>
      <c r="J32" s="13">
        <f>G32</f>
        <v>0</v>
      </c>
      <c r="O32" s="12" t="s">
        <v>36</v>
      </c>
      <c r="P32" s="23"/>
      <c r="Q32" s="427">
        <f>I14+K14+I23+K23+D32</f>
        <v>23798731.570774533</v>
      </c>
      <c r="R32" s="13"/>
      <c r="S32" s="27"/>
      <c r="T32" s="27"/>
      <c r="U32" s="27"/>
      <c r="V32" s="27"/>
      <c r="X32" s="7" t="b">
        <f>+I14+I23=Q32</f>
        <v>1</v>
      </c>
    </row>
    <row r="33" spans="1:24" x14ac:dyDescent="0.35">
      <c r="B33" s="12" t="s">
        <v>38</v>
      </c>
      <c r="C33" s="23"/>
      <c r="D33" s="35">
        <f ca="1">'Bus Manufacturer'!AD7</f>
        <v>0</v>
      </c>
      <c r="E33" s="14"/>
      <c r="F33" s="14"/>
      <c r="G33" s="14"/>
      <c r="H33" s="38"/>
      <c r="I33" s="14"/>
      <c r="J33" s="14"/>
      <c r="O33" s="12" t="s">
        <v>38</v>
      </c>
      <c r="P33" s="35" t="str">
        <f ca="1">'Bus Manufacturer'!AI8</f>
        <v>Airbus Defence and Space (Toulouse)</v>
      </c>
      <c r="Q33" s="13">
        <f ca="1">'Bus Manufacturer'!AI9</f>
        <v>157731789.76607135</v>
      </c>
      <c r="R33" s="13"/>
      <c r="S33" s="27"/>
      <c r="T33" s="27"/>
      <c r="U33" s="27"/>
      <c r="V33" s="30">
        <f>_xlfn.MAXIFS('Input Data'!$BQ:$BQ,'Input Data'!$Q:$Q,1)</f>
        <v>147803485.05865392</v>
      </c>
    </row>
    <row r="34" spans="1:24" x14ac:dyDescent="0.35">
      <c r="B34" s="12" t="s">
        <v>39</v>
      </c>
      <c r="C34" s="23"/>
      <c r="D34" s="13" cm="1">
        <f t="array" ref="D34">(SUMPRODUCT('Input Data'!$AK:$AK,'Input Data'!$P:$P,--('Input Data'!$K:$K="GEO-GSO"),--('Input Data'!$Q:$Q=1),--('Input Data'!$AL:$AL="FIBL"))+SUMPRODUCT('Input Data'!$AK:$AK,'Input Data'!$P:$P,--('Input Data'!$K:$K="MEO"),--('Input Data'!$Q:$Q=1),--('Input Data'!$AL:$AL="FIBL")))*Generic_Defect_Loss</f>
        <v>0</v>
      </c>
      <c r="E34" s="13" cm="1">
        <f t="array" ref="E34">(SUMPRODUCT('Input Data'!$BB:$BB,'Input Data'!$P:$P,--('Input Data'!$K:$K="GEO-GSO"),--('Input Data'!$Q:$Q=1),--('Input Data'!$AL:$AL="FIBL"))+SUMPRODUCT('Input Data'!$BB:$BB,'Input Data'!$P:$P,--('Input Data'!$K:$K="MEO"),--('Input Data'!$Q:$Q=1),--('Input Data'!$AL:$AL="FIBL")))*Generic_Defect_Loss</f>
        <v>0</v>
      </c>
      <c r="F34" s="13" cm="1">
        <f t="array" ref="F34">(SUMPRODUCT('Input Data'!$BC:$BC,'Input Data'!$P:$P,--('Input Data'!$K:$K="GEO-GSO"),--('Input Data'!$Q:$Q=1),--('Input Data'!$AL:$AL="FIBL"))+SUMPRODUCT('Input Data'!$BC:$BC,'Input Data'!$P:$P,--('Input Data'!$K:$K="MEO"),--('Input Data'!$Q:$Q=1),--('Input Data'!$AL:$AL="FIBL")))*Generic_Defect_Loss</f>
        <v>0</v>
      </c>
      <c r="G34" s="13" cm="1">
        <f t="array" ref="G34">(SUMPRODUCT('Input Data'!$BF:$BF,'Input Data'!$P:$P,--('Input Data'!$K:$K="GEO-GSO"),--('Input Data'!$Q:$Q=1),--('Input Data'!$AL:$AL="FIBL"))+SUMPRODUCT('Input Data'!$BF:$BF,'Input Data'!$P:$P,--('Input Data'!$K:$K="MEO"),--('Input Data'!$Q:$Q=1),--('Input Data'!$AL:$AL="FIBL")))*Generic_Defect_Loss</f>
        <v>0</v>
      </c>
      <c r="H34" s="38"/>
      <c r="I34" s="13">
        <v>0</v>
      </c>
      <c r="J34" s="13">
        <f>G34</f>
        <v>0</v>
      </c>
      <c r="O34" s="12" t="s">
        <v>39</v>
      </c>
      <c r="P34" s="23"/>
      <c r="Q34" s="13">
        <f>+I16+K16+K25+I25</f>
        <v>63719192.004726619</v>
      </c>
      <c r="R34" s="13"/>
      <c r="S34" s="27"/>
      <c r="T34" s="27"/>
      <c r="U34" s="27"/>
      <c r="V34" s="27"/>
    </row>
    <row r="35" spans="1:24" x14ac:dyDescent="0.35">
      <c r="B35" s="12" t="s">
        <v>40</v>
      </c>
      <c r="C35" s="23"/>
      <c r="D35" s="13" cm="1">
        <f t="array" ref="D35">(SUMPRODUCT('Input Data'!$AK:$AK,'Input Data'!$AE:$AE,--('Input Data'!$K:$K="GEO-GSO"),--('Input Data'!$Q:$Q=1),--('Input Data'!$AL:$AL="FIBL"))+SUMPRODUCT('Input Data'!$AK:$AK,'Input Data'!$AE:$AE,--('Input Data'!$K:$K="MEO"),--('Input Data'!$Q:$Q=1),--('Input Data'!$AL:$AL="FIBL"))+SUMPRODUCT('Input Data'!$AK:$AK,'Input Data'!$AE:$AE,--('Input Data'!$K:$K="LEO"),--('Input Data'!$Q:$Q=1),--('Input Data'!$AL:$AL="FIBL")))*Space_Debris_Loss</f>
        <v>3999969.6000000006</v>
      </c>
      <c r="E35" s="13" cm="1">
        <f t="array" ref="E35">(SUMPRODUCT('Input Data'!$BB:$BB,'Input Data'!$AE:$AE,--('Input Data'!$K:$K="GEO-GSO"),--('Input Data'!$Q:$Q=1),--('Input Data'!$AL:$AL="FIBL"))+SUMPRODUCT('Input Data'!$BB:$BB,'Input Data'!$AE:$AE,--('Input Data'!$K:$K="MEO"),--('Input Data'!$Q:$Q=1),--('Input Data'!$AL:$AL="FIBL"))+SUMPRODUCT('Input Data'!$BB:$BB,'Input Data'!$AE:$AE,--('Input Data'!$K:$K="LEO"),--('Input Data'!$Q:$Q=1),--('Input Data'!$AL:$AL="FIBL")))*Space_Debris_Loss</f>
        <v>3199975.6799999997</v>
      </c>
      <c r="F35" s="13" cm="1">
        <f t="array" ref="F35">(SUMPRODUCT('Input Data'!$BC:$BC,'Input Data'!$AE:$AE,--('Input Data'!$K:$K="GEO-GSO"),--('Input Data'!$Q:$Q=1),--('Input Data'!$AL:$AL="FIBL"))+SUMPRODUCT('Input Data'!$BC:$BC,'Input Data'!$AE:$AE,--('Input Data'!$K:$K="MEO"),--('Input Data'!$Q:$Q=1),--('Input Data'!$AL:$AL="FIBL"))+SUMPRODUCT('Input Data'!$BC:$BC,'Input Data'!$AE:$AE,--('Input Data'!$K:$K="GEO-GSO"),--('Input Data'!$Q:$Q=1),--('Input Data'!$AL:$AL="FIBL")))*Space_Debris_Loss</f>
        <v>0</v>
      </c>
      <c r="G35" s="13" cm="1">
        <f t="array" ref="G35">(SUMPRODUCT('Input Data'!$BF:$BF,'Input Data'!$AE:$AE,--('Input Data'!$K:$K="GEO-GSO"),--('Input Data'!$Q:$Q=1),--('Input Data'!$AL:$AL="FIBL"))+SUMPRODUCT('Input Data'!$BF:$BF,'Input Data'!$AE:$AE,--('Input Data'!$K:$K="MEO"),--('Input Data'!$Q:$Q=1),--('Input Data'!$AL:$AL="FIBL"))+SUMPRODUCT('Input Data'!$BF:$BF,'Input Data'!$AE:$AE,--('Input Data'!$K:$K="LEO"),--('Input Data'!$Q:$Q=1),--('Input Data'!$AL:$AL="FIBL")))*Space_Debris_Loss</f>
        <v>3199975.6799999997</v>
      </c>
      <c r="H35" s="38"/>
      <c r="I35" s="13">
        <v>0</v>
      </c>
      <c r="J35" s="13">
        <f>G35</f>
        <v>3199975.6799999997</v>
      </c>
      <c r="L35" s="21"/>
      <c r="M35" s="21"/>
      <c r="O35" s="12" t="s">
        <v>40</v>
      </c>
      <c r="P35" s="23"/>
      <c r="Q35" s="13">
        <f>Summary!I26+I17+K17+K26</f>
        <v>49849217.716251194</v>
      </c>
      <c r="R35" s="13"/>
      <c r="S35" s="27"/>
      <c r="T35" s="27"/>
      <c r="U35" s="27"/>
      <c r="V35" s="27"/>
      <c r="X35" s="7" t="b">
        <f>+I17+Summary!I26=Q35</f>
        <v>1</v>
      </c>
    </row>
    <row r="36" spans="1:24" x14ac:dyDescent="0.35">
      <c r="B36" s="12" t="s">
        <v>71</v>
      </c>
      <c r="C36" s="14" t="str">
        <f ca="1">Spacecraft!Z7</f>
        <v>SPAINSAT NG-2</v>
      </c>
      <c r="D36" s="13">
        <f ca="1">Spacecraft!Y9</f>
        <v>0</v>
      </c>
      <c r="E36" s="13">
        <f ca="1">Spacecraft!Y9-Spacecraft!AA9</f>
        <v>0</v>
      </c>
      <c r="F36" s="13">
        <f ca="1">Spacecraft!AB9</f>
        <v>0</v>
      </c>
      <c r="G36" s="13">
        <f ca="1">E36-F36</f>
        <v>0</v>
      </c>
      <c r="H36" s="38"/>
      <c r="I36" s="13">
        <v>0</v>
      </c>
      <c r="J36" s="13">
        <f ca="1">Spacecraft!AF9</f>
        <v>0</v>
      </c>
      <c r="L36" s="21"/>
      <c r="M36" s="21"/>
      <c r="O36" s="12" t="s">
        <v>71</v>
      </c>
      <c r="P36" s="14" t="str">
        <f ca="1">IF(I18+K18&gt;I27+K27,C18,C27)</f>
        <v>SPAINSAT NG-1</v>
      </c>
      <c r="Q36" s="13">
        <f ca="1">MAX(I27+K27,I18+K18)</f>
        <v>19623186.615299709</v>
      </c>
      <c r="R36" s="13"/>
      <c r="S36" s="27"/>
      <c r="T36" s="27"/>
      <c r="U36" s="27"/>
      <c r="V36" s="27"/>
      <c r="X36" s="7" t="b">
        <f ca="1">MAX(+I18,I27)=Q36</f>
        <v>1</v>
      </c>
    </row>
    <row r="37" spans="1:24" x14ac:dyDescent="0.35">
      <c r="Q37" s="4">
        <f>Q35-[2]Summary!$Q$35</f>
        <v>-867187.56281854212</v>
      </c>
    </row>
    <row r="38" spans="1:24" x14ac:dyDescent="0.35">
      <c r="B38" s="29" t="s">
        <v>640</v>
      </c>
      <c r="C38" s="24"/>
      <c r="D38" s="24"/>
      <c r="E38" s="24"/>
      <c r="F38" s="24"/>
      <c r="G38" s="24"/>
      <c r="H38" s="24"/>
      <c r="I38" s="24"/>
      <c r="J38" s="24"/>
      <c r="K38" s="24"/>
      <c r="L38" s="24"/>
      <c r="M38" s="24"/>
      <c r="O38" s="29" t="s">
        <v>622</v>
      </c>
      <c r="P38" s="24"/>
      <c r="Q38" s="24"/>
      <c r="R38" s="24"/>
      <c r="S38" s="24"/>
      <c r="T38" s="24"/>
      <c r="U38" s="24"/>
      <c r="V38" s="24"/>
    </row>
    <row r="39" spans="1:24" x14ac:dyDescent="0.35">
      <c r="P39" s="4"/>
    </row>
    <row r="40" spans="1:24" x14ac:dyDescent="0.35">
      <c r="B40" s="22" t="s">
        <v>70</v>
      </c>
      <c r="C40" s="22" t="s">
        <v>0</v>
      </c>
      <c r="D40" s="22" t="s">
        <v>435</v>
      </c>
      <c r="E40" s="22" t="s">
        <v>177</v>
      </c>
      <c r="F40" s="22" t="s">
        <v>62</v>
      </c>
      <c r="G40" s="22" t="s">
        <v>178</v>
      </c>
      <c r="H40" s="22" t="s">
        <v>87</v>
      </c>
      <c r="I40" s="22" t="s">
        <v>63</v>
      </c>
      <c r="J40" s="22" t="s">
        <v>64</v>
      </c>
      <c r="K40" s="22"/>
      <c r="L40" s="180"/>
      <c r="M40" s="180"/>
      <c r="O40" s="22" t="s">
        <v>70</v>
      </c>
      <c r="P40" s="22" t="s">
        <v>0</v>
      </c>
      <c r="Q40" s="22" t="s">
        <v>435</v>
      </c>
      <c r="R40" s="22" t="s">
        <v>177</v>
      </c>
      <c r="S40" s="22" t="s">
        <v>62</v>
      </c>
      <c r="T40" s="22" t="s">
        <v>178</v>
      </c>
      <c r="U40" s="22" t="s">
        <v>63</v>
      </c>
      <c r="V40" s="22" t="s">
        <v>64</v>
      </c>
    </row>
    <row r="41" spans="1:24" x14ac:dyDescent="0.35">
      <c r="B41" s="12" t="s">
        <v>36</v>
      </c>
      <c r="C41" s="23"/>
      <c r="D41" s="13">
        <f>+SUMIFS('Input Data'!$BE:$BE,'Input Data'!$K:$K,"GEO-GSO",'Input Data'!$Q:$Q,1)*Proton_Flare_InsLoss</f>
        <v>3357772.4733018908</v>
      </c>
      <c r="E41" s="27"/>
      <c r="F41" s="27"/>
      <c r="G41" s="27"/>
      <c r="H41" s="27"/>
      <c r="I41" s="27"/>
      <c r="J41" s="27"/>
      <c r="K41" s="27"/>
      <c r="L41" s="182"/>
      <c r="M41" s="182"/>
      <c r="N41" s="71" t="s">
        <v>633</v>
      </c>
      <c r="O41" s="12" t="s">
        <v>36</v>
      </c>
      <c r="Q41" s="4">
        <f>Q32+D32</f>
        <v>23798731.570774533</v>
      </c>
    </row>
    <row r="42" spans="1:24" x14ac:dyDescent="0.35">
      <c r="B42" s="12" t="s">
        <v>38</v>
      </c>
      <c r="C42" s="35" t="str">
        <f ca="1">'Bus Manufacturer'!AK8</f>
        <v>Airbus Defence and Space (Toulouse)</v>
      </c>
      <c r="D42" s="13">
        <f ca="1">'Bus Manufacturer'!AJ9</f>
        <v>17720841.248467002</v>
      </c>
      <c r="E42" s="27"/>
      <c r="F42" s="27"/>
      <c r="G42" s="27"/>
      <c r="H42" s="27"/>
      <c r="I42" s="27"/>
      <c r="J42" s="27"/>
      <c r="K42" s="30">
        <f>_xlfn.MAXIFS('Input Data'!$BR:$BR,'Input Data'!$Q:$Q,1)</f>
        <v>53568720.370673373</v>
      </c>
      <c r="L42" s="181"/>
      <c r="M42" s="181"/>
      <c r="O42" s="12" t="s">
        <v>38</v>
      </c>
    </row>
    <row r="43" spans="1:24" x14ac:dyDescent="0.35">
      <c r="B43" s="12" t="s">
        <v>39</v>
      </c>
      <c r="C43" s="23"/>
      <c r="D43" s="13" cm="1">
        <f t="array" ref="D43">(SUMPRODUCT('Input Data'!$BE:$BE,'Input Data'!$P:$P,--('Input Data'!$K:$K="GEO-GSO"),--('Input Data'!$Q:$Q=1))+SUMPRODUCT('Input Data'!$BE:$BE,'Input Data'!$P:$P,--('Input Data'!$K:$K="MEO"),--('Input Data'!$Q:$Q=1)))*Generic_Defect_Loss</f>
        <v>9699760.0901613496</v>
      </c>
      <c r="E43" s="27"/>
      <c r="F43" s="27"/>
      <c r="G43" s="27"/>
      <c r="H43" s="27"/>
      <c r="I43" s="27"/>
      <c r="J43" s="27"/>
      <c r="K43" s="27"/>
      <c r="L43" s="182"/>
      <c r="M43" s="182"/>
      <c r="O43" s="12" t="s">
        <v>39</v>
      </c>
    </row>
    <row r="44" spans="1:24" x14ac:dyDescent="0.35">
      <c r="A44" s="448" t="s">
        <v>657</v>
      </c>
      <c r="B44" s="12" t="s">
        <v>40</v>
      </c>
      <c r="C44" s="23"/>
      <c r="D44" s="447" cm="1">
        <f t="array" ref="D44">(SUMPRODUCT('Input Data'!$BE:$BE,'Input Data'!$AE:$AE,--('Input Data'!$K:$K="GEO-GSO"),--('Input Data'!$Q:$Q=1))+SUMPRODUCT('Input Data'!$BE:$BE,'Input Data'!$AE:$AE,--('Input Data'!$K:$K="LEO"),--('Input Data'!$Q:$Q=1))+SUMPRODUCT('Input Data'!$BE:$BE,'Input Data'!$AE:$AE,--('Input Data'!$K:$K="MEO"),--('Input Data'!$Q:$Q=1)))*Space_Debris_Loss</f>
        <v>8799439.6869990546</v>
      </c>
      <c r="E44" s="27"/>
      <c r="F44" s="27"/>
      <c r="G44" s="27"/>
      <c r="H44" s="27"/>
      <c r="I44" s="27"/>
      <c r="J44" s="27"/>
      <c r="K44" s="27"/>
      <c r="L44" s="182"/>
      <c r="M44" s="182"/>
      <c r="O44" s="12" t="s">
        <v>40</v>
      </c>
    </row>
    <row r="45" spans="1:24" x14ac:dyDescent="0.35">
      <c r="B45" s="12" t="s">
        <v>71</v>
      </c>
      <c r="C45" s="14" t="str">
        <f ca="1">Spacecraft!$Z$7</f>
        <v>SPAINSAT NG-2</v>
      </c>
      <c r="D45" s="13">
        <f ca="1">Spacecraft!AL9</f>
        <v>2225861.7311193119</v>
      </c>
      <c r="E45" s="27"/>
      <c r="F45" s="27"/>
      <c r="G45" s="27"/>
      <c r="H45" s="27"/>
      <c r="I45" s="27"/>
      <c r="J45" s="27"/>
      <c r="K45" s="30">
        <f>_xlfn.MAXIFS('Input Data'!$BW:$BW,'Input Data'!$Q:$Q,1)</f>
        <v>10722486.62581142</v>
      </c>
      <c r="L45" s="181"/>
      <c r="M45" s="181"/>
      <c r="O45" s="12" t="s">
        <v>71</v>
      </c>
    </row>
    <row r="47" spans="1:24" x14ac:dyDescent="0.35">
      <c r="B47" s="29" t="s">
        <v>641</v>
      </c>
      <c r="C47" s="24"/>
      <c r="D47" s="24"/>
      <c r="E47" s="24"/>
      <c r="F47" s="24"/>
      <c r="G47" s="24"/>
      <c r="H47" s="24"/>
      <c r="I47" s="24"/>
      <c r="J47" s="24"/>
      <c r="K47" s="24"/>
      <c r="L47" s="24"/>
      <c r="M47" s="24"/>
      <c r="Q47" s="4">
        <f>[2]Summary!$Q$34-Q34</f>
        <v>2615979.6238142028</v>
      </c>
    </row>
    <row r="48" spans="1:24" x14ac:dyDescent="0.35">
      <c r="E48" s="33"/>
      <c r="I48" s="4"/>
    </row>
    <row r="49" spans="2:13" x14ac:dyDescent="0.35">
      <c r="B49" s="22" t="s">
        <v>70</v>
      </c>
      <c r="C49" s="22" t="s">
        <v>0</v>
      </c>
      <c r="D49" s="22" t="s">
        <v>435</v>
      </c>
      <c r="E49" s="22" t="s">
        <v>177</v>
      </c>
      <c r="F49" s="22" t="s">
        <v>62</v>
      </c>
      <c r="G49" s="22" t="s">
        <v>178</v>
      </c>
      <c r="H49" s="22" t="s">
        <v>87</v>
      </c>
      <c r="I49" s="22" t="s">
        <v>213</v>
      </c>
      <c r="J49" s="22" t="s">
        <v>208</v>
      </c>
      <c r="K49" s="22" t="s">
        <v>214</v>
      </c>
      <c r="L49" s="22" t="s">
        <v>209</v>
      </c>
      <c r="M49" s="180"/>
    </row>
    <row r="50" spans="2:13" x14ac:dyDescent="0.35">
      <c r="B50" s="12" t="s">
        <v>36</v>
      </c>
      <c r="C50" s="23"/>
      <c r="D50" s="421">
        <f>SUMIFS('Input Data'!$AH:$AH,'Input Data'!$K:$K,"GEO-GSO",'Input Data'!$Q:$Q,1)*Proton_Flare_InsLoss</f>
        <v>1421743.5199905655</v>
      </c>
      <c r="E50" s="27"/>
      <c r="F50" s="27"/>
      <c r="G50" s="27"/>
      <c r="H50" s="27"/>
      <c r="I50" s="27"/>
      <c r="J50" s="27"/>
      <c r="K50" s="27"/>
      <c r="L50" s="27"/>
      <c r="M50" s="27"/>
    </row>
    <row r="51" spans="2:13" x14ac:dyDescent="0.35">
      <c r="B51" s="12" t="s">
        <v>38</v>
      </c>
      <c r="C51" s="35" t="str">
        <f>C6</f>
        <v>Airbus Defence and Space (Toulouse)</v>
      </c>
      <c r="D51" s="253">
        <f>'Bus Manufacturer'!E9</f>
        <v>9017945.4675303157</v>
      </c>
      <c r="E51" s="27"/>
      <c r="F51" s="27"/>
      <c r="G51" s="27"/>
      <c r="H51" s="27"/>
      <c r="I51" s="27"/>
      <c r="J51" s="27"/>
      <c r="K51" s="27"/>
      <c r="L51" s="27"/>
      <c r="M51" s="27"/>
    </row>
    <row r="52" spans="2:13" x14ac:dyDescent="0.35">
      <c r="B52" s="12" t="s">
        <v>39</v>
      </c>
      <c r="C52" s="23"/>
      <c r="D52" s="399" cm="1">
        <f t="array" ref="D52">(SUMPRODUCT('Input Data'!$AH:$AH,'Input Data'!$P:$P,--('Input Data'!$K:$K="GEO-GSO"),--('Input Data'!$Q:$Q=1))+SUMPRODUCT('Input Data'!$AH:$AH,'Input Data'!$P:$P,--('Input Data'!$K:$K="MEO"),--('Input Data'!$Q:$Q=1)))*Generic_Defect_Loss</f>
        <v>3989168.8767958502</v>
      </c>
      <c r="E52" s="27"/>
      <c r="F52" s="27"/>
      <c r="G52" s="27"/>
      <c r="H52" s="27"/>
      <c r="I52" s="27"/>
      <c r="J52" s="27"/>
      <c r="K52" s="27"/>
      <c r="L52" s="27"/>
      <c r="M52" s="27"/>
    </row>
    <row r="53" spans="2:13" x14ac:dyDescent="0.35">
      <c r="B53" s="12" t="s">
        <v>40</v>
      </c>
      <c r="C53" s="23"/>
      <c r="D53" s="435" cm="1">
        <f t="array" ref="D53">(SUMPRODUCT('Input Data'!$AH:$AH,'Input Data'!$AE:$AE,--('Input Data'!$K:$K="GEO-GSO"),--('Input Data'!$Q:$Q=1))+SUMPRODUCT('Input Data'!$AH:$AH,'Input Data'!$AE:$AE,--('Input Data'!$K:$K="MEO"),--('Input Data'!$Q:$Q=1))+SUMPRODUCT('Input Data'!$AH:$AH,'Input Data'!$AE:$AE,--('Input Data'!$K:$K="LEO"),--('Input Data'!$Q:$Q=1)))*Space_Debris_Loss</f>
        <v>3462368.7251270013</v>
      </c>
      <c r="E53" s="27"/>
      <c r="F53" s="27"/>
      <c r="G53" s="27"/>
      <c r="H53" s="27"/>
      <c r="I53" s="27"/>
      <c r="J53" s="27"/>
      <c r="K53" s="27"/>
      <c r="L53" s="27"/>
      <c r="M53" s="27"/>
    </row>
    <row r="54" spans="2:13" x14ac:dyDescent="0.35">
      <c r="B54" s="12" t="s">
        <v>646</v>
      </c>
      <c r="C54" s="14" t="str">
        <f ca="1">Spacecraft!E7</f>
        <v>SXM-10</v>
      </c>
      <c r="D54" s="13">
        <f ca="1">Spacecraft!E9</f>
        <v>0</v>
      </c>
      <c r="E54" s="27"/>
      <c r="F54" s="27"/>
      <c r="G54" s="27"/>
      <c r="H54" s="27"/>
      <c r="I54" s="27"/>
      <c r="J54" s="27"/>
      <c r="K54" s="27"/>
      <c r="L54" s="27"/>
      <c r="M54" s="27"/>
    </row>
    <row r="55" spans="2:13" x14ac:dyDescent="0.35">
      <c r="B55" s="12" t="s">
        <v>647</v>
      </c>
      <c r="C55" s="165" t="str">
        <f ca="1">Spacecraft!Z7</f>
        <v>SPAINSAT NG-2</v>
      </c>
      <c r="D55" s="253">
        <f ca="1">Spacecraft!Z9</f>
        <v>1097297.7667009959</v>
      </c>
      <c r="E55" s="436">
        <f>D53-[2]Summary!$D$53</f>
        <v>924965.60763452156</v>
      </c>
    </row>
    <row r="56" spans="2:13" x14ac:dyDescent="0.35">
      <c r="E56" s="4"/>
    </row>
    <row r="57" spans="2:13" x14ac:dyDescent="0.35">
      <c r="D57" s="281" t="s">
        <v>547</v>
      </c>
    </row>
    <row r="58" spans="2:13" x14ac:dyDescent="0.35">
      <c r="B58" s="29" t="s">
        <v>434</v>
      </c>
      <c r="C58" s="24"/>
      <c r="D58" s="24"/>
      <c r="E58" s="24"/>
      <c r="F58" s="24"/>
      <c r="G58" s="24"/>
      <c r="H58" s="24"/>
      <c r="I58" s="24"/>
      <c r="J58" s="24"/>
      <c r="K58" s="24"/>
      <c r="L58" s="24"/>
      <c r="M58" s="24"/>
    </row>
    <row r="59" spans="2:13" x14ac:dyDescent="0.35">
      <c r="B59" t="s">
        <v>461</v>
      </c>
      <c r="D59" s="418" t="s">
        <v>649</v>
      </c>
      <c r="I59" t="s">
        <v>462</v>
      </c>
    </row>
    <row r="60" spans="2:13" x14ac:dyDescent="0.35">
      <c r="B60" s="256" t="s">
        <v>464</v>
      </c>
      <c r="C60" s="256" t="s">
        <v>455</v>
      </c>
      <c r="D60" s="256" t="s">
        <v>32</v>
      </c>
      <c r="E60" s="256" t="s">
        <v>29</v>
      </c>
      <c r="F60" s="256" t="s">
        <v>33</v>
      </c>
      <c r="G60" s="256" t="s">
        <v>31</v>
      </c>
      <c r="I60" s="256" t="s">
        <v>463</v>
      </c>
      <c r="J60" s="256" t="s">
        <v>37</v>
      </c>
      <c r="K60" s="256" t="s">
        <v>464</v>
      </c>
      <c r="L60" s="256" t="s">
        <v>465</v>
      </c>
    </row>
    <row r="61" spans="2:13" x14ac:dyDescent="0.35">
      <c r="B61" s="415" t="s">
        <v>435</v>
      </c>
      <c r="C61" t="s">
        <v>456</v>
      </c>
      <c r="D61" s="416">
        <f>$D$5+$D$50+$D$41</f>
        <v>52486485.113690019</v>
      </c>
      <c r="E61" s="4">
        <f>D14</f>
        <v>29792884.239627898</v>
      </c>
      <c r="F61" s="417">
        <f>Q32+D50+$D$41+D32</f>
        <v>28578247.564066991</v>
      </c>
      <c r="G61" s="4">
        <f>D23</f>
        <v>17914084.880769655</v>
      </c>
      <c r="I61" t="s">
        <v>456</v>
      </c>
      <c r="J61" t="s">
        <v>32</v>
      </c>
      <c r="K61" t="s">
        <v>435</v>
      </c>
      <c r="L61" s="204" cm="1">
        <f t="array" ref="L61">INDEX($D$61:$G$155,MATCH(I61&amp;K61,$C$61:$C$155&amp;$B$61:$B$155,0),MATCH(J61,$D$60:$G$60,0))</f>
        <v>52486485.113690019</v>
      </c>
    </row>
    <row r="62" spans="2:13" x14ac:dyDescent="0.35">
      <c r="B62" s="415" t="s">
        <v>436</v>
      </c>
      <c r="C62" t="s">
        <v>456</v>
      </c>
      <c r="D62" s="417">
        <f>$G$5+$D$50+$D$41</f>
        <v>42945091.289610468</v>
      </c>
      <c r="E62" s="4">
        <f>L14</f>
        <v>12217153.539851166</v>
      </c>
      <c r="F62" s="417">
        <f>Q32+D50+$D$41+J32</f>
        <v>28578247.564066991</v>
      </c>
      <c r="G62" s="4">
        <f>L23</f>
        <v>2149690.1856923592</v>
      </c>
      <c r="I62" t="s">
        <v>456</v>
      </c>
      <c r="J62" t="s">
        <v>32</v>
      </c>
      <c r="K62" t="s">
        <v>436</v>
      </c>
      <c r="L62" s="204" cm="1">
        <f t="array" ref="L62">INDEX($D$61:$G$155,MATCH(I62&amp;K62,$C$61:$C$155&amp;$B$61:$B$155,0),MATCH(J62,$D$60:$G$60,0))</f>
        <v>42945091.289610468</v>
      </c>
    </row>
    <row r="63" spans="2:13" x14ac:dyDescent="0.35">
      <c r="B63" s="415" t="s">
        <v>437</v>
      </c>
      <c r="C63" t="s">
        <v>456</v>
      </c>
      <c r="D63" s="417">
        <f>$G$5+$D$50+$D$41</f>
        <v>42945091.289610468</v>
      </c>
      <c r="E63" s="4">
        <f>L14</f>
        <v>12217153.539851166</v>
      </c>
      <c r="F63" s="419">
        <f>Q32+D50+$D$41+J32</f>
        <v>28578247.564066991</v>
      </c>
      <c r="G63" s="4">
        <f>L23</f>
        <v>2149690.1856923592</v>
      </c>
      <c r="I63" t="s">
        <v>456</v>
      </c>
      <c r="J63" t="s">
        <v>32</v>
      </c>
      <c r="K63" t="s">
        <v>437</v>
      </c>
      <c r="L63" s="204" cm="1">
        <f t="array" ref="L63">INDEX($D$61:$G$155,MATCH(I63&amp;K63,$C$61:$C$155&amp;$B$61:$B$155,0),MATCH(J63,$D$60:$G$60,0))</f>
        <v>42945091.289610468</v>
      </c>
    </row>
    <row r="64" spans="2:13" x14ac:dyDescent="0.35">
      <c r="B64" s="15" t="s">
        <v>438</v>
      </c>
      <c r="C64" t="s">
        <v>456</v>
      </c>
      <c r="D64" s="4">
        <f>D5-E5</f>
        <v>9541393.8240795508</v>
      </c>
      <c r="E64" s="4">
        <f>D14-E14</f>
        <v>5958576.8479255699</v>
      </c>
      <c r="F64">
        <v>0</v>
      </c>
      <c r="G64" s="4">
        <f>D23-E23</f>
        <v>3582816.9761539325</v>
      </c>
      <c r="I64" t="s">
        <v>456</v>
      </c>
      <c r="J64" t="s">
        <v>32</v>
      </c>
      <c r="K64" t="s">
        <v>438</v>
      </c>
      <c r="L64" s="204" cm="1">
        <f t="array" ref="L64">INDEX($D$61:$G$155,MATCH(I64&amp;K64,$C$61:$C$155&amp;$B$61:$B$155,0),MATCH(J64,$D$60:$G$60,0))</f>
        <v>9541393.8240795508</v>
      </c>
    </row>
    <row r="65" spans="2:12" x14ac:dyDescent="0.35">
      <c r="B65" s="15" t="s">
        <v>439</v>
      </c>
      <c r="C65" t="s">
        <v>456</v>
      </c>
      <c r="D65">
        <v>0</v>
      </c>
      <c r="E65">
        <v>0</v>
      </c>
      <c r="F65">
        <v>0</v>
      </c>
      <c r="G65">
        <v>0</v>
      </c>
      <c r="I65" t="s">
        <v>456</v>
      </c>
      <c r="J65" t="s">
        <v>32</v>
      </c>
      <c r="K65" t="s">
        <v>439</v>
      </c>
      <c r="L65" s="204" cm="1">
        <f t="array" ref="L65">INDEX($D$61:$G$155,MATCH(I65&amp;K65,$C$61:$C$155&amp;$B$61:$B$155,0),MATCH(J65,$D$60:$G$60,0))</f>
        <v>0</v>
      </c>
    </row>
    <row r="66" spans="2:12" x14ac:dyDescent="0.35">
      <c r="B66" s="15" t="s">
        <v>440</v>
      </c>
      <c r="C66" t="s">
        <v>456</v>
      </c>
      <c r="D66">
        <v>0</v>
      </c>
      <c r="E66">
        <v>0</v>
      </c>
      <c r="F66">
        <v>0</v>
      </c>
      <c r="G66">
        <v>0</v>
      </c>
      <c r="I66" t="s">
        <v>456</v>
      </c>
      <c r="J66" t="s">
        <v>32</v>
      </c>
      <c r="K66" t="s">
        <v>440</v>
      </c>
      <c r="L66" s="204" cm="1">
        <f t="array" ref="L66">INDEX($D$61:$G$155,MATCH(I66&amp;K66,$C$61:$C$155&amp;$B$61:$B$155,0),MATCH(J66,$D$60:$G$60,0))</f>
        <v>0</v>
      </c>
    </row>
    <row r="67" spans="2:12" x14ac:dyDescent="0.35">
      <c r="B67" s="15" t="s">
        <v>441</v>
      </c>
      <c r="C67" t="s">
        <v>456</v>
      </c>
      <c r="D67">
        <v>0</v>
      </c>
      <c r="E67">
        <v>0</v>
      </c>
      <c r="F67">
        <v>0</v>
      </c>
      <c r="G67">
        <v>0</v>
      </c>
      <c r="I67" t="s">
        <v>456</v>
      </c>
      <c r="J67" t="s">
        <v>32</v>
      </c>
      <c r="K67" t="s">
        <v>441</v>
      </c>
      <c r="L67" s="204" cm="1">
        <f t="array" ref="L67">INDEX($D$61:$G$155,MATCH(I67&amp;K67,$C$61:$C$155&amp;$B$61:$B$155,0),MATCH(J67,$D$60:$G$60,0))</f>
        <v>0</v>
      </c>
    </row>
    <row r="68" spans="2:12" x14ac:dyDescent="0.35">
      <c r="B68" s="15" t="s">
        <v>442</v>
      </c>
      <c r="C68" t="s">
        <v>456</v>
      </c>
      <c r="D68">
        <v>0</v>
      </c>
      <c r="E68">
        <v>0</v>
      </c>
      <c r="F68">
        <v>0</v>
      </c>
      <c r="G68">
        <v>0</v>
      </c>
      <c r="I68" t="s">
        <v>456</v>
      </c>
      <c r="J68" t="s">
        <v>32</v>
      </c>
      <c r="K68" t="s">
        <v>442</v>
      </c>
      <c r="L68" s="204" cm="1">
        <f t="array" ref="L68">INDEX($D$61:$G$155,MATCH(I68&amp;K68,$C$61:$C$155&amp;$B$61:$B$155,0),MATCH(J68,$D$60:$G$60,0))</f>
        <v>0</v>
      </c>
    </row>
    <row r="69" spans="2:12" x14ac:dyDescent="0.35">
      <c r="B69" s="15" t="s">
        <v>443</v>
      </c>
      <c r="C69" t="s">
        <v>456</v>
      </c>
      <c r="D69">
        <v>0</v>
      </c>
      <c r="E69">
        <v>0</v>
      </c>
      <c r="F69">
        <v>0</v>
      </c>
      <c r="G69">
        <v>0</v>
      </c>
      <c r="I69" t="s">
        <v>456</v>
      </c>
      <c r="J69" t="s">
        <v>32</v>
      </c>
      <c r="K69" t="s">
        <v>443</v>
      </c>
      <c r="L69" s="204" cm="1">
        <f t="array" ref="L69">INDEX($D$61:$G$155,MATCH(I69&amp;K69,$C$61:$C$155&amp;$B$61:$B$155,0),MATCH(J69,$D$60:$G$60,0))</f>
        <v>0</v>
      </c>
    </row>
    <row r="70" spans="2:12" x14ac:dyDescent="0.35">
      <c r="B70" s="15" t="s">
        <v>444</v>
      </c>
      <c r="C70" t="s">
        <v>456</v>
      </c>
      <c r="D70" t="s">
        <v>454</v>
      </c>
      <c r="E70" s="4">
        <f>I14</f>
        <v>11617153.851851165</v>
      </c>
      <c r="F70" t="s">
        <v>454</v>
      </c>
      <c r="G70" s="4">
        <f>I23</f>
        <v>12181577.718923366</v>
      </c>
      <c r="I70" t="s">
        <v>456</v>
      </c>
      <c r="J70" t="s">
        <v>32</v>
      </c>
      <c r="K70" t="s">
        <v>448</v>
      </c>
      <c r="L70" s="204" cm="1">
        <f t="array" ref="L70">INDEX($D$61:$G$155,MATCH(I70&amp;K70,$C$61:$C$155&amp;$B$61:$B$155,0),MATCH(J70,$D$60:$G$60,0))</f>
        <v>0</v>
      </c>
    </row>
    <row r="71" spans="2:12" x14ac:dyDescent="0.35">
      <c r="B71" s="15" t="s">
        <v>445</v>
      </c>
      <c r="C71" t="s">
        <v>456</v>
      </c>
      <c r="D71" t="s">
        <v>454</v>
      </c>
      <c r="E71">
        <v>0</v>
      </c>
      <c r="F71" t="s">
        <v>454</v>
      </c>
      <c r="G71">
        <v>0</v>
      </c>
      <c r="I71" t="s">
        <v>456</v>
      </c>
      <c r="J71" t="s">
        <v>32</v>
      </c>
      <c r="K71" t="s">
        <v>449</v>
      </c>
      <c r="L71" s="204" cm="1">
        <f t="array" ref="L71">INDEX($D$61:$G$155,MATCH(I71&amp;K71,$C$61:$C$155&amp;$B$61:$B$155,0),MATCH(J71,$D$60:$G$60,0))</f>
        <v>0</v>
      </c>
    </row>
    <row r="72" spans="2:12" x14ac:dyDescent="0.35">
      <c r="B72" s="15" t="s">
        <v>446</v>
      </c>
      <c r="C72" t="s">
        <v>456</v>
      </c>
      <c r="D72" t="s">
        <v>454</v>
      </c>
      <c r="E72" s="4">
        <f>K14</f>
        <v>0</v>
      </c>
      <c r="F72" t="s">
        <v>454</v>
      </c>
      <c r="G72">
        <v>0</v>
      </c>
      <c r="I72" t="s">
        <v>456</v>
      </c>
      <c r="J72" t="s">
        <v>32</v>
      </c>
      <c r="K72" t="s">
        <v>450</v>
      </c>
      <c r="L72" s="204" cm="1">
        <f t="array" ref="L72">INDEX($D$61:$G$155,MATCH(I72&amp;K72,$C$61:$C$155&amp;$B$61:$B$155,0),MATCH(J72,$D$60:$G$60,0))</f>
        <v>0</v>
      </c>
    </row>
    <row r="73" spans="2:12" x14ac:dyDescent="0.35">
      <c r="B73" s="15" t="s">
        <v>447</v>
      </c>
      <c r="C73" t="s">
        <v>456</v>
      </c>
      <c r="D73" t="s">
        <v>454</v>
      </c>
      <c r="E73">
        <v>0</v>
      </c>
      <c r="F73" t="s">
        <v>454</v>
      </c>
      <c r="G73">
        <v>0</v>
      </c>
      <c r="I73" t="s">
        <v>456</v>
      </c>
      <c r="J73" t="s">
        <v>32</v>
      </c>
      <c r="K73" t="s">
        <v>451</v>
      </c>
      <c r="L73" s="204" cm="1">
        <f t="array" ref="L73">INDEX($D$61:$G$155,MATCH(I73&amp;K73,$C$61:$C$155&amp;$B$61:$B$155,0),MATCH(J73,$D$60:$G$60,0))</f>
        <v>3.3106077488640064E-2</v>
      </c>
    </row>
    <row r="74" spans="2:12" x14ac:dyDescent="0.35">
      <c r="B74" s="15" t="s">
        <v>448</v>
      </c>
      <c r="C74" t="s">
        <v>456</v>
      </c>
      <c r="D74">
        <v>0</v>
      </c>
      <c r="E74" t="s">
        <v>454</v>
      </c>
      <c r="F74">
        <v>0</v>
      </c>
      <c r="G74" t="s">
        <v>454</v>
      </c>
      <c r="I74" t="s">
        <v>456</v>
      </c>
      <c r="J74" t="s">
        <v>32</v>
      </c>
      <c r="K74" t="s">
        <v>452</v>
      </c>
      <c r="L74" s="204" cm="1">
        <f t="array" ref="L74">INDEX($D$61:$G$155,MATCH(I74&amp;K74,$C$61:$C$155&amp;$B$61:$B$155,0),MATCH(J74,$D$60:$G$60,0))</f>
        <v>3.3106077488640064E-2</v>
      </c>
    </row>
    <row r="75" spans="2:12" x14ac:dyDescent="0.35">
      <c r="B75" s="15" t="s">
        <v>449</v>
      </c>
      <c r="C75" t="s">
        <v>456</v>
      </c>
      <c r="D75">
        <v>0</v>
      </c>
      <c r="E75" t="s">
        <v>454</v>
      </c>
      <c r="F75">
        <v>0</v>
      </c>
      <c r="G75" t="s">
        <v>454</v>
      </c>
      <c r="I75" t="s">
        <v>456</v>
      </c>
      <c r="J75" t="s">
        <v>32</v>
      </c>
      <c r="K75" t="s">
        <v>453</v>
      </c>
      <c r="L75" s="204" cm="1">
        <f t="array" ref="L75">INDEX($D$61:$G$155,MATCH(I75&amp;K75,$C$61:$C$155&amp;$B$61:$B$155,0),MATCH(J75,$D$60:$G$60,0))</f>
        <v>0</v>
      </c>
    </row>
    <row r="76" spans="2:12" x14ac:dyDescent="0.35">
      <c r="B76" s="15" t="s">
        <v>450</v>
      </c>
      <c r="C76" t="s">
        <v>456</v>
      </c>
      <c r="D76">
        <v>0</v>
      </c>
      <c r="E76" t="s">
        <v>454</v>
      </c>
      <c r="F76">
        <v>0</v>
      </c>
      <c r="G76" t="s">
        <v>454</v>
      </c>
      <c r="I76" t="s">
        <v>456</v>
      </c>
      <c r="J76" t="s">
        <v>29</v>
      </c>
      <c r="K76" t="s">
        <v>435</v>
      </c>
      <c r="L76" s="204" cm="1">
        <f t="array" ref="L76">INDEX($D$61:$G$155,MATCH(I76&amp;K76,$C$61:$C$155&amp;$B$61:$B$155,0),MATCH(J76,$D$60:$G$60,0))</f>
        <v>29792884.239627898</v>
      </c>
    </row>
    <row r="77" spans="2:12" x14ac:dyDescent="0.35">
      <c r="B77" s="15" t="s">
        <v>451</v>
      </c>
      <c r="C77" t="s">
        <v>456</v>
      </c>
      <c r="D77">
        <f>D50/D63</f>
        <v>3.3106077488640064E-2</v>
      </c>
      <c r="E77" t="s">
        <v>454</v>
      </c>
      <c r="F77">
        <f>D50/F62</f>
        <v>4.9749149831643358E-2</v>
      </c>
      <c r="G77" t="s">
        <v>454</v>
      </c>
      <c r="I77" t="s">
        <v>456</v>
      </c>
      <c r="J77" t="s">
        <v>29</v>
      </c>
      <c r="K77" t="s">
        <v>436</v>
      </c>
      <c r="L77" s="204" cm="1">
        <f t="array" ref="L77">INDEX($D$61:$G$155,MATCH(I77&amp;K77,$C$61:$C$155&amp;$B$61:$B$155,0),MATCH(J77,$D$60:$G$60,0))</f>
        <v>12217153.539851166</v>
      </c>
    </row>
    <row r="78" spans="2:12" x14ac:dyDescent="0.35">
      <c r="B78" s="15" t="s">
        <v>452</v>
      </c>
      <c r="C78" t="s">
        <v>456</v>
      </c>
      <c r="D78">
        <f>D50/D63</f>
        <v>3.3106077488640064E-2</v>
      </c>
      <c r="E78" t="s">
        <v>454</v>
      </c>
      <c r="F78">
        <f>D50/F63</f>
        <v>4.9749149831643358E-2</v>
      </c>
      <c r="G78" t="s">
        <v>454</v>
      </c>
      <c r="I78" t="s">
        <v>456</v>
      </c>
      <c r="J78" t="s">
        <v>29</v>
      </c>
      <c r="K78" t="s">
        <v>437</v>
      </c>
      <c r="L78" s="204" cm="1">
        <f t="array" ref="L78">INDEX($D$61:$G$155,MATCH(I78&amp;K78,$C$61:$C$155&amp;$B$61:$B$155,0),MATCH(J78,$D$60:$G$60,0))</f>
        <v>12217153.539851166</v>
      </c>
    </row>
    <row r="79" spans="2:12" x14ac:dyDescent="0.35">
      <c r="B79" s="15" t="s">
        <v>453</v>
      </c>
      <c r="C79" t="s">
        <v>456</v>
      </c>
      <c r="D79">
        <v>0</v>
      </c>
      <c r="E79">
        <v>0</v>
      </c>
      <c r="F79">
        <v>0</v>
      </c>
      <c r="G79">
        <v>0</v>
      </c>
      <c r="I79" t="s">
        <v>456</v>
      </c>
      <c r="J79" t="s">
        <v>29</v>
      </c>
      <c r="K79" t="s">
        <v>438</v>
      </c>
      <c r="L79" s="204" cm="1">
        <f t="array" ref="L79">INDEX($D$61:$G$155,MATCH(I79&amp;K79,$C$61:$C$155&amp;$B$61:$B$155,0),MATCH(J79,$D$60:$G$60,0))</f>
        <v>5958576.8479255699</v>
      </c>
    </row>
    <row r="80" spans="2:12" x14ac:dyDescent="0.35">
      <c r="B80" s="415" t="s">
        <v>435</v>
      </c>
      <c r="C80" t="s">
        <v>457</v>
      </c>
      <c r="D80" s="419">
        <f>D7+D52+D43</f>
        <v>147038280.00260246</v>
      </c>
      <c r="E80" s="4">
        <f>D16</f>
        <v>93137025.012543261</v>
      </c>
      <c r="F80" s="419">
        <f>Q34+D52+D43+D34</f>
        <v>77408120.971683815</v>
      </c>
      <c r="G80" s="4">
        <f>D25</f>
        <v>40212326.023101956</v>
      </c>
      <c r="I80" t="s">
        <v>456</v>
      </c>
      <c r="J80" t="s">
        <v>29</v>
      </c>
      <c r="K80" t="s">
        <v>439</v>
      </c>
      <c r="L80" s="204" cm="1">
        <f t="array" ref="L80">INDEX($D$61:$G$155,MATCH(I80&amp;K80,$C$61:$C$155&amp;$B$61:$B$155,0),MATCH(J80,$D$60:$G$60,0))</f>
        <v>0</v>
      </c>
    </row>
    <row r="81" spans="2:12" x14ac:dyDescent="0.35">
      <c r="B81" s="415" t="s">
        <v>436</v>
      </c>
      <c r="C81" t="s">
        <v>457</v>
      </c>
      <c r="D81" s="419">
        <f>G7+D52+D43</f>
        <v>120368409.7954734</v>
      </c>
      <c r="E81" s="4">
        <f>L16</f>
        <v>38134809.70101729</v>
      </c>
      <c r="F81" s="419">
        <f>Q34+D52+D43+J34</f>
        <v>77408120.971683815</v>
      </c>
      <c r="G81" s="4">
        <f>L25</f>
        <v>4825479.1227722345</v>
      </c>
      <c r="I81" t="s">
        <v>456</v>
      </c>
      <c r="J81" t="s">
        <v>29</v>
      </c>
      <c r="K81" t="s">
        <v>440</v>
      </c>
      <c r="L81" s="204" cm="1">
        <f t="array" ref="L81">INDEX($D$61:$G$155,MATCH(I81&amp;K81,$C$61:$C$155&amp;$B$61:$B$155,0),MATCH(J81,$D$60:$G$60,0))</f>
        <v>0</v>
      </c>
    </row>
    <row r="82" spans="2:12" x14ac:dyDescent="0.35">
      <c r="B82" s="415" t="s">
        <v>437</v>
      </c>
      <c r="C82" t="s">
        <v>457</v>
      </c>
      <c r="D82" s="419">
        <f>D81</f>
        <v>120368409.7954734</v>
      </c>
      <c r="E82" s="4">
        <f>L16</f>
        <v>38134809.70101729</v>
      </c>
      <c r="F82" s="419">
        <f>F81</f>
        <v>77408120.971683815</v>
      </c>
      <c r="G82" s="4">
        <f>L25</f>
        <v>4825479.1227722345</v>
      </c>
      <c r="I82" t="s">
        <v>456</v>
      </c>
      <c r="J82" t="s">
        <v>29</v>
      </c>
      <c r="K82" t="s">
        <v>441</v>
      </c>
      <c r="L82" s="204" cm="1">
        <f t="array" ref="L82">INDEX($D$61:$G$155,MATCH(I82&amp;K82,$C$61:$C$155&amp;$B$61:$B$155,0),MATCH(J82,$D$60:$G$60,0))</f>
        <v>0</v>
      </c>
    </row>
    <row r="83" spans="2:12" x14ac:dyDescent="0.35">
      <c r="B83" s="15" t="s">
        <v>438</v>
      </c>
      <c r="C83" t="s">
        <v>457</v>
      </c>
      <c r="D83" s="4">
        <f>D7-E7</f>
        <v>26669870.207129046</v>
      </c>
      <c r="E83" s="4">
        <f>D16-E16</f>
        <v>18627405.002508685</v>
      </c>
      <c r="F83">
        <v>0</v>
      </c>
      <c r="G83" s="4">
        <f>D25-E25</f>
        <v>8042465.2046203949</v>
      </c>
      <c r="I83" t="s">
        <v>456</v>
      </c>
      <c r="J83" t="s">
        <v>29</v>
      </c>
      <c r="K83" t="s">
        <v>442</v>
      </c>
      <c r="L83" s="204" cm="1">
        <f t="array" ref="L83">INDEX($D$61:$G$155,MATCH(I83&amp;K83,$C$61:$C$155&amp;$B$61:$B$155,0),MATCH(J83,$D$60:$G$60,0))</f>
        <v>0</v>
      </c>
    </row>
    <row r="84" spans="2:12" x14ac:dyDescent="0.35">
      <c r="B84" s="15" t="s">
        <v>439</v>
      </c>
      <c r="C84" t="s">
        <v>457</v>
      </c>
      <c r="D84">
        <v>0</v>
      </c>
      <c r="E84">
        <v>0</v>
      </c>
      <c r="F84">
        <v>0</v>
      </c>
      <c r="G84">
        <v>0</v>
      </c>
      <c r="I84" t="s">
        <v>456</v>
      </c>
      <c r="J84" t="s">
        <v>29</v>
      </c>
      <c r="K84" t="s">
        <v>443</v>
      </c>
      <c r="L84" s="204" cm="1">
        <f t="array" ref="L84">INDEX($D$61:$G$155,MATCH(I84&amp;K84,$C$61:$C$155&amp;$B$61:$B$155,0),MATCH(J84,$D$60:$G$60,0))</f>
        <v>0</v>
      </c>
    </row>
    <row r="85" spans="2:12" x14ac:dyDescent="0.35">
      <c r="B85" s="15" t="s">
        <v>440</v>
      </c>
      <c r="C85" t="s">
        <v>457</v>
      </c>
      <c r="D85">
        <v>0</v>
      </c>
      <c r="E85">
        <v>0</v>
      </c>
      <c r="F85">
        <v>0</v>
      </c>
      <c r="G85">
        <v>0</v>
      </c>
      <c r="I85" t="s">
        <v>456</v>
      </c>
      <c r="J85" t="s">
        <v>29</v>
      </c>
      <c r="K85" t="s">
        <v>444</v>
      </c>
      <c r="L85" s="204" cm="1">
        <f t="array" ref="L85">INDEX($D$61:$G$155,MATCH(I85&amp;K85,$C$61:$C$155&amp;$B$61:$B$155,0),MATCH(J85,$D$60:$G$60,0))</f>
        <v>11617153.851851165</v>
      </c>
    </row>
    <row r="86" spans="2:12" x14ac:dyDescent="0.35">
      <c r="B86" s="15" t="s">
        <v>441</v>
      </c>
      <c r="C86" t="s">
        <v>457</v>
      </c>
      <c r="D86">
        <v>0</v>
      </c>
      <c r="E86">
        <v>0</v>
      </c>
      <c r="F86">
        <v>0</v>
      </c>
      <c r="G86">
        <v>0</v>
      </c>
      <c r="I86" t="s">
        <v>456</v>
      </c>
      <c r="J86" t="s">
        <v>29</v>
      </c>
      <c r="K86" t="s">
        <v>445</v>
      </c>
      <c r="L86" s="204" cm="1">
        <f t="array" ref="L86">INDEX($D$61:$G$155,MATCH(I86&amp;K86,$C$61:$C$155&amp;$B$61:$B$155,0),MATCH(J86,$D$60:$G$60,0))</f>
        <v>0</v>
      </c>
    </row>
    <row r="87" spans="2:12" x14ac:dyDescent="0.35">
      <c r="B87" s="15" t="s">
        <v>442</v>
      </c>
      <c r="C87" t="s">
        <v>457</v>
      </c>
      <c r="D87">
        <v>0</v>
      </c>
      <c r="E87">
        <v>0</v>
      </c>
      <c r="F87">
        <v>0</v>
      </c>
      <c r="G87">
        <v>0</v>
      </c>
      <c r="I87" t="s">
        <v>456</v>
      </c>
      <c r="J87" t="s">
        <v>29</v>
      </c>
      <c r="K87" t="s">
        <v>446</v>
      </c>
      <c r="L87" s="204" cm="1">
        <f t="array" ref="L87">INDEX($D$61:$G$155,MATCH(I87&amp;K87,$C$61:$C$155&amp;$B$61:$B$155,0),MATCH(J87,$D$60:$G$60,0))</f>
        <v>0</v>
      </c>
    </row>
    <row r="88" spans="2:12" x14ac:dyDescent="0.35">
      <c r="B88" s="15" t="s">
        <v>443</v>
      </c>
      <c r="C88" t="s">
        <v>457</v>
      </c>
      <c r="D88">
        <v>0</v>
      </c>
      <c r="E88">
        <v>0</v>
      </c>
      <c r="F88">
        <v>0</v>
      </c>
      <c r="G88">
        <v>0</v>
      </c>
      <c r="I88" t="s">
        <v>456</v>
      </c>
      <c r="J88" t="s">
        <v>29</v>
      </c>
      <c r="K88" t="s">
        <v>447</v>
      </c>
      <c r="L88" s="204" cm="1">
        <f t="array" ref="L88">INDEX($D$61:$G$155,MATCH(I88&amp;K88,$C$61:$C$155&amp;$B$61:$B$155,0),MATCH(J88,$D$60:$G$60,0))</f>
        <v>0</v>
      </c>
    </row>
    <row r="89" spans="2:12" x14ac:dyDescent="0.35">
      <c r="B89" s="15" t="s">
        <v>444</v>
      </c>
      <c r="C89" t="s">
        <v>457</v>
      </c>
      <c r="D89" t="str">
        <f t="shared" ref="D89:D92" si="10">IF(INDEX(D$61:D$79,MATCH($B89,$B$61:$B$79,0))="LEAVE BLANK","LEAVE BLANK","")</f>
        <v>LEAVE BLANK</v>
      </c>
      <c r="E89" s="4">
        <f>I16</f>
        <v>36374810.309017293</v>
      </c>
      <c r="F89" t="str">
        <f t="shared" ref="E89:G97" si="11">IF(INDEX(F$61:F$79,MATCH($B89,$B$61:$B$79,0))="LEAVE BLANK","LEAVE BLANK","")</f>
        <v>LEAVE BLANK</v>
      </c>
      <c r="G89" s="4">
        <f>I25</f>
        <v>27344381.695709325</v>
      </c>
      <c r="I89" t="s">
        <v>456</v>
      </c>
      <c r="J89" t="s">
        <v>29</v>
      </c>
      <c r="K89" t="s">
        <v>453</v>
      </c>
      <c r="L89" s="204" cm="1">
        <f t="array" ref="L89">INDEX($D$61:$G$155,MATCH(I89&amp;K89,$C$61:$C$155&amp;$B$61:$B$155,0),MATCH(J89,$D$60:$G$60,0))</f>
        <v>0</v>
      </c>
    </row>
    <row r="90" spans="2:12" x14ac:dyDescent="0.35">
      <c r="B90" s="15" t="s">
        <v>445</v>
      </c>
      <c r="C90" t="s">
        <v>457</v>
      </c>
      <c r="D90" t="str">
        <f t="shared" si="10"/>
        <v>LEAVE BLANK</v>
      </c>
      <c r="E90">
        <v>0</v>
      </c>
      <c r="F90" t="str">
        <f t="shared" si="11"/>
        <v>LEAVE BLANK</v>
      </c>
      <c r="G90">
        <v>0</v>
      </c>
      <c r="I90" t="s">
        <v>456</v>
      </c>
      <c r="J90" t="s">
        <v>33</v>
      </c>
      <c r="K90" t="s">
        <v>435</v>
      </c>
      <c r="L90" s="204" cm="1">
        <f t="array" ref="L90">INDEX($D$61:$G$155,MATCH(I90&amp;K90,$C$61:$C$155&amp;$B$61:$B$155,0),MATCH(J90,$D$60:$G$60,0))</f>
        <v>28578247.564066991</v>
      </c>
    </row>
    <row r="91" spans="2:12" x14ac:dyDescent="0.35">
      <c r="B91" s="15" t="s">
        <v>446</v>
      </c>
      <c r="C91" t="s">
        <v>457</v>
      </c>
      <c r="D91" t="str">
        <f t="shared" si="10"/>
        <v>LEAVE BLANK</v>
      </c>
      <c r="E91" s="4">
        <f>K16</f>
        <v>0</v>
      </c>
      <c r="F91" t="str">
        <f t="shared" si="11"/>
        <v>LEAVE BLANK</v>
      </c>
      <c r="G91" s="4">
        <f>K25</f>
        <v>0</v>
      </c>
      <c r="I91" t="s">
        <v>456</v>
      </c>
      <c r="J91" t="s">
        <v>33</v>
      </c>
      <c r="K91" t="s">
        <v>436</v>
      </c>
      <c r="L91" s="204" cm="1">
        <f t="array" ref="L91">INDEX($D$61:$G$155,MATCH(I91&amp;K91,$C$61:$C$155&amp;$B$61:$B$155,0),MATCH(J91,$D$60:$G$60,0))</f>
        <v>28578247.564066991</v>
      </c>
    </row>
    <row r="92" spans="2:12" x14ac:dyDescent="0.35">
      <c r="B92" s="15" t="s">
        <v>447</v>
      </c>
      <c r="C92" t="s">
        <v>457</v>
      </c>
      <c r="D92" t="str">
        <f t="shared" si="10"/>
        <v>LEAVE BLANK</v>
      </c>
      <c r="E92" t="str">
        <f t="shared" si="11"/>
        <v/>
      </c>
      <c r="F92" t="str">
        <f t="shared" si="11"/>
        <v>LEAVE BLANK</v>
      </c>
      <c r="G92">
        <v>0</v>
      </c>
      <c r="I92" t="s">
        <v>456</v>
      </c>
      <c r="J92" t="s">
        <v>33</v>
      </c>
      <c r="K92" t="s">
        <v>437</v>
      </c>
      <c r="L92" s="204" cm="1">
        <f t="array" ref="L92">INDEX($D$61:$G$155,MATCH(I92&amp;K92,$C$61:$C$155&amp;$B$61:$B$155,0),MATCH(J92,$D$60:$G$60,0))</f>
        <v>28578247.564066991</v>
      </c>
    </row>
    <row r="93" spans="2:12" x14ac:dyDescent="0.35">
      <c r="B93" s="15" t="s">
        <v>448</v>
      </c>
      <c r="C93" t="s">
        <v>457</v>
      </c>
      <c r="D93">
        <v>0</v>
      </c>
      <c r="E93" t="str">
        <f t="shared" si="11"/>
        <v>LEAVE BLANK</v>
      </c>
      <c r="F93">
        <v>0</v>
      </c>
      <c r="G93" t="str">
        <f t="shared" si="11"/>
        <v>LEAVE BLANK</v>
      </c>
      <c r="I93" t="s">
        <v>456</v>
      </c>
      <c r="J93" t="s">
        <v>33</v>
      </c>
      <c r="K93" t="s">
        <v>438</v>
      </c>
      <c r="L93" s="204" cm="1">
        <f t="array" ref="L93">INDEX($D$61:$G$155,MATCH(I93&amp;K93,$C$61:$C$155&amp;$B$61:$B$155,0),MATCH(J93,$D$60:$G$60,0))</f>
        <v>0</v>
      </c>
    </row>
    <row r="94" spans="2:12" x14ac:dyDescent="0.35">
      <c r="B94" s="15" t="s">
        <v>449</v>
      </c>
      <c r="C94" t="s">
        <v>457</v>
      </c>
      <c r="D94">
        <v>0</v>
      </c>
      <c r="E94" t="str">
        <f t="shared" si="11"/>
        <v>LEAVE BLANK</v>
      </c>
      <c r="F94">
        <v>0</v>
      </c>
      <c r="G94" t="str">
        <f t="shared" si="11"/>
        <v>LEAVE BLANK</v>
      </c>
      <c r="I94" t="s">
        <v>456</v>
      </c>
      <c r="J94" t="s">
        <v>33</v>
      </c>
      <c r="K94" t="s">
        <v>439</v>
      </c>
      <c r="L94" s="204" cm="1">
        <f t="array" ref="L94">INDEX($D$61:$G$155,MATCH(I94&amp;K94,$C$61:$C$155&amp;$B$61:$B$155,0),MATCH(J94,$D$60:$G$60,0))</f>
        <v>0</v>
      </c>
    </row>
    <row r="95" spans="2:12" x14ac:dyDescent="0.35">
      <c r="B95" s="15" t="s">
        <v>450</v>
      </c>
      <c r="C95" t="s">
        <v>457</v>
      </c>
      <c r="D95">
        <v>0</v>
      </c>
      <c r="E95" t="str">
        <f t="shared" si="11"/>
        <v>LEAVE BLANK</v>
      </c>
      <c r="F95">
        <v>0</v>
      </c>
      <c r="G95" t="str">
        <f t="shared" si="11"/>
        <v>LEAVE BLANK</v>
      </c>
      <c r="I95" t="s">
        <v>456</v>
      </c>
      <c r="J95" t="s">
        <v>33</v>
      </c>
      <c r="K95" t="s">
        <v>440</v>
      </c>
      <c r="L95" s="204" cm="1">
        <f t="array" ref="L95">INDEX($D$61:$G$155,MATCH(I95&amp;K95,$C$61:$C$155&amp;$B$61:$B$155,0),MATCH(J95,$D$60:$G$60,0))</f>
        <v>0</v>
      </c>
    </row>
    <row r="96" spans="2:12" x14ac:dyDescent="0.35">
      <c r="B96" s="15" t="s">
        <v>451</v>
      </c>
      <c r="C96" t="s">
        <v>457</v>
      </c>
      <c r="D96">
        <f>$D$52/D81</f>
        <v>3.3141327392910924E-2</v>
      </c>
      <c r="E96" t="str">
        <f t="shared" si="11"/>
        <v>LEAVE BLANK</v>
      </c>
      <c r="F96">
        <f>D52/F81</f>
        <v>5.1534242489300358E-2</v>
      </c>
      <c r="G96" t="str">
        <f t="shared" si="11"/>
        <v>LEAVE BLANK</v>
      </c>
      <c r="I96" t="s">
        <v>456</v>
      </c>
      <c r="J96" t="s">
        <v>33</v>
      </c>
      <c r="K96" t="s">
        <v>441</v>
      </c>
      <c r="L96" s="204" cm="1">
        <f t="array" ref="L96">INDEX($D$61:$G$155,MATCH(I96&amp;K96,$C$61:$C$155&amp;$B$61:$B$155,0),MATCH(J96,$D$60:$G$60,0))</f>
        <v>0</v>
      </c>
    </row>
    <row r="97" spans="2:12" x14ac:dyDescent="0.35">
      <c r="B97" s="15" t="s">
        <v>452</v>
      </c>
      <c r="C97" t="s">
        <v>457</v>
      </c>
      <c r="D97">
        <f>$D$52/D82</f>
        <v>3.3141327392910924E-2</v>
      </c>
      <c r="E97" t="str">
        <f t="shared" si="11"/>
        <v>LEAVE BLANK</v>
      </c>
      <c r="F97">
        <f>D52/F82</f>
        <v>5.1534242489300358E-2</v>
      </c>
      <c r="G97" t="str">
        <f t="shared" si="11"/>
        <v>LEAVE BLANK</v>
      </c>
      <c r="I97" t="s">
        <v>456</v>
      </c>
      <c r="J97" t="s">
        <v>33</v>
      </c>
      <c r="K97" t="s">
        <v>442</v>
      </c>
      <c r="L97" s="204" cm="1">
        <f t="array" ref="L97">INDEX($D$61:$G$155,MATCH(I97&amp;K97,$C$61:$C$155&amp;$B$61:$B$155,0),MATCH(J97,$D$60:$G$60,0))</f>
        <v>0</v>
      </c>
    </row>
    <row r="98" spans="2:12" x14ac:dyDescent="0.35">
      <c r="B98" s="15" t="s">
        <v>453</v>
      </c>
      <c r="C98" t="s">
        <v>457</v>
      </c>
      <c r="D98">
        <v>0</v>
      </c>
      <c r="E98">
        <v>0</v>
      </c>
      <c r="F98">
        <v>0</v>
      </c>
      <c r="G98">
        <v>0</v>
      </c>
      <c r="I98" t="s">
        <v>456</v>
      </c>
      <c r="J98" t="s">
        <v>33</v>
      </c>
      <c r="K98" t="s">
        <v>443</v>
      </c>
      <c r="L98" s="204" cm="1">
        <f t="array" ref="L98">INDEX($D$61:$G$155,MATCH(I98&amp;K98,$C$61:$C$155&amp;$B$61:$B$155,0),MATCH(J98,$D$60:$G$60,0))</f>
        <v>0</v>
      </c>
    </row>
    <row r="99" spans="2:12" x14ac:dyDescent="0.35">
      <c r="B99" s="415" t="s">
        <v>435</v>
      </c>
      <c r="C99" t="s">
        <v>458</v>
      </c>
      <c r="D99" s="419">
        <f ca="1">D9+D54</f>
        <v>39999960</v>
      </c>
      <c r="E99" s="4">
        <f ca="1">D18</f>
        <v>39999960</v>
      </c>
      <c r="F99" s="419">
        <f ca="1">Q36+D55+D45+D36</f>
        <v>22946346.113120016</v>
      </c>
      <c r="G99" s="4">
        <f ca="1">D27</f>
        <v>28857627.37544075</v>
      </c>
      <c r="I99" t="s">
        <v>456</v>
      </c>
      <c r="J99" t="s">
        <v>33</v>
      </c>
      <c r="K99" t="s">
        <v>448</v>
      </c>
      <c r="L99" s="204" cm="1">
        <f t="array" ref="L99">INDEX($D$61:$G$155,MATCH(I99&amp;K99,$C$61:$C$155&amp;$B$61:$B$155,0),MATCH(J99,$D$60:$G$60,0))</f>
        <v>0</v>
      </c>
    </row>
    <row r="100" spans="2:12" x14ac:dyDescent="0.35">
      <c r="B100" s="415" t="s">
        <v>436</v>
      </c>
      <c r="C100" t="s">
        <v>458</v>
      </c>
      <c r="D100" s="419">
        <f ca="1">G9+D54</f>
        <v>31999968</v>
      </c>
      <c r="E100" s="4">
        <f ca="1">L18</f>
        <v>19199980.799999997</v>
      </c>
      <c r="F100" s="419">
        <f ca="1">Q36+D55+D45+J36</f>
        <v>22946346.113120016</v>
      </c>
      <c r="G100" s="4">
        <f ca="1">L27</f>
        <v>3462915.2850528909</v>
      </c>
      <c r="I100" t="s">
        <v>456</v>
      </c>
      <c r="J100" t="s">
        <v>33</v>
      </c>
      <c r="K100" t="s">
        <v>449</v>
      </c>
      <c r="L100" s="204" cm="1">
        <f t="array" ref="L100">INDEX($D$61:$G$155,MATCH(I100&amp;K100,$C$61:$C$155&amp;$B$61:$B$155,0),MATCH(J100,$D$60:$G$60,0))</f>
        <v>0</v>
      </c>
    </row>
    <row r="101" spans="2:12" x14ac:dyDescent="0.35">
      <c r="B101" s="415" t="s">
        <v>437</v>
      </c>
      <c r="C101" t="s">
        <v>458</v>
      </c>
      <c r="D101" s="419">
        <f ca="1">G9+D54</f>
        <v>31999968</v>
      </c>
      <c r="E101" s="4">
        <f ca="1">L18</f>
        <v>19199980.799999997</v>
      </c>
      <c r="F101" s="419">
        <f ca="1">F100</f>
        <v>22946346.113120016</v>
      </c>
      <c r="G101" s="4">
        <f ca="1">L27</f>
        <v>3462915.2850528909</v>
      </c>
      <c r="I101" t="s">
        <v>456</v>
      </c>
      <c r="J101" t="s">
        <v>33</v>
      </c>
      <c r="K101" t="s">
        <v>450</v>
      </c>
      <c r="L101" s="204" cm="1">
        <f t="array" ref="L101">INDEX($D$61:$G$155,MATCH(I101&amp;K101,$C$61:$C$155&amp;$B$61:$B$155,0),MATCH(J101,$D$60:$G$60,0))</f>
        <v>0</v>
      </c>
    </row>
    <row r="102" spans="2:12" x14ac:dyDescent="0.35">
      <c r="B102" s="15" t="s">
        <v>438</v>
      </c>
      <c r="C102" t="s">
        <v>458</v>
      </c>
      <c r="D102" s="4">
        <f ca="1">D9-E9</f>
        <v>7999992</v>
      </c>
      <c r="E102" s="4">
        <f ca="1">D18-E18</f>
        <v>7999992</v>
      </c>
      <c r="F102">
        <v>0</v>
      </c>
      <c r="G102" s="4">
        <f ca="1">D27-E27</f>
        <v>5771525.4750881493</v>
      </c>
      <c r="I102" t="s">
        <v>456</v>
      </c>
      <c r="J102" t="s">
        <v>33</v>
      </c>
      <c r="K102" t="s">
        <v>451</v>
      </c>
      <c r="L102" s="204" cm="1">
        <f t="array" ref="L102">INDEX($D$61:$G$155,MATCH(I102&amp;K102,$C$61:$C$155&amp;$B$61:$B$155,0),MATCH(J102,$D$60:$G$60,0))</f>
        <v>4.9749149831643358E-2</v>
      </c>
    </row>
    <row r="103" spans="2:12" x14ac:dyDescent="0.35">
      <c r="B103" s="15" t="s">
        <v>439</v>
      </c>
      <c r="C103" t="s">
        <v>458</v>
      </c>
      <c r="D103">
        <v>0</v>
      </c>
      <c r="E103">
        <v>0</v>
      </c>
      <c r="F103">
        <v>0</v>
      </c>
      <c r="G103">
        <v>0</v>
      </c>
      <c r="I103" t="s">
        <v>456</v>
      </c>
      <c r="J103" t="s">
        <v>33</v>
      </c>
      <c r="K103" t="s">
        <v>452</v>
      </c>
      <c r="L103" s="204" cm="1">
        <f t="array" ref="L103">INDEX($D$61:$G$155,MATCH(I103&amp;K103,$C$61:$C$155&amp;$B$61:$B$155,0),MATCH(J103,$D$60:$G$60,0))</f>
        <v>4.9749149831643358E-2</v>
      </c>
    </row>
    <row r="104" spans="2:12" x14ac:dyDescent="0.35">
      <c r="B104" s="15" t="s">
        <v>440</v>
      </c>
      <c r="C104" t="s">
        <v>458</v>
      </c>
      <c r="D104">
        <v>0</v>
      </c>
      <c r="E104">
        <v>0</v>
      </c>
      <c r="F104">
        <v>0</v>
      </c>
      <c r="G104">
        <v>0</v>
      </c>
      <c r="I104" t="s">
        <v>456</v>
      </c>
      <c r="J104" t="s">
        <v>33</v>
      </c>
      <c r="K104" t="s">
        <v>453</v>
      </c>
      <c r="L104" s="204" cm="1">
        <f t="array" ref="L104">INDEX($D$61:$G$155,MATCH(I104&amp;K104,$C$61:$C$155&amp;$B$61:$B$155,0),MATCH(J104,$D$60:$G$60,0))</f>
        <v>0</v>
      </c>
    </row>
    <row r="105" spans="2:12" x14ac:dyDescent="0.35">
      <c r="B105" s="15" t="s">
        <v>441</v>
      </c>
      <c r="C105" t="s">
        <v>458</v>
      </c>
      <c r="D105">
        <v>0</v>
      </c>
      <c r="E105">
        <v>0</v>
      </c>
      <c r="F105">
        <v>0</v>
      </c>
      <c r="G105">
        <v>0</v>
      </c>
      <c r="I105" t="s">
        <v>456</v>
      </c>
      <c r="J105" t="s">
        <v>31</v>
      </c>
      <c r="K105" t="s">
        <v>435</v>
      </c>
      <c r="L105" s="204" cm="1">
        <f t="array" ref="L105">INDEX($D$61:$G$155,MATCH(I105&amp;K105,$C$61:$C$155&amp;$B$61:$B$155,0),MATCH(J105,$D$60:$G$60,0))</f>
        <v>17914084.880769655</v>
      </c>
    </row>
    <row r="106" spans="2:12" x14ac:dyDescent="0.35">
      <c r="B106" s="15" t="s">
        <v>442</v>
      </c>
      <c r="C106" t="s">
        <v>458</v>
      </c>
      <c r="D106">
        <v>0</v>
      </c>
      <c r="E106">
        <v>0</v>
      </c>
      <c r="F106">
        <v>0</v>
      </c>
      <c r="G106">
        <v>0</v>
      </c>
      <c r="I106" t="s">
        <v>456</v>
      </c>
      <c r="J106" t="s">
        <v>31</v>
      </c>
      <c r="K106" t="s">
        <v>436</v>
      </c>
      <c r="L106" s="204" cm="1">
        <f t="array" ref="L106">INDEX($D$61:$G$155,MATCH(I106&amp;K106,$C$61:$C$155&amp;$B$61:$B$155,0),MATCH(J106,$D$60:$G$60,0))</f>
        <v>2149690.1856923592</v>
      </c>
    </row>
    <row r="107" spans="2:12" x14ac:dyDescent="0.35">
      <c r="B107" s="15" t="s">
        <v>443</v>
      </c>
      <c r="C107" t="s">
        <v>458</v>
      </c>
      <c r="D107">
        <v>0</v>
      </c>
      <c r="E107">
        <v>0</v>
      </c>
      <c r="F107">
        <v>0</v>
      </c>
      <c r="G107">
        <v>0</v>
      </c>
      <c r="I107" t="s">
        <v>456</v>
      </c>
      <c r="J107" t="s">
        <v>31</v>
      </c>
      <c r="K107" t="s">
        <v>437</v>
      </c>
      <c r="L107" s="204" cm="1">
        <f t="array" ref="L107">INDEX($D$61:$G$155,MATCH(I107&amp;K107,$C$61:$C$155&amp;$B$61:$B$155,0),MATCH(J107,$D$60:$G$60,0))</f>
        <v>2149690.1856923592</v>
      </c>
    </row>
    <row r="108" spans="2:12" x14ac:dyDescent="0.35">
      <c r="B108" s="15" t="s">
        <v>444</v>
      </c>
      <c r="C108" t="s">
        <v>458</v>
      </c>
      <c r="D108" t="str">
        <f t="shared" ref="D108:G116" si="12">IF(INDEX(D$61:D$79,MATCH($B108,$B$61:$B$79,0))="LEAVE BLANK","LEAVE BLANK","")</f>
        <v>LEAVE BLANK</v>
      </c>
      <c r="E108" s="4">
        <f ca="1">I18</f>
        <v>12799987.200000001</v>
      </c>
      <c r="F108" t="str">
        <f t="shared" si="12"/>
        <v>LEAVE BLANK</v>
      </c>
      <c r="G108" s="4">
        <f ca="1">I27</f>
        <v>19623186.615299709</v>
      </c>
      <c r="I108" t="s">
        <v>456</v>
      </c>
      <c r="J108" t="s">
        <v>31</v>
      </c>
      <c r="K108" t="s">
        <v>438</v>
      </c>
      <c r="L108" s="204" cm="1">
        <f t="array" ref="L108">INDEX($D$61:$G$155,MATCH(I108&amp;K108,$C$61:$C$155&amp;$B$61:$B$155,0),MATCH(J108,$D$60:$G$60,0))</f>
        <v>3582816.9761539325</v>
      </c>
    </row>
    <row r="109" spans="2:12" x14ac:dyDescent="0.35">
      <c r="B109" s="15" t="s">
        <v>445</v>
      </c>
      <c r="C109" t="s">
        <v>458</v>
      </c>
      <c r="D109" t="str">
        <f t="shared" si="12"/>
        <v>LEAVE BLANK</v>
      </c>
      <c r="E109">
        <v>0</v>
      </c>
      <c r="F109" t="str">
        <f t="shared" si="12"/>
        <v>LEAVE BLANK</v>
      </c>
      <c r="G109">
        <v>0</v>
      </c>
      <c r="I109" t="s">
        <v>456</v>
      </c>
      <c r="J109" t="s">
        <v>31</v>
      </c>
      <c r="K109" t="s">
        <v>439</v>
      </c>
      <c r="L109" s="204" cm="1">
        <f t="array" ref="L109">INDEX($D$61:$G$155,MATCH(I109&amp;K109,$C$61:$C$155&amp;$B$61:$B$155,0),MATCH(J109,$D$60:$G$60,0))</f>
        <v>0</v>
      </c>
    </row>
    <row r="110" spans="2:12" x14ac:dyDescent="0.35">
      <c r="B110" s="15" t="s">
        <v>446</v>
      </c>
      <c r="C110" t="s">
        <v>458</v>
      </c>
      <c r="D110" t="str">
        <f t="shared" si="12"/>
        <v>LEAVE BLANK</v>
      </c>
      <c r="E110" s="4">
        <f ca="1">K18</f>
        <v>0</v>
      </c>
      <c r="F110" t="str">
        <f t="shared" si="12"/>
        <v>LEAVE BLANK</v>
      </c>
      <c r="G110">
        <v>0</v>
      </c>
      <c r="I110" t="s">
        <v>456</v>
      </c>
      <c r="J110" t="s">
        <v>31</v>
      </c>
      <c r="K110" t="s">
        <v>440</v>
      </c>
      <c r="L110" s="204" cm="1">
        <f t="array" ref="L110">INDEX($D$61:$G$155,MATCH(I110&amp;K110,$C$61:$C$155&amp;$B$61:$B$155,0),MATCH(J110,$D$60:$G$60,0))</f>
        <v>0</v>
      </c>
    </row>
    <row r="111" spans="2:12" x14ac:dyDescent="0.35">
      <c r="B111" s="15" t="s">
        <v>447</v>
      </c>
      <c r="C111" t="s">
        <v>458</v>
      </c>
      <c r="D111" t="str">
        <f t="shared" si="12"/>
        <v>LEAVE BLANK</v>
      </c>
      <c r="E111">
        <v>0</v>
      </c>
      <c r="F111" t="str">
        <f t="shared" si="12"/>
        <v>LEAVE BLANK</v>
      </c>
      <c r="G111">
        <v>0</v>
      </c>
      <c r="I111" t="s">
        <v>456</v>
      </c>
      <c r="J111" t="s">
        <v>31</v>
      </c>
      <c r="K111" t="s">
        <v>441</v>
      </c>
      <c r="L111" s="204" cm="1">
        <f t="array" ref="L111">INDEX($D$61:$G$155,MATCH(I111&amp;K111,$C$61:$C$155&amp;$B$61:$B$155,0),MATCH(J111,$D$60:$G$60,0))</f>
        <v>0</v>
      </c>
    </row>
    <row r="112" spans="2:12" x14ac:dyDescent="0.35">
      <c r="B112" s="15" t="s">
        <v>448</v>
      </c>
      <c r="C112" t="s">
        <v>458</v>
      </c>
      <c r="D112">
        <v>0</v>
      </c>
      <c r="E112" t="str">
        <f t="shared" si="12"/>
        <v>LEAVE BLANK</v>
      </c>
      <c r="F112">
        <v>0</v>
      </c>
      <c r="G112" t="str">
        <f t="shared" si="12"/>
        <v>LEAVE BLANK</v>
      </c>
      <c r="I112" t="s">
        <v>456</v>
      </c>
      <c r="J112" t="s">
        <v>31</v>
      </c>
      <c r="K112" t="s">
        <v>442</v>
      </c>
      <c r="L112" s="204" cm="1">
        <f t="array" ref="L112">INDEX($D$61:$G$155,MATCH(I112&amp;K112,$C$61:$C$155&amp;$B$61:$B$155,0),MATCH(J112,$D$60:$G$60,0))</f>
        <v>0</v>
      </c>
    </row>
    <row r="113" spans="2:12" x14ac:dyDescent="0.35">
      <c r="B113" s="15" t="s">
        <v>449</v>
      </c>
      <c r="C113" t="s">
        <v>458</v>
      </c>
      <c r="D113">
        <v>0</v>
      </c>
      <c r="E113" t="str">
        <f t="shared" si="12"/>
        <v>LEAVE BLANK</v>
      </c>
      <c r="F113">
        <v>0</v>
      </c>
      <c r="G113" t="str">
        <f t="shared" si="12"/>
        <v>LEAVE BLANK</v>
      </c>
      <c r="I113" t="s">
        <v>456</v>
      </c>
      <c r="J113" t="s">
        <v>31</v>
      </c>
      <c r="K113" t="s">
        <v>443</v>
      </c>
      <c r="L113" s="204" cm="1">
        <f t="array" ref="L113">INDEX($D$61:$G$155,MATCH(I113&amp;K113,$C$61:$C$155&amp;$B$61:$B$155,0),MATCH(J113,$D$60:$G$60,0))</f>
        <v>0</v>
      </c>
    </row>
    <row r="114" spans="2:12" x14ac:dyDescent="0.35">
      <c r="B114" s="15" t="s">
        <v>450</v>
      </c>
      <c r="C114" t="s">
        <v>458</v>
      </c>
      <c r="D114">
        <v>0</v>
      </c>
      <c r="E114" t="str">
        <f t="shared" si="12"/>
        <v>LEAVE BLANK</v>
      </c>
      <c r="F114">
        <v>0</v>
      </c>
      <c r="G114" t="str">
        <f t="shared" si="12"/>
        <v>LEAVE BLANK</v>
      </c>
      <c r="I114" t="s">
        <v>456</v>
      </c>
      <c r="J114" t="s">
        <v>31</v>
      </c>
      <c r="K114" t="s">
        <v>444</v>
      </c>
      <c r="L114" s="204" cm="1">
        <f t="array" ref="L114">INDEX($D$61:$G$155,MATCH(I114&amp;K114,$C$61:$C$155&amp;$B$61:$B$155,0),MATCH(J114,$D$60:$G$60,0))</f>
        <v>12181577.718923366</v>
      </c>
    </row>
    <row r="115" spans="2:12" x14ac:dyDescent="0.35">
      <c r="B115" s="15" t="s">
        <v>451</v>
      </c>
      <c r="C115" t="s">
        <v>458</v>
      </c>
      <c r="D115">
        <f ca="1">D54/D100</f>
        <v>0</v>
      </c>
      <c r="E115" t="str">
        <f t="shared" si="12"/>
        <v>LEAVE BLANK</v>
      </c>
      <c r="F115">
        <f ca="1">D55/F100</f>
        <v>4.7820152336741521E-2</v>
      </c>
      <c r="G115" t="str">
        <f t="shared" si="12"/>
        <v>LEAVE BLANK</v>
      </c>
      <c r="I115" t="s">
        <v>456</v>
      </c>
      <c r="J115" t="s">
        <v>31</v>
      </c>
      <c r="K115" t="s">
        <v>445</v>
      </c>
      <c r="L115" s="204" cm="1">
        <f t="array" ref="L115">INDEX($D$61:$G$155,MATCH(I115&amp;K115,$C$61:$C$155&amp;$B$61:$B$155,0),MATCH(J115,$D$60:$G$60,0))</f>
        <v>0</v>
      </c>
    </row>
    <row r="116" spans="2:12" x14ac:dyDescent="0.35">
      <c r="B116" s="15" t="s">
        <v>452</v>
      </c>
      <c r="C116" t="s">
        <v>458</v>
      </c>
      <c r="D116">
        <f ca="1">D54/D101</f>
        <v>0</v>
      </c>
      <c r="E116" t="str">
        <f t="shared" si="12"/>
        <v>LEAVE BLANK</v>
      </c>
      <c r="F116">
        <f ca="1">D55/F101</f>
        <v>4.7820152336741521E-2</v>
      </c>
      <c r="G116" t="str">
        <f t="shared" si="12"/>
        <v>LEAVE BLANK</v>
      </c>
      <c r="I116" t="s">
        <v>456</v>
      </c>
      <c r="J116" t="s">
        <v>31</v>
      </c>
      <c r="K116" t="s">
        <v>446</v>
      </c>
      <c r="L116" s="204" cm="1">
        <f t="array" ref="L116">INDEX($D$61:$G$155,MATCH(I116&amp;K116,$C$61:$C$155&amp;$B$61:$B$155,0),MATCH(J116,$D$60:$G$60,0))</f>
        <v>0</v>
      </c>
    </row>
    <row r="117" spans="2:12" x14ac:dyDescent="0.35">
      <c r="B117" s="15" t="s">
        <v>453</v>
      </c>
      <c r="C117" t="s">
        <v>458</v>
      </c>
      <c r="D117">
        <v>0</v>
      </c>
      <c r="E117">
        <v>0</v>
      </c>
      <c r="F117">
        <v>0</v>
      </c>
      <c r="G117">
        <v>0</v>
      </c>
      <c r="I117" t="s">
        <v>456</v>
      </c>
      <c r="J117" t="s">
        <v>31</v>
      </c>
      <c r="K117" t="s">
        <v>447</v>
      </c>
      <c r="L117" s="204" cm="1">
        <f t="array" ref="L117">INDEX($D$61:$G$155,MATCH(I117&amp;K117,$C$61:$C$155&amp;$B$61:$B$155,0),MATCH(J117,$D$60:$G$60,0))</f>
        <v>0</v>
      </c>
    </row>
    <row r="118" spans="2:12" x14ac:dyDescent="0.35">
      <c r="B118" s="415" t="s">
        <v>435</v>
      </c>
      <c r="C118" t="s">
        <v>459</v>
      </c>
      <c r="D118" s="419">
        <f ca="1">D6+D51+D42</f>
        <v>294582388.56936425</v>
      </c>
      <c r="E118" s="4">
        <f>D15</f>
        <v>122607729.29155537</v>
      </c>
      <c r="F118" s="419">
        <f ca="1">Q33+D51+D42+D33</f>
        <v>184470576.48206866</v>
      </c>
      <c r="G118" s="4">
        <f>D24</f>
        <v>145235872.56181151</v>
      </c>
      <c r="I118" t="s">
        <v>456</v>
      </c>
      <c r="J118" t="s">
        <v>31</v>
      </c>
      <c r="K118" t="s">
        <v>453</v>
      </c>
      <c r="L118" s="204" cm="1">
        <f t="array" ref="L118">INDEX($D$61:$G$155,MATCH(I118&amp;K118,$C$61:$C$155&amp;$B$61:$B$155,0),MATCH(J118,$D$60:$G$60,0))</f>
        <v>0</v>
      </c>
    </row>
    <row r="119" spans="2:12" x14ac:dyDescent="0.35">
      <c r="B119" s="415" t="s">
        <v>436</v>
      </c>
      <c r="C119" t="s">
        <v>459</v>
      </c>
      <c r="D119" s="419">
        <f ca="1">E6+D51+D42</f>
        <v>241013668.1986908</v>
      </c>
      <c r="E119" s="4">
        <f>L15</f>
        <v>49043091.716622166</v>
      </c>
      <c r="F119" s="419">
        <f ca="1">Q33+D51+D42+J33</f>
        <v>184470576.48206866</v>
      </c>
      <c r="G119" s="4">
        <f>L24</f>
        <v>7500000</v>
      </c>
      <c r="I119" t="s">
        <v>457</v>
      </c>
      <c r="J119" t="s">
        <v>32</v>
      </c>
      <c r="K119" t="s">
        <v>435</v>
      </c>
      <c r="L119" s="204" cm="1">
        <f t="array" ref="L119">INDEX($D$61:$G$155,MATCH(I119&amp;K119,$C$61:$C$155&amp;$B$61:$B$155,0),MATCH(J119,$D$60:$G$60,0))</f>
        <v>147038280.00260246</v>
      </c>
    </row>
    <row r="120" spans="2:12" x14ac:dyDescent="0.35">
      <c r="B120" s="415" t="s">
        <v>437</v>
      </c>
      <c r="C120" t="s">
        <v>459</v>
      </c>
      <c r="D120" s="419">
        <f ca="1">D119</f>
        <v>241013668.1986908</v>
      </c>
      <c r="E120" s="4">
        <f>L15</f>
        <v>49043091.716622166</v>
      </c>
      <c r="F120" s="419">
        <f ca="1">F119</f>
        <v>184470576.48206866</v>
      </c>
      <c r="G120" s="4">
        <f>G119</f>
        <v>7500000</v>
      </c>
      <c r="I120" t="s">
        <v>457</v>
      </c>
      <c r="J120" t="s">
        <v>32</v>
      </c>
      <c r="K120" t="s">
        <v>436</v>
      </c>
      <c r="L120" s="204" cm="1">
        <f t="array" ref="L120">INDEX($D$61:$G$155,MATCH(I120&amp;K120,$C$61:$C$155&amp;$B$61:$B$155,0),MATCH(J120,$D$60:$G$60,0))</f>
        <v>120368409.7954734</v>
      </c>
    </row>
    <row r="121" spans="2:12" x14ac:dyDescent="0.35">
      <c r="B121" s="15" t="s">
        <v>438</v>
      </c>
      <c r="C121" t="s">
        <v>459</v>
      </c>
      <c r="D121" s="4">
        <f>D6-E6</f>
        <v>53568720.370673388</v>
      </c>
      <c r="E121" s="4">
        <f>D15-E15</f>
        <v>24521545.858311072</v>
      </c>
      <c r="F121">
        <v>0</v>
      </c>
      <c r="G121" s="4">
        <f>D24-E24</f>
        <v>29047174.512362301</v>
      </c>
      <c r="I121" t="s">
        <v>457</v>
      </c>
      <c r="J121" t="s">
        <v>32</v>
      </c>
      <c r="K121" t="s">
        <v>437</v>
      </c>
      <c r="L121" s="204" cm="1">
        <f t="array" ref="L121">INDEX($D$61:$G$155,MATCH(I121&amp;K121,$C$61:$C$155&amp;$B$61:$B$155,0),MATCH(J121,$D$60:$G$60,0))</f>
        <v>120368409.7954734</v>
      </c>
    </row>
    <row r="122" spans="2:12" x14ac:dyDescent="0.35">
      <c r="B122" s="15" t="s">
        <v>439</v>
      </c>
      <c r="C122" t="s">
        <v>459</v>
      </c>
      <c r="D122">
        <v>0</v>
      </c>
      <c r="E122">
        <v>0</v>
      </c>
      <c r="F122">
        <v>0</v>
      </c>
      <c r="G122">
        <v>0</v>
      </c>
      <c r="I122" t="s">
        <v>457</v>
      </c>
      <c r="J122" t="s">
        <v>32</v>
      </c>
      <c r="K122" t="s">
        <v>438</v>
      </c>
      <c r="L122" s="204" cm="1">
        <f t="array" ref="L122">INDEX($D$61:$G$155,MATCH(I122&amp;K122,$C$61:$C$155&amp;$B$61:$B$155,0),MATCH(J122,$D$60:$G$60,0))</f>
        <v>26669870.207129046</v>
      </c>
    </row>
    <row r="123" spans="2:12" x14ac:dyDescent="0.35">
      <c r="B123" s="15" t="s">
        <v>440</v>
      </c>
      <c r="C123" t="s">
        <v>459</v>
      </c>
      <c r="D123">
        <v>0</v>
      </c>
      <c r="E123">
        <v>0</v>
      </c>
      <c r="F123">
        <v>0</v>
      </c>
      <c r="G123">
        <v>0</v>
      </c>
      <c r="I123" t="s">
        <v>457</v>
      </c>
      <c r="J123" t="s">
        <v>32</v>
      </c>
      <c r="K123" t="s">
        <v>439</v>
      </c>
      <c r="L123" s="204" cm="1">
        <f t="array" ref="L123">INDEX($D$61:$G$155,MATCH(I123&amp;K123,$C$61:$C$155&amp;$B$61:$B$155,0),MATCH(J123,$D$60:$G$60,0))</f>
        <v>0</v>
      </c>
    </row>
    <row r="124" spans="2:12" x14ac:dyDescent="0.35">
      <c r="B124" s="15" t="s">
        <v>441</v>
      </c>
      <c r="C124" t="s">
        <v>459</v>
      </c>
      <c r="D124">
        <v>0</v>
      </c>
      <c r="E124">
        <v>0</v>
      </c>
      <c r="F124">
        <v>0</v>
      </c>
      <c r="G124">
        <v>0</v>
      </c>
      <c r="I124" t="s">
        <v>457</v>
      </c>
      <c r="J124" t="s">
        <v>32</v>
      </c>
      <c r="K124" t="s">
        <v>440</v>
      </c>
      <c r="L124" s="204" cm="1">
        <f t="array" ref="L124">INDEX($D$61:$G$155,MATCH(I124&amp;K124,$C$61:$C$155&amp;$B$61:$B$155,0),MATCH(J124,$D$60:$G$60,0))</f>
        <v>0</v>
      </c>
    </row>
    <row r="125" spans="2:12" x14ac:dyDescent="0.35">
      <c r="B125" s="15" t="s">
        <v>442</v>
      </c>
      <c r="C125" t="s">
        <v>459</v>
      </c>
      <c r="D125">
        <v>0</v>
      </c>
      <c r="E125">
        <v>0</v>
      </c>
      <c r="F125">
        <v>0</v>
      </c>
      <c r="G125">
        <v>0</v>
      </c>
      <c r="I125" t="s">
        <v>457</v>
      </c>
      <c r="J125" t="s">
        <v>32</v>
      </c>
      <c r="K125" t="s">
        <v>441</v>
      </c>
      <c r="L125" s="204" cm="1">
        <f t="array" ref="L125">INDEX($D$61:$G$155,MATCH(I125&amp;K125,$C$61:$C$155&amp;$B$61:$B$155,0),MATCH(J125,$D$60:$G$60,0))</f>
        <v>0</v>
      </c>
    </row>
    <row r="126" spans="2:12" x14ac:dyDescent="0.35">
      <c r="B126" s="15" t="s">
        <v>443</v>
      </c>
      <c r="C126" t="s">
        <v>459</v>
      </c>
      <c r="D126">
        <v>0</v>
      </c>
      <c r="E126">
        <v>0</v>
      </c>
      <c r="F126">
        <v>0</v>
      </c>
      <c r="G126">
        <v>0</v>
      </c>
      <c r="I126" t="s">
        <v>457</v>
      </c>
      <c r="J126" t="s">
        <v>32</v>
      </c>
      <c r="K126" t="s">
        <v>442</v>
      </c>
      <c r="L126" s="204" cm="1">
        <f t="array" ref="L126">INDEX($D$61:$G$155,MATCH(I126&amp;K126,$C$61:$C$155&amp;$B$61:$B$155,0),MATCH(J126,$D$60:$G$60,0))</f>
        <v>0</v>
      </c>
    </row>
    <row r="127" spans="2:12" x14ac:dyDescent="0.35">
      <c r="B127" s="15" t="s">
        <v>444</v>
      </c>
      <c r="C127" t="s">
        <v>459</v>
      </c>
      <c r="D127" t="str">
        <f t="shared" ref="D127:G135" si="13">IF(INDEX(D$61:D$79,MATCH($B127,$B$61:$B$79,0))="LEAVE BLANK","LEAVE BLANK","")</f>
        <v>LEAVE BLANK</v>
      </c>
      <c r="E127" s="4">
        <f>I15</f>
        <v>49043091.716622137</v>
      </c>
      <c r="F127" t="str">
        <f t="shared" si="13"/>
        <v>LEAVE BLANK</v>
      </c>
      <c r="G127" s="4">
        <f>I24</f>
        <v>98760393.342031777</v>
      </c>
      <c r="I127" t="s">
        <v>457</v>
      </c>
      <c r="J127" t="s">
        <v>32</v>
      </c>
      <c r="K127" t="s">
        <v>443</v>
      </c>
      <c r="L127" s="204" cm="1">
        <f t="array" ref="L127">INDEX($D$61:$G$155,MATCH(I127&amp;K127,$C$61:$C$155&amp;$B$61:$B$155,0),MATCH(J127,$D$60:$G$60,0))</f>
        <v>0</v>
      </c>
    </row>
    <row r="128" spans="2:12" x14ac:dyDescent="0.35">
      <c r="B128" s="15" t="s">
        <v>445</v>
      </c>
      <c r="C128" t="s">
        <v>459</v>
      </c>
      <c r="D128" t="str">
        <f t="shared" si="13"/>
        <v>LEAVE BLANK</v>
      </c>
      <c r="E128">
        <v>0</v>
      </c>
      <c r="F128" t="str">
        <f t="shared" si="13"/>
        <v>LEAVE BLANK</v>
      </c>
      <c r="G128">
        <v>0</v>
      </c>
      <c r="I128" t="s">
        <v>457</v>
      </c>
      <c r="J128" t="s">
        <v>32</v>
      </c>
      <c r="K128" t="s">
        <v>448</v>
      </c>
      <c r="L128" s="204" cm="1">
        <f t="array" ref="L128">INDEX($D$61:$G$155,MATCH(I128&amp;K128,$C$61:$C$155&amp;$B$61:$B$155,0),MATCH(J128,$D$60:$G$60,0))</f>
        <v>0</v>
      </c>
    </row>
    <row r="129" spans="2:12" x14ac:dyDescent="0.35">
      <c r="B129" s="15" t="s">
        <v>446</v>
      </c>
      <c r="C129" t="s">
        <v>459</v>
      </c>
      <c r="D129" t="str">
        <f t="shared" si="13"/>
        <v>LEAVE BLANK</v>
      </c>
      <c r="E129" s="4">
        <f>K15</f>
        <v>0</v>
      </c>
      <c r="F129" t="str">
        <f t="shared" si="13"/>
        <v>LEAVE BLANK</v>
      </c>
      <c r="G129" s="4">
        <f>K24</f>
        <v>9928304.7074174285</v>
      </c>
      <c r="I129" t="s">
        <v>457</v>
      </c>
      <c r="J129" t="s">
        <v>32</v>
      </c>
      <c r="K129" t="s">
        <v>449</v>
      </c>
      <c r="L129" s="204" cm="1">
        <f t="array" ref="L129">INDEX($D$61:$G$155,MATCH(I129&amp;K129,$C$61:$C$155&amp;$B$61:$B$155,0),MATCH(J129,$D$60:$G$60,0))</f>
        <v>0</v>
      </c>
    </row>
    <row r="130" spans="2:12" x14ac:dyDescent="0.35">
      <c r="B130" s="15" t="s">
        <v>447</v>
      </c>
      <c r="C130" t="s">
        <v>459</v>
      </c>
      <c r="D130" t="str">
        <f t="shared" si="13"/>
        <v>LEAVE BLANK</v>
      </c>
      <c r="E130">
        <v>0</v>
      </c>
      <c r="F130" t="str">
        <f t="shared" si="13"/>
        <v>LEAVE BLANK</v>
      </c>
      <c r="G130">
        <v>0</v>
      </c>
      <c r="I130" t="s">
        <v>457</v>
      </c>
      <c r="J130" t="s">
        <v>32</v>
      </c>
      <c r="K130" t="s">
        <v>450</v>
      </c>
      <c r="L130" s="204" cm="1">
        <f t="array" ref="L130">INDEX($D$61:$G$155,MATCH(I130&amp;K130,$C$61:$C$155&amp;$B$61:$B$155,0),MATCH(J130,$D$60:$G$60,0))</f>
        <v>0</v>
      </c>
    </row>
    <row r="131" spans="2:12" x14ac:dyDescent="0.35">
      <c r="B131" s="15" t="s">
        <v>448</v>
      </c>
      <c r="C131" t="s">
        <v>459</v>
      </c>
      <c r="D131">
        <v>0</v>
      </c>
      <c r="E131" t="str">
        <f t="shared" si="13"/>
        <v>LEAVE BLANK</v>
      </c>
      <c r="F131">
        <v>0</v>
      </c>
      <c r="G131" t="str">
        <f t="shared" si="13"/>
        <v>LEAVE BLANK</v>
      </c>
      <c r="I131" t="s">
        <v>457</v>
      </c>
      <c r="J131" t="s">
        <v>32</v>
      </c>
      <c r="K131" t="s">
        <v>451</v>
      </c>
      <c r="L131" s="204" cm="1">
        <f t="array" ref="L131">INDEX($D$61:$G$155,MATCH(I131&amp;K131,$C$61:$C$155&amp;$B$61:$B$155,0),MATCH(J131,$D$60:$G$60,0))</f>
        <v>3.3141327392910924E-2</v>
      </c>
    </row>
    <row r="132" spans="2:12" x14ac:dyDescent="0.35">
      <c r="B132" s="15" t="s">
        <v>449</v>
      </c>
      <c r="C132" t="s">
        <v>459</v>
      </c>
      <c r="D132">
        <v>0</v>
      </c>
      <c r="E132" t="str">
        <f t="shared" si="13"/>
        <v>LEAVE BLANK</v>
      </c>
      <c r="F132">
        <v>0</v>
      </c>
      <c r="G132" t="str">
        <f t="shared" si="13"/>
        <v>LEAVE BLANK</v>
      </c>
      <c r="I132" t="s">
        <v>457</v>
      </c>
      <c r="J132" t="s">
        <v>32</v>
      </c>
      <c r="K132" t="s">
        <v>452</v>
      </c>
      <c r="L132" s="204" cm="1">
        <f t="array" ref="L132">INDEX($D$61:$G$155,MATCH(I132&amp;K132,$C$61:$C$155&amp;$B$61:$B$155,0),MATCH(J132,$D$60:$G$60,0))</f>
        <v>3.3141327392910924E-2</v>
      </c>
    </row>
    <row r="133" spans="2:12" x14ac:dyDescent="0.35">
      <c r="B133" s="15" t="s">
        <v>450</v>
      </c>
      <c r="C133" t="s">
        <v>459</v>
      </c>
      <c r="D133">
        <v>0</v>
      </c>
      <c r="E133" t="str">
        <f t="shared" si="13"/>
        <v>LEAVE BLANK</v>
      </c>
      <c r="F133">
        <v>0</v>
      </c>
      <c r="G133" t="str">
        <f t="shared" si="13"/>
        <v>LEAVE BLANK</v>
      </c>
      <c r="I133" t="s">
        <v>457</v>
      </c>
      <c r="J133" t="s">
        <v>32</v>
      </c>
      <c r="K133" t="s">
        <v>453</v>
      </c>
      <c r="L133" s="204" cm="1">
        <f t="array" ref="L133">INDEX($D$61:$G$155,MATCH(I133&amp;K133,$C$61:$C$155&amp;$B$61:$B$155,0),MATCH(J133,$D$60:$G$60,0))</f>
        <v>0</v>
      </c>
    </row>
    <row r="134" spans="2:12" x14ac:dyDescent="0.35">
      <c r="B134" s="15" t="s">
        <v>451</v>
      </c>
      <c r="C134" t="s">
        <v>459</v>
      </c>
      <c r="D134">
        <f ca="1">D51/D119</f>
        <v>3.7416738788838957E-2</v>
      </c>
      <c r="E134" t="str">
        <f t="shared" si="13"/>
        <v>LEAVE BLANK</v>
      </c>
      <c r="F134">
        <f ca="1">D51/F119</f>
        <v>4.8885549335326649E-2</v>
      </c>
      <c r="G134" t="str">
        <f t="shared" si="13"/>
        <v>LEAVE BLANK</v>
      </c>
      <c r="I134" t="s">
        <v>457</v>
      </c>
      <c r="J134" t="s">
        <v>29</v>
      </c>
      <c r="K134" t="s">
        <v>435</v>
      </c>
      <c r="L134" s="204" cm="1">
        <f t="array" ref="L134">INDEX($D$61:$G$155,MATCH(I134&amp;K134,$C$61:$C$155&amp;$B$61:$B$155,0),MATCH(J134,$D$60:$G$60,0))</f>
        <v>93137025.012543261</v>
      </c>
    </row>
    <row r="135" spans="2:12" x14ac:dyDescent="0.35">
      <c r="B135" s="15" t="s">
        <v>452</v>
      </c>
      <c r="C135" t="s">
        <v>459</v>
      </c>
      <c r="D135">
        <f ca="1">D51/D120</f>
        <v>3.7416738788838957E-2</v>
      </c>
      <c r="E135" t="str">
        <f t="shared" si="13"/>
        <v>LEAVE BLANK</v>
      </c>
      <c r="F135">
        <f ca="1">D51/F120</f>
        <v>4.8885549335326649E-2</v>
      </c>
      <c r="G135" t="str">
        <f t="shared" si="13"/>
        <v>LEAVE BLANK</v>
      </c>
      <c r="I135" t="s">
        <v>457</v>
      </c>
      <c r="J135" t="s">
        <v>29</v>
      </c>
      <c r="K135" t="s">
        <v>436</v>
      </c>
      <c r="L135" s="204" cm="1">
        <f t="array" ref="L135">INDEX($D$61:$G$155,MATCH(I135&amp;K135,$C$61:$C$155&amp;$B$61:$B$155,0),MATCH(J135,$D$60:$G$60,0))</f>
        <v>38134809.70101729</v>
      </c>
    </row>
    <row r="136" spans="2:12" x14ac:dyDescent="0.35">
      <c r="B136" s="15" t="s">
        <v>453</v>
      </c>
      <c r="C136" t="s">
        <v>459</v>
      </c>
      <c r="D136">
        <v>0</v>
      </c>
      <c r="E136">
        <v>0</v>
      </c>
      <c r="F136">
        <v>0</v>
      </c>
      <c r="G136">
        <v>0</v>
      </c>
      <c r="I136" t="s">
        <v>457</v>
      </c>
      <c r="J136" t="s">
        <v>29</v>
      </c>
      <c r="K136" t="s">
        <v>437</v>
      </c>
      <c r="L136" s="204" cm="1">
        <f t="array" ref="L136">INDEX($D$61:$G$155,MATCH(I136&amp;K136,$C$61:$C$155&amp;$B$61:$B$155,0),MATCH(J136,$D$60:$G$60,0))</f>
        <v>38134809.70101729</v>
      </c>
    </row>
    <row r="137" spans="2:12" x14ac:dyDescent="0.35">
      <c r="B137" s="415" t="s">
        <v>435</v>
      </c>
      <c r="C137" t="s">
        <v>460</v>
      </c>
      <c r="D137" s="419">
        <f>D8+D53+D44</f>
        <v>121033456.09688954</v>
      </c>
      <c r="E137" s="4">
        <f>D17</f>
        <v>75341155.490671456</v>
      </c>
      <c r="F137" s="419">
        <f>D53+Q35+D44+D35</f>
        <v>66110995.728377253</v>
      </c>
      <c r="G137" s="4">
        <f>D26</f>
        <v>29430522.594092067</v>
      </c>
      <c r="I137" t="s">
        <v>457</v>
      </c>
      <c r="J137" t="s">
        <v>29</v>
      </c>
      <c r="K137" t="s">
        <v>438</v>
      </c>
      <c r="L137" s="204" cm="1">
        <f t="array" ref="L137">INDEX($D$61:$G$155,MATCH(I137&amp;K137,$C$61:$C$155&amp;$B$61:$B$155,0),MATCH(J137,$D$60:$G$60,0))</f>
        <v>18627405.002508685</v>
      </c>
    </row>
    <row r="138" spans="2:12" x14ac:dyDescent="0.35">
      <c r="B138" s="415" t="s">
        <v>436</v>
      </c>
      <c r="C138" t="s">
        <v>460</v>
      </c>
      <c r="D138" s="419">
        <f>G8+D53+D44</f>
        <v>99279126.559936896</v>
      </c>
      <c r="E138" s="4">
        <f>L17</f>
        <v>30436462.040268585</v>
      </c>
      <c r="F138" s="419">
        <f>D53+Q35+D44+J35</f>
        <v>65311001.808377251</v>
      </c>
      <c r="G138" s="4">
        <f>L26</f>
        <v>3531662.7112910482</v>
      </c>
      <c r="I138" t="s">
        <v>457</v>
      </c>
      <c r="J138" t="s">
        <v>29</v>
      </c>
      <c r="K138" t="s">
        <v>439</v>
      </c>
      <c r="L138" s="204" cm="1">
        <f t="array" ref="L138">INDEX($D$61:$G$155,MATCH(I138&amp;K138,$C$61:$C$155&amp;$B$61:$B$155,0),MATCH(J138,$D$60:$G$60,0))</f>
        <v>0</v>
      </c>
    </row>
    <row r="139" spans="2:12" x14ac:dyDescent="0.35">
      <c r="B139" s="415" t="s">
        <v>437</v>
      </c>
      <c r="C139" t="s">
        <v>460</v>
      </c>
      <c r="D139" s="419">
        <f>D138</f>
        <v>99279126.559936896</v>
      </c>
      <c r="E139" s="4">
        <f>E138</f>
        <v>30436462.040268585</v>
      </c>
      <c r="F139" s="419">
        <f>F138</f>
        <v>65311001.808377251</v>
      </c>
      <c r="G139" s="4">
        <f>G138</f>
        <v>3531662.7112910482</v>
      </c>
      <c r="I139" t="s">
        <v>457</v>
      </c>
      <c r="J139" t="s">
        <v>29</v>
      </c>
      <c r="K139" t="s">
        <v>440</v>
      </c>
      <c r="L139" s="204" cm="1">
        <f t="array" ref="L139">INDEX($D$61:$G$155,MATCH(I139&amp;K139,$C$61:$C$155&amp;$B$61:$B$155,0),MATCH(J139,$D$60:$G$60,0))</f>
        <v>0</v>
      </c>
    </row>
    <row r="140" spans="2:12" x14ac:dyDescent="0.35">
      <c r="B140" s="15" t="s">
        <v>438</v>
      </c>
      <c r="C140" t="s">
        <v>460</v>
      </c>
      <c r="D140" s="4">
        <f>D8-E8</f>
        <v>21754329.536952645</v>
      </c>
      <c r="E140" s="4">
        <f>D17-E17</f>
        <v>15068231.098134279</v>
      </c>
      <c r="F140" s="449">
        <f>D35-E35</f>
        <v>799993.92000000086</v>
      </c>
      <c r="G140" s="4">
        <f>D26-E26</f>
        <v>5886104.518818412</v>
      </c>
      <c r="I140" t="s">
        <v>457</v>
      </c>
      <c r="J140" t="s">
        <v>29</v>
      </c>
      <c r="K140" t="s">
        <v>441</v>
      </c>
      <c r="L140" s="204" cm="1">
        <f t="array" ref="L140">INDEX($D$61:$G$155,MATCH(I140&amp;K140,$C$61:$C$155&amp;$B$61:$B$155,0),MATCH(J140,$D$60:$G$60,0))</f>
        <v>0</v>
      </c>
    </row>
    <row r="141" spans="2:12" x14ac:dyDescent="0.35">
      <c r="B141" s="15" t="s">
        <v>439</v>
      </c>
      <c r="C141" t="s">
        <v>460</v>
      </c>
      <c r="D141">
        <v>0</v>
      </c>
      <c r="E141">
        <v>0</v>
      </c>
      <c r="F141">
        <v>0</v>
      </c>
      <c r="G141">
        <v>0</v>
      </c>
      <c r="I141" t="s">
        <v>457</v>
      </c>
      <c r="J141" t="s">
        <v>29</v>
      </c>
      <c r="K141" t="s">
        <v>442</v>
      </c>
      <c r="L141" s="204" cm="1">
        <f t="array" ref="L141">INDEX($D$61:$G$155,MATCH(I141&amp;K141,$C$61:$C$155&amp;$B$61:$B$155,0),MATCH(J141,$D$60:$G$60,0))</f>
        <v>0</v>
      </c>
    </row>
    <row r="142" spans="2:12" x14ac:dyDescent="0.35">
      <c r="B142" s="15" t="s">
        <v>440</v>
      </c>
      <c r="C142" t="s">
        <v>460</v>
      </c>
      <c r="D142">
        <v>0</v>
      </c>
      <c r="E142">
        <v>0</v>
      </c>
      <c r="F142">
        <v>0</v>
      </c>
      <c r="G142">
        <v>0</v>
      </c>
      <c r="I142" t="s">
        <v>457</v>
      </c>
      <c r="J142" t="s">
        <v>29</v>
      </c>
      <c r="K142" t="s">
        <v>443</v>
      </c>
      <c r="L142" s="204" cm="1">
        <f t="array" ref="L142">INDEX($D$61:$G$155,MATCH(I142&amp;K142,$C$61:$C$155&amp;$B$61:$B$155,0),MATCH(J142,$D$60:$G$60,0))</f>
        <v>0</v>
      </c>
    </row>
    <row r="143" spans="2:12" x14ac:dyDescent="0.35">
      <c r="B143" s="15" t="s">
        <v>441</v>
      </c>
      <c r="C143" t="s">
        <v>460</v>
      </c>
      <c r="D143">
        <v>0</v>
      </c>
      <c r="E143">
        <v>0</v>
      </c>
      <c r="F143">
        <v>0</v>
      </c>
      <c r="G143">
        <v>0</v>
      </c>
      <c r="I143" t="s">
        <v>457</v>
      </c>
      <c r="J143" t="s">
        <v>29</v>
      </c>
      <c r="K143" t="s">
        <v>444</v>
      </c>
      <c r="L143" s="204" cm="1">
        <f t="array" ref="L143">INDEX($D$61:$G$155,MATCH(I143&amp;K143,$C$61:$C$155&amp;$B$61:$B$155,0),MATCH(J143,$D$60:$G$60,0))</f>
        <v>36374810.309017293</v>
      </c>
    </row>
    <row r="144" spans="2:12" x14ac:dyDescent="0.35">
      <c r="B144" s="15" t="s">
        <v>442</v>
      </c>
      <c r="C144" t="s">
        <v>460</v>
      </c>
      <c r="D144">
        <v>0</v>
      </c>
      <c r="E144">
        <v>0</v>
      </c>
      <c r="F144">
        <v>0</v>
      </c>
      <c r="G144">
        <v>0</v>
      </c>
      <c r="I144" t="s">
        <v>457</v>
      </c>
      <c r="J144" t="s">
        <v>29</v>
      </c>
      <c r="K144" t="s">
        <v>445</v>
      </c>
      <c r="L144" s="204" cm="1">
        <f t="array" ref="L144">INDEX($D$61:$G$155,MATCH(I144&amp;K144,$C$61:$C$155&amp;$B$61:$B$155,0),MATCH(J144,$D$60:$G$60,0))</f>
        <v>0</v>
      </c>
    </row>
    <row r="145" spans="2:12" x14ac:dyDescent="0.35">
      <c r="B145" s="15" t="s">
        <v>443</v>
      </c>
      <c r="C145" t="s">
        <v>460</v>
      </c>
      <c r="D145">
        <v>0</v>
      </c>
      <c r="E145">
        <v>0</v>
      </c>
      <c r="F145">
        <v>0</v>
      </c>
      <c r="G145">
        <v>0</v>
      </c>
      <c r="I145" t="s">
        <v>457</v>
      </c>
      <c r="J145" t="s">
        <v>29</v>
      </c>
      <c r="K145" t="s">
        <v>446</v>
      </c>
      <c r="L145" s="204" cm="1">
        <f t="array" ref="L145">INDEX($D$61:$G$155,MATCH(I145&amp;K145,$C$61:$C$155&amp;$B$61:$B$155,0),MATCH(J145,$D$60:$G$60,0))</f>
        <v>0</v>
      </c>
    </row>
    <row r="146" spans="2:12" x14ac:dyDescent="0.35">
      <c r="B146" s="15" t="s">
        <v>444</v>
      </c>
      <c r="C146" t="s">
        <v>460</v>
      </c>
      <c r="D146" t="str">
        <f t="shared" ref="D146:G154" si="14">IF(INDEX(D$61:D$79,MATCH($B146,$B$61:$B$79,0))="LEAVE BLANK","LEAVE BLANK","")</f>
        <v>LEAVE BLANK</v>
      </c>
      <c r="E146" s="4">
        <f>I17</f>
        <v>29836462.352268584</v>
      </c>
      <c r="F146" t="str">
        <f t="shared" si="14"/>
        <v>LEAVE BLANK</v>
      </c>
      <c r="G146" s="4">
        <f>I26</f>
        <v>20012755.36398261</v>
      </c>
      <c r="I146" t="s">
        <v>457</v>
      </c>
      <c r="J146" t="s">
        <v>29</v>
      </c>
      <c r="K146" t="s">
        <v>447</v>
      </c>
      <c r="L146" s="204" t="str" cm="1">
        <f t="array" ref="L146">INDEX($D$61:$G$155,MATCH(I146&amp;K146,$C$61:$C$155&amp;$B$61:$B$155,0),MATCH(J146,$D$60:$G$60,0))</f>
        <v/>
      </c>
    </row>
    <row r="147" spans="2:12" x14ac:dyDescent="0.35">
      <c r="B147" s="15" t="s">
        <v>445</v>
      </c>
      <c r="C147" t="s">
        <v>460</v>
      </c>
      <c r="D147" t="str">
        <f t="shared" si="14"/>
        <v>LEAVE BLANK</v>
      </c>
      <c r="E147">
        <v>0</v>
      </c>
      <c r="F147" t="str">
        <f t="shared" si="14"/>
        <v>LEAVE BLANK</v>
      </c>
      <c r="G147">
        <v>0</v>
      </c>
      <c r="I147" t="s">
        <v>457</v>
      </c>
      <c r="J147" t="s">
        <v>29</v>
      </c>
      <c r="K147" t="s">
        <v>453</v>
      </c>
      <c r="L147" s="204" cm="1">
        <f t="array" ref="L147">INDEX($D$61:$G$155,MATCH(I147&amp;K147,$C$61:$C$155&amp;$B$61:$B$155,0),MATCH(J147,$D$60:$G$60,0))</f>
        <v>0</v>
      </c>
    </row>
    <row r="148" spans="2:12" x14ac:dyDescent="0.35">
      <c r="B148" s="15" t="s">
        <v>446</v>
      </c>
      <c r="C148" t="s">
        <v>460</v>
      </c>
      <c r="D148" t="str">
        <f t="shared" si="14"/>
        <v>LEAVE BLANK</v>
      </c>
      <c r="E148" s="4">
        <f>K17</f>
        <v>0</v>
      </c>
      <c r="F148" t="str">
        <f t="shared" si="14"/>
        <v>LEAVE BLANK</v>
      </c>
      <c r="G148" s="4">
        <f>K26</f>
        <v>0</v>
      </c>
      <c r="I148" t="s">
        <v>457</v>
      </c>
      <c r="J148" t="s">
        <v>33</v>
      </c>
      <c r="K148" t="s">
        <v>435</v>
      </c>
      <c r="L148" s="204" cm="1">
        <f t="array" ref="L148">INDEX($D$61:$G$155,MATCH(I148&amp;K148,$C$61:$C$155&amp;$B$61:$B$155,0),MATCH(J148,$D$60:$G$60,0))</f>
        <v>77408120.971683815</v>
      </c>
    </row>
    <row r="149" spans="2:12" x14ac:dyDescent="0.35">
      <c r="B149" s="15" t="s">
        <v>447</v>
      </c>
      <c r="C149" t="s">
        <v>460</v>
      </c>
      <c r="D149" t="str">
        <f t="shared" si="14"/>
        <v>LEAVE BLANK</v>
      </c>
      <c r="E149">
        <v>0</v>
      </c>
      <c r="F149" t="str">
        <f t="shared" si="14"/>
        <v>LEAVE BLANK</v>
      </c>
      <c r="G149">
        <v>0</v>
      </c>
      <c r="I149" t="s">
        <v>457</v>
      </c>
      <c r="J149" t="s">
        <v>33</v>
      </c>
      <c r="K149" t="s">
        <v>436</v>
      </c>
      <c r="L149" s="204" cm="1">
        <f t="array" ref="L149">INDEX($D$61:$G$155,MATCH(I149&amp;K149,$C$61:$C$155&amp;$B$61:$B$155,0),MATCH(J149,$D$60:$G$60,0))</f>
        <v>77408120.971683815</v>
      </c>
    </row>
    <row r="150" spans="2:12" x14ac:dyDescent="0.35">
      <c r="B150" s="15" t="s">
        <v>448</v>
      </c>
      <c r="C150" t="s">
        <v>460</v>
      </c>
      <c r="D150">
        <v>0</v>
      </c>
      <c r="E150" t="str">
        <f t="shared" si="14"/>
        <v>LEAVE BLANK</v>
      </c>
      <c r="F150">
        <v>0</v>
      </c>
      <c r="G150" t="str">
        <f t="shared" si="14"/>
        <v>LEAVE BLANK</v>
      </c>
      <c r="I150" t="s">
        <v>457</v>
      </c>
      <c r="J150" t="s">
        <v>33</v>
      </c>
      <c r="K150" t="s">
        <v>437</v>
      </c>
      <c r="L150" s="204" cm="1">
        <f t="array" ref="L150">INDEX($D$61:$G$155,MATCH(I150&amp;K150,$C$61:$C$155&amp;$B$61:$B$155,0),MATCH(J150,$D$60:$G$60,0))</f>
        <v>77408120.971683815</v>
      </c>
    </row>
    <row r="151" spans="2:12" x14ac:dyDescent="0.35">
      <c r="B151" s="15" t="s">
        <v>449</v>
      </c>
      <c r="C151" t="s">
        <v>460</v>
      </c>
      <c r="D151">
        <v>0</v>
      </c>
      <c r="E151" t="str">
        <f t="shared" si="14"/>
        <v>LEAVE BLANK</v>
      </c>
      <c r="F151">
        <v>0</v>
      </c>
      <c r="G151" t="str">
        <f t="shared" si="14"/>
        <v>LEAVE BLANK</v>
      </c>
      <c r="I151" t="s">
        <v>457</v>
      </c>
      <c r="J151" t="s">
        <v>33</v>
      </c>
      <c r="K151" t="s">
        <v>438</v>
      </c>
      <c r="L151" s="204" cm="1">
        <f t="array" ref="L151">INDEX($D$61:$G$155,MATCH(I151&amp;K151,$C$61:$C$155&amp;$B$61:$B$155,0),MATCH(J151,$D$60:$G$60,0))</f>
        <v>0</v>
      </c>
    </row>
    <row r="152" spans="2:12" x14ac:dyDescent="0.35">
      <c r="B152" s="15" t="s">
        <v>450</v>
      </c>
      <c r="C152" t="s">
        <v>460</v>
      </c>
      <c r="D152">
        <v>0</v>
      </c>
      <c r="E152" t="str">
        <f t="shared" si="14"/>
        <v>LEAVE BLANK</v>
      </c>
      <c r="F152">
        <v>0</v>
      </c>
      <c r="G152" t="str">
        <f t="shared" si="14"/>
        <v>LEAVE BLANK</v>
      </c>
      <c r="I152" t="s">
        <v>457</v>
      </c>
      <c r="J152" t="s">
        <v>33</v>
      </c>
      <c r="K152" t="s">
        <v>439</v>
      </c>
      <c r="L152" s="204" cm="1">
        <f t="array" ref="L152">INDEX($D$61:$G$155,MATCH(I152&amp;K152,$C$61:$C$155&amp;$B$61:$B$155,0),MATCH(J152,$D$60:$G$60,0))</f>
        <v>0</v>
      </c>
    </row>
    <row r="153" spans="2:12" x14ac:dyDescent="0.35">
      <c r="B153" s="15" t="s">
        <v>451</v>
      </c>
      <c r="C153" t="s">
        <v>460</v>
      </c>
      <c r="D153">
        <f>D53/D138</f>
        <v>3.4875092530519965E-2</v>
      </c>
      <c r="E153" t="str">
        <f t="shared" si="14"/>
        <v>LEAVE BLANK</v>
      </c>
      <c r="F153">
        <f>D53/F138</f>
        <v>5.3013560185244217E-2</v>
      </c>
      <c r="G153" t="str">
        <f t="shared" si="14"/>
        <v>LEAVE BLANK</v>
      </c>
      <c r="I153" t="s">
        <v>457</v>
      </c>
      <c r="J153" t="s">
        <v>33</v>
      </c>
      <c r="K153" t="s">
        <v>440</v>
      </c>
      <c r="L153" s="204" cm="1">
        <f t="array" ref="L153">INDEX($D$61:$G$155,MATCH(I153&amp;K153,$C$61:$C$155&amp;$B$61:$B$155,0),MATCH(J153,$D$60:$G$60,0))</f>
        <v>0</v>
      </c>
    </row>
    <row r="154" spans="2:12" x14ac:dyDescent="0.35">
      <c r="B154" s="15" t="s">
        <v>452</v>
      </c>
      <c r="C154" t="s">
        <v>460</v>
      </c>
      <c r="D154">
        <f>D53/D139</f>
        <v>3.4875092530519965E-2</v>
      </c>
      <c r="E154" t="str">
        <f t="shared" si="14"/>
        <v>LEAVE BLANK</v>
      </c>
      <c r="F154">
        <f>D53/F139</f>
        <v>5.3013560185244217E-2</v>
      </c>
      <c r="G154" t="str">
        <f t="shared" si="14"/>
        <v>LEAVE BLANK</v>
      </c>
      <c r="I154" t="s">
        <v>457</v>
      </c>
      <c r="J154" t="s">
        <v>33</v>
      </c>
      <c r="K154" t="s">
        <v>441</v>
      </c>
      <c r="L154" s="204" cm="1">
        <f t="array" ref="L154">INDEX($D$61:$G$155,MATCH(I154&amp;K154,$C$61:$C$155&amp;$B$61:$B$155,0),MATCH(J154,$D$60:$G$60,0))</f>
        <v>0</v>
      </c>
    </row>
    <row r="155" spans="2:12" x14ac:dyDescent="0.35">
      <c r="B155" s="15" t="s">
        <v>453</v>
      </c>
      <c r="C155" t="s">
        <v>460</v>
      </c>
      <c r="D155">
        <v>0</v>
      </c>
      <c r="E155">
        <v>0</v>
      </c>
      <c r="F155">
        <v>0</v>
      </c>
      <c r="G155">
        <v>0</v>
      </c>
      <c r="I155" t="s">
        <v>457</v>
      </c>
      <c r="J155" t="s">
        <v>33</v>
      </c>
      <c r="K155" t="s">
        <v>442</v>
      </c>
      <c r="L155" s="204" cm="1">
        <f t="array" ref="L155">INDEX($D$61:$G$155,MATCH(I155&amp;K155,$C$61:$C$155&amp;$B$61:$B$155,0),MATCH(J155,$D$60:$G$60,0))</f>
        <v>0</v>
      </c>
    </row>
    <row r="156" spans="2:12" x14ac:dyDescent="0.35">
      <c r="I156" t="s">
        <v>457</v>
      </c>
      <c r="J156" t="s">
        <v>33</v>
      </c>
      <c r="K156" t="s">
        <v>443</v>
      </c>
      <c r="L156" s="204" cm="1">
        <f t="array" ref="L156">INDEX($D$61:$G$155,MATCH(I156&amp;K156,$C$61:$C$155&amp;$B$61:$B$155,0),MATCH(J156,$D$60:$G$60,0))</f>
        <v>0</v>
      </c>
    </row>
    <row r="157" spans="2:12" x14ac:dyDescent="0.35">
      <c r="I157" t="s">
        <v>457</v>
      </c>
      <c r="J157" t="s">
        <v>33</v>
      </c>
      <c r="K157" t="s">
        <v>448</v>
      </c>
      <c r="L157" s="204" cm="1">
        <f t="array" ref="L157">INDEX($D$61:$G$155,MATCH(I157&amp;K157,$C$61:$C$155&amp;$B$61:$B$155,0),MATCH(J157,$D$60:$G$60,0))</f>
        <v>0</v>
      </c>
    </row>
    <row r="158" spans="2:12" x14ac:dyDescent="0.35">
      <c r="I158" t="s">
        <v>457</v>
      </c>
      <c r="J158" t="s">
        <v>33</v>
      </c>
      <c r="K158" t="s">
        <v>449</v>
      </c>
      <c r="L158" s="204" cm="1">
        <f t="array" ref="L158">INDEX($D$61:$G$155,MATCH(I158&amp;K158,$C$61:$C$155&amp;$B$61:$B$155,0),MATCH(J158,$D$60:$G$60,0))</f>
        <v>0</v>
      </c>
    </row>
    <row r="159" spans="2:12" x14ac:dyDescent="0.35">
      <c r="I159" t="s">
        <v>457</v>
      </c>
      <c r="J159" t="s">
        <v>33</v>
      </c>
      <c r="K159" t="s">
        <v>450</v>
      </c>
      <c r="L159" s="204" cm="1">
        <f t="array" ref="L159">INDEX($D$61:$G$155,MATCH(I159&amp;K159,$C$61:$C$155&amp;$B$61:$B$155,0),MATCH(J159,$D$60:$G$60,0))</f>
        <v>0</v>
      </c>
    </row>
    <row r="160" spans="2:12" x14ac:dyDescent="0.35">
      <c r="I160" t="s">
        <v>457</v>
      </c>
      <c r="J160" t="s">
        <v>33</v>
      </c>
      <c r="K160" t="s">
        <v>451</v>
      </c>
      <c r="L160" s="204" cm="1">
        <f t="array" ref="L160">INDEX($D$61:$G$155,MATCH(I160&amp;K160,$C$61:$C$155&amp;$B$61:$B$155,0),MATCH(J160,$D$60:$G$60,0))</f>
        <v>5.1534242489300358E-2</v>
      </c>
    </row>
    <row r="161" spans="9:12" x14ac:dyDescent="0.35">
      <c r="I161" t="s">
        <v>457</v>
      </c>
      <c r="J161" t="s">
        <v>33</v>
      </c>
      <c r="K161" t="s">
        <v>452</v>
      </c>
      <c r="L161" s="204" cm="1">
        <f t="array" ref="L161">INDEX($D$61:$G$155,MATCH(I161&amp;K161,$C$61:$C$155&amp;$B$61:$B$155,0),MATCH(J161,$D$60:$G$60,0))</f>
        <v>5.1534242489300358E-2</v>
      </c>
    </row>
    <row r="162" spans="9:12" x14ac:dyDescent="0.35">
      <c r="I162" t="s">
        <v>457</v>
      </c>
      <c r="J162" t="s">
        <v>33</v>
      </c>
      <c r="K162" t="s">
        <v>453</v>
      </c>
      <c r="L162" s="204" cm="1">
        <f t="array" ref="L162">INDEX($D$61:$G$155,MATCH(I162&amp;K162,$C$61:$C$155&amp;$B$61:$B$155,0),MATCH(J162,$D$60:$G$60,0))</f>
        <v>0</v>
      </c>
    </row>
    <row r="163" spans="9:12" x14ac:dyDescent="0.35">
      <c r="I163" t="s">
        <v>457</v>
      </c>
      <c r="J163" t="s">
        <v>31</v>
      </c>
      <c r="K163" t="s">
        <v>435</v>
      </c>
      <c r="L163" s="204" cm="1">
        <f t="array" ref="L163">INDEX($D$61:$G$155,MATCH(I163&amp;K163,$C$61:$C$155&amp;$B$61:$B$155,0),MATCH(J163,$D$60:$G$60,0))</f>
        <v>40212326.023101956</v>
      </c>
    </row>
    <row r="164" spans="9:12" x14ac:dyDescent="0.35">
      <c r="I164" t="s">
        <v>457</v>
      </c>
      <c r="J164" t="s">
        <v>31</v>
      </c>
      <c r="K164" t="s">
        <v>436</v>
      </c>
      <c r="L164" s="204" cm="1">
        <f t="array" ref="L164">INDEX($D$61:$G$155,MATCH(I164&amp;K164,$C$61:$C$155&amp;$B$61:$B$155,0),MATCH(J164,$D$60:$G$60,0))</f>
        <v>4825479.1227722345</v>
      </c>
    </row>
    <row r="165" spans="9:12" x14ac:dyDescent="0.35">
      <c r="I165" t="s">
        <v>457</v>
      </c>
      <c r="J165" t="s">
        <v>31</v>
      </c>
      <c r="K165" t="s">
        <v>437</v>
      </c>
      <c r="L165" s="204" cm="1">
        <f t="array" ref="L165">INDEX($D$61:$G$155,MATCH(I165&amp;K165,$C$61:$C$155&amp;$B$61:$B$155,0),MATCH(J165,$D$60:$G$60,0))</f>
        <v>4825479.1227722345</v>
      </c>
    </row>
    <row r="166" spans="9:12" x14ac:dyDescent="0.35">
      <c r="I166" t="s">
        <v>457</v>
      </c>
      <c r="J166" t="s">
        <v>31</v>
      </c>
      <c r="K166" t="s">
        <v>438</v>
      </c>
      <c r="L166" s="204" cm="1">
        <f t="array" ref="L166">INDEX($D$61:$G$155,MATCH(I166&amp;K166,$C$61:$C$155&amp;$B$61:$B$155,0),MATCH(J166,$D$60:$G$60,0))</f>
        <v>8042465.2046203949</v>
      </c>
    </row>
    <row r="167" spans="9:12" x14ac:dyDescent="0.35">
      <c r="I167" t="s">
        <v>457</v>
      </c>
      <c r="J167" t="s">
        <v>31</v>
      </c>
      <c r="K167" t="s">
        <v>439</v>
      </c>
      <c r="L167" s="204" cm="1">
        <f t="array" ref="L167">INDEX($D$61:$G$155,MATCH(I167&amp;K167,$C$61:$C$155&amp;$B$61:$B$155,0),MATCH(J167,$D$60:$G$60,0))</f>
        <v>0</v>
      </c>
    </row>
    <row r="168" spans="9:12" x14ac:dyDescent="0.35">
      <c r="I168" t="s">
        <v>457</v>
      </c>
      <c r="J168" t="s">
        <v>31</v>
      </c>
      <c r="K168" t="s">
        <v>440</v>
      </c>
      <c r="L168" s="204" cm="1">
        <f t="array" ref="L168">INDEX($D$61:$G$155,MATCH(I168&amp;K168,$C$61:$C$155&amp;$B$61:$B$155,0),MATCH(J168,$D$60:$G$60,0))</f>
        <v>0</v>
      </c>
    </row>
    <row r="169" spans="9:12" x14ac:dyDescent="0.35">
      <c r="I169" t="s">
        <v>457</v>
      </c>
      <c r="J169" t="s">
        <v>31</v>
      </c>
      <c r="K169" t="s">
        <v>441</v>
      </c>
      <c r="L169" s="204" cm="1">
        <f t="array" ref="L169">INDEX($D$61:$G$155,MATCH(I169&amp;K169,$C$61:$C$155&amp;$B$61:$B$155,0),MATCH(J169,$D$60:$G$60,0))</f>
        <v>0</v>
      </c>
    </row>
    <row r="170" spans="9:12" x14ac:dyDescent="0.35">
      <c r="I170" t="s">
        <v>457</v>
      </c>
      <c r="J170" t="s">
        <v>31</v>
      </c>
      <c r="K170" t="s">
        <v>442</v>
      </c>
      <c r="L170" s="204" cm="1">
        <f t="array" ref="L170">INDEX($D$61:$G$155,MATCH(I170&amp;K170,$C$61:$C$155&amp;$B$61:$B$155,0),MATCH(J170,$D$60:$G$60,0))</f>
        <v>0</v>
      </c>
    </row>
    <row r="171" spans="9:12" x14ac:dyDescent="0.35">
      <c r="I171" t="s">
        <v>457</v>
      </c>
      <c r="J171" t="s">
        <v>31</v>
      </c>
      <c r="K171" t="s">
        <v>443</v>
      </c>
      <c r="L171" s="204" cm="1">
        <f t="array" ref="L171">INDEX($D$61:$G$155,MATCH(I171&amp;K171,$C$61:$C$155&amp;$B$61:$B$155,0),MATCH(J171,$D$60:$G$60,0))</f>
        <v>0</v>
      </c>
    </row>
    <row r="172" spans="9:12" x14ac:dyDescent="0.35">
      <c r="I172" t="s">
        <v>457</v>
      </c>
      <c r="J172" t="s">
        <v>31</v>
      </c>
      <c r="K172" t="s">
        <v>444</v>
      </c>
      <c r="L172" s="204" cm="1">
        <f t="array" ref="L172">INDEX($D$61:$G$155,MATCH(I172&amp;K172,$C$61:$C$155&amp;$B$61:$B$155,0),MATCH(J172,$D$60:$G$60,0))</f>
        <v>27344381.695709325</v>
      </c>
    </row>
    <row r="173" spans="9:12" x14ac:dyDescent="0.35">
      <c r="I173" t="s">
        <v>457</v>
      </c>
      <c r="J173" t="s">
        <v>31</v>
      </c>
      <c r="K173" t="s">
        <v>445</v>
      </c>
      <c r="L173" s="204" cm="1">
        <f t="array" ref="L173">INDEX($D$61:$G$155,MATCH(I173&amp;K173,$C$61:$C$155&amp;$B$61:$B$155,0),MATCH(J173,$D$60:$G$60,0))</f>
        <v>0</v>
      </c>
    </row>
    <row r="174" spans="9:12" x14ac:dyDescent="0.35">
      <c r="I174" t="s">
        <v>457</v>
      </c>
      <c r="J174" t="s">
        <v>31</v>
      </c>
      <c r="K174" t="s">
        <v>446</v>
      </c>
      <c r="L174" s="204" cm="1">
        <f t="array" ref="L174">INDEX($D$61:$G$155,MATCH(I174&amp;K174,$C$61:$C$155&amp;$B$61:$B$155,0),MATCH(J174,$D$60:$G$60,0))</f>
        <v>0</v>
      </c>
    </row>
    <row r="175" spans="9:12" x14ac:dyDescent="0.35">
      <c r="I175" t="s">
        <v>457</v>
      </c>
      <c r="J175" t="s">
        <v>31</v>
      </c>
      <c r="K175" t="s">
        <v>447</v>
      </c>
      <c r="L175" s="204" cm="1">
        <f t="array" ref="L175">INDEX($D$61:$G$155,MATCH(I175&amp;K175,$C$61:$C$155&amp;$B$61:$B$155,0),MATCH(J175,$D$60:$G$60,0))</f>
        <v>0</v>
      </c>
    </row>
    <row r="176" spans="9:12" x14ac:dyDescent="0.35">
      <c r="I176" t="s">
        <v>457</v>
      </c>
      <c r="J176" t="s">
        <v>31</v>
      </c>
      <c r="K176" t="s">
        <v>453</v>
      </c>
      <c r="L176" s="204" cm="1">
        <f t="array" ref="L176">INDEX($D$61:$G$155,MATCH(I176&amp;K176,$C$61:$C$155&amp;$B$61:$B$155,0),MATCH(J176,$D$60:$G$60,0))</f>
        <v>0</v>
      </c>
    </row>
    <row r="177" spans="9:12" x14ac:dyDescent="0.35">
      <c r="I177" t="s">
        <v>458</v>
      </c>
      <c r="J177" t="s">
        <v>32</v>
      </c>
      <c r="K177" t="s">
        <v>435</v>
      </c>
      <c r="L177" s="204" cm="1">
        <f t="array" aca="1" ref="L177" ca="1">INDEX($D$61:$G$155,MATCH(I177&amp;K177,$C$61:$C$155&amp;$B$61:$B$155,0),MATCH(J177,$D$60:$G$60,0))</f>
        <v>39999960</v>
      </c>
    </row>
    <row r="178" spans="9:12" x14ac:dyDescent="0.35">
      <c r="I178" t="s">
        <v>458</v>
      </c>
      <c r="J178" t="s">
        <v>32</v>
      </c>
      <c r="K178" t="s">
        <v>436</v>
      </c>
      <c r="L178" s="204" cm="1">
        <f t="array" aca="1" ref="L178" ca="1">INDEX($D$61:$G$155,MATCH(I178&amp;K178,$C$61:$C$155&amp;$B$61:$B$155,0),MATCH(J178,$D$60:$G$60,0))</f>
        <v>31999968</v>
      </c>
    </row>
    <row r="179" spans="9:12" x14ac:dyDescent="0.35">
      <c r="I179" t="s">
        <v>458</v>
      </c>
      <c r="J179" t="s">
        <v>32</v>
      </c>
      <c r="K179" t="s">
        <v>437</v>
      </c>
      <c r="L179" s="204" cm="1">
        <f t="array" aca="1" ref="L179" ca="1">INDEX($D$61:$G$155,MATCH(I179&amp;K179,$C$61:$C$155&amp;$B$61:$B$155,0),MATCH(J179,$D$60:$G$60,0))</f>
        <v>31999968</v>
      </c>
    </row>
    <row r="180" spans="9:12" x14ac:dyDescent="0.35">
      <c r="I180" t="s">
        <v>458</v>
      </c>
      <c r="J180" t="s">
        <v>32</v>
      </c>
      <c r="K180" t="s">
        <v>438</v>
      </c>
      <c r="L180" s="204" cm="1">
        <f t="array" aca="1" ref="L180" ca="1">INDEX($D$61:$G$155,MATCH(I180&amp;K180,$C$61:$C$155&amp;$B$61:$B$155,0),MATCH(J180,$D$60:$G$60,0))</f>
        <v>7999992</v>
      </c>
    </row>
    <row r="181" spans="9:12" x14ac:dyDescent="0.35">
      <c r="I181" t="s">
        <v>458</v>
      </c>
      <c r="J181" t="s">
        <v>32</v>
      </c>
      <c r="K181" t="s">
        <v>439</v>
      </c>
      <c r="L181" s="204" cm="1">
        <f t="array" ref="L181">INDEX($D$61:$G$155,MATCH(I181&amp;K181,$C$61:$C$155&amp;$B$61:$B$155,0),MATCH(J181,$D$60:$G$60,0))</f>
        <v>0</v>
      </c>
    </row>
    <row r="182" spans="9:12" x14ac:dyDescent="0.35">
      <c r="I182" t="s">
        <v>458</v>
      </c>
      <c r="J182" t="s">
        <v>32</v>
      </c>
      <c r="K182" t="s">
        <v>440</v>
      </c>
      <c r="L182" s="204" cm="1">
        <f t="array" ref="L182">INDEX($D$61:$G$155,MATCH(I182&amp;K182,$C$61:$C$155&amp;$B$61:$B$155,0),MATCH(J182,$D$60:$G$60,0))</f>
        <v>0</v>
      </c>
    </row>
    <row r="183" spans="9:12" x14ac:dyDescent="0.35">
      <c r="I183" t="s">
        <v>458</v>
      </c>
      <c r="J183" t="s">
        <v>32</v>
      </c>
      <c r="K183" t="s">
        <v>441</v>
      </c>
      <c r="L183" s="204" cm="1">
        <f t="array" ref="L183">INDEX($D$61:$G$155,MATCH(I183&amp;K183,$C$61:$C$155&amp;$B$61:$B$155,0),MATCH(J183,$D$60:$G$60,0))</f>
        <v>0</v>
      </c>
    </row>
    <row r="184" spans="9:12" x14ac:dyDescent="0.35">
      <c r="I184" t="s">
        <v>458</v>
      </c>
      <c r="J184" t="s">
        <v>32</v>
      </c>
      <c r="K184" t="s">
        <v>442</v>
      </c>
      <c r="L184" s="204" cm="1">
        <f t="array" ref="L184">INDEX($D$61:$G$155,MATCH(I184&amp;K184,$C$61:$C$155&amp;$B$61:$B$155,0),MATCH(J184,$D$60:$G$60,0))</f>
        <v>0</v>
      </c>
    </row>
    <row r="185" spans="9:12" x14ac:dyDescent="0.35">
      <c r="I185" t="s">
        <v>458</v>
      </c>
      <c r="J185" t="s">
        <v>32</v>
      </c>
      <c r="K185" t="s">
        <v>443</v>
      </c>
      <c r="L185" s="204" cm="1">
        <f t="array" ref="L185">INDEX($D$61:$G$155,MATCH(I185&amp;K185,$C$61:$C$155&amp;$B$61:$B$155,0),MATCH(J185,$D$60:$G$60,0))</f>
        <v>0</v>
      </c>
    </row>
    <row r="186" spans="9:12" x14ac:dyDescent="0.35">
      <c r="I186" t="s">
        <v>458</v>
      </c>
      <c r="J186" t="s">
        <v>32</v>
      </c>
      <c r="K186" t="s">
        <v>448</v>
      </c>
      <c r="L186" s="204" cm="1">
        <f t="array" ref="L186">INDEX($D$61:$G$155,MATCH(I186&amp;K186,$C$61:$C$155&amp;$B$61:$B$155,0),MATCH(J186,$D$60:$G$60,0))</f>
        <v>0</v>
      </c>
    </row>
    <row r="187" spans="9:12" x14ac:dyDescent="0.35">
      <c r="I187" t="s">
        <v>458</v>
      </c>
      <c r="J187" t="s">
        <v>32</v>
      </c>
      <c r="K187" t="s">
        <v>449</v>
      </c>
      <c r="L187" s="204" cm="1">
        <f t="array" ref="L187">INDEX($D$61:$G$155,MATCH(I187&amp;K187,$C$61:$C$155&amp;$B$61:$B$155,0),MATCH(J187,$D$60:$G$60,0))</f>
        <v>0</v>
      </c>
    </row>
    <row r="188" spans="9:12" x14ac:dyDescent="0.35">
      <c r="I188" t="s">
        <v>458</v>
      </c>
      <c r="J188" t="s">
        <v>32</v>
      </c>
      <c r="K188" t="s">
        <v>450</v>
      </c>
      <c r="L188" s="204" cm="1">
        <f t="array" ref="L188">INDEX($D$61:$G$155,MATCH(I188&amp;K188,$C$61:$C$155&amp;$B$61:$B$155,0),MATCH(J188,$D$60:$G$60,0))</f>
        <v>0</v>
      </c>
    </row>
    <row r="189" spans="9:12" x14ac:dyDescent="0.35">
      <c r="I189" t="s">
        <v>458</v>
      </c>
      <c r="J189" t="s">
        <v>32</v>
      </c>
      <c r="K189" t="s">
        <v>451</v>
      </c>
      <c r="L189" s="204" cm="1">
        <f t="array" aca="1" ref="L189" ca="1">INDEX($D$61:$G$155,MATCH(I189&amp;K189,$C$61:$C$155&amp;$B$61:$B$155,0),MATCH(J189,$D$60:$G$60,0))</f>
        <v>0</v>
      </c>
    </row>
    <row r="190" spans="9:12" x14ac:dyDescent="0.35">
      <c r="I190" t="s">
        <v>458</v>
      </c>
      <c r="J190" t="s">
        <v>32</v>
      </c>
      <c r="K190" t="s">
        <v>452</v>
      </c>
      <c r="L190" s="204" cm="1">
        <f t="array" aca="1" ref="L190" ca="1">INDEX($D$61:$G$155,MATCH(I190&amp;K190,$C$61:$C$155&amp;$B$61:$B$155,0),MATCH(J190,$D$60:$G$60,0))</f>
        <v>0</v>
      </c>
    </row>
    <row r="191" spans="9:12" x14ac:dyDescent="0.35">
      <c r="I191" t="s">
        <v>458</v>
      </c>
      <c r="J191" t="s">
        <v>32</v>
      </c>
      <c r="K191" t="s">
        <v>453</v>
      </c>
      <c r="L191" s="204" cm="1">
        <f t="array" ref="L191">INDEX($D$61:$G$155,MATCH(I191&amp;K191,$C$61:$C$155&amp;$B$61:$B$155,0),MATCH(J191,$D$60:$G$60,0))</f>
        <v>0</v>
      </c>
    </row>
    <row r="192" spans="9:12" x14ac:dyDescent="0.35">
      <c r="I192" t="s">
        <v>458</v>
      </c>
      <c r="J192" t="s">
        <v>29</v>
      </c>
      <c r="K192" t="s">
        <v>435</v>
      </c>
      <c r="L192" s="204" cm="1">
        <f t="array" aca="1" ref="L192" ca="1">INDEX($D$61:$G$155,MATCH(I192&amp;K192,$C$61:$C$155&amp;$B$61:$B$155,0),MATCH(J192,$D$60:$G$60,0))</f>
        <v>39999960</v>
      </c>
    </row>
    <row r="193" spans="9:12" x14ac:dyDescent="0.35">
      <c r="I193" t="s">
        <v>458</v>
      </c>
      <c r="J193" t="s">
        <v>29</v>
      </c>
      <c r="K193" t="s">
        <v>436</v>
      </c>
      <c r="L193" s="204" cm="1">
        <f t="array" aca="1" ref="L193" ca="1">INDEX($D$61:$G$155,MATCH(I193&amp;K193,$C$61:$C$155&amp;$B$61:$B$155,0),MATCH(J193,$D$60:$G$60,0))</f>
        <v>19199980.799999997</v>
      </c>
    </row>
    <row r="194" spans="9:12" x14ac:dyDescent="0.35">
      <c r="I194" t="s">
        <v>458</v>
      </c>
      <c r="J194" t="s">
        <v>29</v>
      </c>
      <c r="K194" t="s">
        <v>437</v>
      </c>
      <c r="L194" s="204" cm="1">
        <f t="array" aca="1" ref="L194" ca="1">INDEX($D$61:$G$155,MATCH(I194&amp;K194,$C$61:$C$155&amp;$B$61:$B$155,0),MATCH(J194,$D$60:$G$60,0))</f>
        <v>19199980.799999997</v>
      </c>
    </row>
    <row r="195" spans="9:12" x14ac:dyDescent="0.35">
      <c r="I195" t="s">
        <v>458</v>
      </c>
      <c r="J195" t="s">
        <v>29</v>
      </c>
      <c r="K195" t="s">
        <v>438</v>
      </c>
      <c r="L195" s="204" cm="1">
        <f t="array" aca="1" ref="L195" ca="1">INDEX($D$61:$G$155,MATCH(I195&amp;K195,$C$61:$C$155&amp;$B$61:$B$155,0),MATCH(J195,$D$60:$G$60,0))</f>
        <v>7999992</v>
      </c>
    </row>
    <row r="196" spans="9:12" x14ac:dyDescent="0.35">
      <c r="I196" t="s">
        <v>458</v>
      </c>
      <c r="J196" t="s">
        <v>29</v>
      </c>
      <c r="K196" t="s">
        <v>439</v>
      </c>
      <c r="L196" s="204" cm="1">
        <f t="array" ref="L196">INDEX($D$61:$G$155,MATCH(I196&amp;K196,$C$61:$C$155&amp;$B$61:$B$155,0),MATCH(J196,$D$60:$G$60,0))</f>
        <v>0</v>
      </c>
    </row>
    <row r="197" spans="9:12" x14ac:dyDescent="0.35">
      <c r="I197" t="s">
        <v>458</v>
      </c>
      <c r="J197" t="s">
        <v>29</v>
      </c>
      <c r="K197" t="s">
        <v>440</v>
      </c>
      <c r="L197" s="204" cm="1">
        <f t="array" ref="L197">INDEX($D$61:$G$155,MATCH(I197&amp;K197,$C$61:$C$155&amp;$B$61:$B$155,0),MATCH(J197,$D$60:$G$60,0))</f>
        <v>0</v>
      </c>
    </row>
    <row r="198" spans="9:12" x14ac:dyDescent="0.35">
      <c r="I198" t="s">
        <v>458</v>
      </c>
      <c r="J198" t="s">
        <v>29</v>
      </c>
      <c r="K198" t="s">
        <v>441</v>
      </c>
      <c r="L198" s="204" cm="1">
        <f t="array" ref="L198">INDEX($D$61:$G$155,MATCH(I198&amp;K198,$C$61:$C$155&amp;$B$61:$B$155,0),MATCH(J198,$D$60:$G$60,0))</f>
        <v>0</v>
      </c>
    </row>
    <row r="199" spans="9:12" x14ac:dyDescent="0.35">
      <c r="I199" t="s">
        <v>458</v>
      </c>
      <c r="J199" t="s">
        <v>29</v>
      </c>
      <c r="K199" t="s">
        <v>442</v>
      </c>
      <c r="L199" s="204" cm="1">
        <f t="array" ref="L199">INDEX($D$61:$G$155,MATCH(I199&amp;K199,$C$61:$C$155&amp;$B$61:$B$155,0),MATCH(J199,$D$60:$G$60,0))</f>
        <v>0</v>
      </c>
    </row>
    <row r="200" spans="9:12" x14ac:dyDescent="0.35">
      <c r="I200" t="s">
        <v>458</v>
      </c>
      <c r="J200" t="s">
        <v>29</v>
      </c>
      <c r="K200" t="s">
        <v>443</v>
      </c>
      <c r="L200" s="204" cm="1">
        <f t="array" ref="L200">INDEX($D$61:$G$155,MATCH(I200&amp;K200,$C$61:$C$155&amp;$B$61:$B$155,0),MATCH(J200,$D$60:$G$60,0))</f>
        <v>0</v>
      </c>
    </row>
    <row r="201" spans="9:12" x14ac:dyDescent="0.35">
      <c r="I201" t="s">
        <v>458</v>
      </c>
      <c r="J201" t="s">
        <v>29</v>
      </c>
      <c r="K201" t="s">
        <v>444</v>
      </c>
      <c r="L201" s="204" cm="1">
        <f t="array" aca="1" ref="L201" ca="1">INDEX($D$61:$G$155,MATCH(I201&amp;K201,$C$61:$C$155&amp;$B$61:$B$155,0),MATCH(J201,$D$60:$G$60,0))</f>
        <v>12799987.200000001</v>
      </c>
    </row>
    <row r="202" spans="9:12" x14ac:dyDescent="0.35">
      <c r="I202" t="s">
        <v>458</v>
      </c>
      <c r="J202" t="s">
        <v>29</v>
      </c>
      <c r="K202" t="s">
        <v>445</v>
      </c>
      <c r="L202" s="204" cm="1">
        <f t="array" ref="L202">INDEX($D$61:$G$155,MATCH(I202&amp;K202,$C$61:$C$155&amp;$B$61:$B$155,0),MATCH(J202,$D$60:$G$60,0))</f>
        <v>0</v>
      </c>
    </row>
    <row r="203" spans="9:12" x14ac:dyDescent="0.35">
      <c r="I203" t="s">
        <v>458</v>
      </c>
      <c r="J203" t="s">
        <v>29</v>
      </c>
      <c r="K203" t="s">
        <v>446</v>
      </c>
      <c r="L203" s="204" cm="1">
        <f t="array" aca="1" ref="L203" ca="1">INDEX($D$61:$G$155,MATCH(I203&amp;K203,$C$61:$C$155&amp;$B$61:$B$155,0),MATCH(J203,$D$60:$G$60,0))</f>
        <v>0</v>
      </c>
    </row>
    <row r="204" spans="9:12" x14ac:dyDescent="0.35">
      <c r="I204" t="s">
        <v>458</v>
      </c>
      <c r="J204" t="s">
        <v>29</v>
      </c>
      <c r="K204" t="s">
        <v>447</v>
      </c>
      <c r="L204" s="204" cm="1">
        <f t="array" ref="L204">INDEX($D$61:$G$155,MATCH(I204&amp;K204,$C$61:$C$155&amp;$B$61:$B$155,0),MATCH(J204,$D$60:$G$60,0))</f>
        <v>0</v>
      </c>
    </row>
    <row r="205" spans="9:12" x14ac:dyDescent="0.35">
      <c r="I205" t="s">
        <v>458</v>
      </c>
      <c r="J205" t="s">
        <v>29</v>
      </c>
      <c r="K205" t="s">
        <v>453</v>
      </c>
      <c r="L205" s="204" cm="1">
        <f t="array" ref="L205">INDEX($D$61:$G$155,MATCH(I205&amp;K205,$C$61:$C$155&amp;$B$61:$B$155,0),MATCH(J205,$D$60:$G$60,0))</f>
        <v>0</v>
      </c>
    </row>
    <row r="206" spans="9:12" x14ac:dyDescent="0.35">
      <c r="I206" t="s">
        <v>458</v>
      </c>
      <c r="J206" t="s">
        <v>33</v>
      </c>
      <c r="K206" t="s">
        <v>435</v>
      </c>
      <c r="L206" s="204" cm="1">
        <f t="array" aca="1" ref="L206" ca="1">INDEX($D$61:$G$155,MATCH(I206&amp;K206,$C$61:$C$155&amp;$B$61:$B$155,0),MATCH(J206,$D$60:$G$60,0))</f>
        <v>22946346.113120016</v>
      </c>
    </row>
    <row r="207" spans="9:12" x14ac:dyDescent="0.35">
      <c r="I207" t="s">
        <v>458</v>
      </c>
      <c r="J207" t="s">
        <v>33</v>
      </c>
      <c r="K207" t="s">
        <v>436</v>
      </c>
      <c r="L207" s="204" cm="1">
        <f t="array" aca="1" ref="L207" ca="1">INDEX($D$61:$G$155,MATCH(I207&amp;K207,$C$61:$C$155&amp;$B$61:$B$155,0),MATCH(J207,$D$60:$G$60,0))</f>
        <v>22946346.113120016</v>
      </c>
    </row>
    <row r="208" spans="9:12" x14ac:dyDescent="0.35">
      <c r="I208" t="s">
        <v>458</v>
      </c>
      <c r="J208" t="s">
        <v>33</v>
      </c>
      <c r="K208" t="s">
        <v>437</v>
      </c>
      <c r="L208" s="204" cm="1">
        <f t="array" aca="1" ref="L208" ca="1">INDEX($D$61:$G$155,MATCH(I208&amp;K208,$C$61:$C$155&amp;$B$61:$B$155,0),MATCH(J208,$D$60:$G$60,0))</f>
        <v>22946346.113120016</v>
      </c>
    </row>
    <row r="209" spans="9:12" x14ac:dyDescent="0.35">
      <c r="I209" t="s">
        <v>458</v>
      </c>
      <c r="J209" t="s">
        <v>33</v>
      </c>
      <c r="K209" t="s">
        <v>438</v>
      </c>
      <c r="L209" s="204" cm="1">
        <f t="array" ref="L209">INDEX($D$61:$G$155,MATCH(I209&amp;K209,$C$61:$C$155&amp;$B$61:$B$155,0),MATCH(J209,$D$60:$G$60,0))</f>
        <v>0</v>
      </c>
    </row>
    <row r="210" spans="9:12" x14ac:dyDescent="0.35">
      <c r="I210" t="s">
        <v>458</v>
      </c>
      <c r="J210" t="s">
        <v>33</v>
      </c>
      <c r="K210" t="s">
        <v>439</v>
      </c>
      <c r="L210" s="204" cm="1">
        <f t="array" ref="L210">INDEX($D$61:$G$155,MATCH(I210&amp;K210,$C$61:$C$155&amp;$B$61:$B$155,0),MATCH(J210,$D$60:$G$60,0))</f>
        <v>0</v>
      </c>
    </row>
    <row r="211" spans="9:12" x14ac:dyDescent="0.35">
      <c r="I211" t="s">
        <v>458</v>
      </c>
      <c r="J211" t="s">
        <v>33</v>
      </c>
      <c r="K211" t="s">
        <v>440</v>
      </c>
      <c r="L211" s="204" cm="1">
        <f t="array" ref="L211">INDEX($D$61:$G$155,MATCH(I211&amp;K211,$C$61:$C$155&amp;$B$61:$B$155,0),MATCH(J211,$D$60:$G$60,0))</f>
        <v>0</v>
      </c>
    </row>
    <row r="212" spans="9:12" x14ac:dyDescent="0.35">
      <c r="I212" t="s">
        <v>458</v>
      </c>
      <c r="J212" t="s">
        <v>33</v>
      </c>
      <c r="K212" t="s">
        <v>441</v>
      </c>
      <c r="L212" s="204" cm="1">
        <f t="array" ref="L212">INDEX($D$61:$G$155,MATCH(I212&amp;K212,$C$61:$C$155&amp;$B$61:$B$155,0),MATCH(J212,$D$60:$G$60,0))</f>
        <v>0</v>
      </c>
    </row>
    <row r="213" spans="9:12" x14ac:dyDescent="0.35">
      <c r="I213" t="s">
        <v>458</v>
      </c>
      <c r="J213" t="s">
        <v>33</v>
      </c>
      <c r="K213" t="s">
        <v>442</v>
      </c>
      <c r="L213" s="204" cm="1">
        <f t="array" ref="L213">INDEX($D$61:$G$155,MATCH(I213&amp;K213,$C$61:$C$155&amp;$B$61:$B$155,0),MATCH(J213,$D$60:$G$60,0))</f>
        <v>0</v>
      </c>
    </row>
    <row r="214" spans="9:12" x14ac:dyDescent="0.35">
      <c r="I214" t="s">
        <v>458</v>
      </c>
      <c r="J214" t="s">
        <v>33</v>
      </c>
      <c r="K214" t="s">
        <v>443</v>
      </c>
      <c r="L214" s="204" cm="1">
        <f t="array" ref="L214">INDEX($D$61:$G$155,MATCH(I214&amp;K214,$C$61:$C$155&amp;$B$61:$B$155,0),MATCH(J214,$D$60:$G$60,0))</f>
        <v>0</v>
      </c>
    </row>
    <row r="215" spans="9:12" x14ac:dyDescent="0.35">
      <c r="I215" t="s">
        <v>458</v>
      </c>
      <c r="J215" t="s">
        <v>33</v>
      </c>
      <c r="K215" t="s">
        <v>448</v>
      </c>
      <c r="L215" s="204" cm="1">
        <f t="array" ref="L215">INDEX($D$61:$G$155,MATCH(I215&amp;K215,$C$61:$C$155&amp;$B$61:$B$155,0),MATCH(J215,$D$60:$G$60,0))</f>
        <v>0</v>
      </c>
    </row>
    <row r="216" spans="9:12" x14ac:dyDescent="0.35">
      <c r="I216" t="s">
        <v>458</v>
      </c>
      <c r="J216" t="s">
        <v>33</v>
      </c>
      <c r="K216" t="s">
        <v>449</v>
      </c>
      <c r="L216" s="204" cm="1">
        <f t="array" ref="L216">INDEX($D$61:$G$155,MATCH(I216&amp;K216,$C$61:$C$155&amp;$B$61:$B$155,0),MATCH(J216,$D$60:$G$60,0))</f>
        <v>0</v>
      </c>
    </row>
    <row r="217" spans="9:12" x14ac:dyDescent="0.35">
      <c r="I217" t="s">
        <v>458</v>
      </c>
      <c r="J217" t="s">
        <v>33</v>
      </c>
      <c r="K217" t="s">
        <v>450</v>
      </c>
      <c r="L217" s="204" cm="1">
        <f t="array" ref="L217">INDEX($D$61:$G$155,MATCH(I217&amp;K217,$C$61:$C$155&amp;$B$61:$B$155,0),MATCH(J217,$D$60:$G$60,0))</f>
        <v>0</v>
      </c>
    </row>
    <row r="218" spans="9:12" x14ac:dyDescent="0.35">
      <c r="I218" t="s">
        <v>458</v>
      </c>
      <c r="J218" t="s">
        <v>33</v>
      </c>
      <c r="K218" t="s">
        <v>451</v>
      </c>
      <c r="L218" s="204" cm="1">
        <f t="array" aca="1" ref="L218" ca="1">INDEX($D$61:$G$155,MATCH(I218&amp;K218,$C$61:$C$155&amp;$B$61:$B$155,0),MATCH(J218,$D$60:$G$60,0))</f>
        <v>4.7820152336741521E-2</v>
      </c>
    </row>
    <row r="219" spans="9:12" x14ac:dyDescent="0.35">
      <c r="I219" t="s">
        <v>458</v>
      </c>
      <c r="J219" t="s">
        <v>33</v>
      </c>
      <c r="K219" t="s">
        <v>452</v>
      </c>
      <c r="L219" s="204" cm="1">
        <f t="array" aca="1" ref="L219" ca="1">INDEX($D$61:$G$155,MATCH(I219&amp;K219,$C$61:$C$155&amp;$B$61:$B$155,0),MATCH(J219,$D$60:$G$60,0))</f>
        <v>4.7820152336741521E-2</v>
      </c>
    </row>
    <row r="220" spans="9:12" x14ac:dyDescent="0.35">
      <c r="I220" t="s">
        <v>458</v>
      </c>
      <c r="J220" t="s">
        <v>33</v>
      </c>
      <c r="K220" t="s">
        <v>453</v>
      </c>
      <c r="L220" s="204" cm="1">
        <f t="array" ref="L220">INDEX($D$61:$G$155,MATCH(I220&amp;K220,$C$61:$C$155&amp;$B$61:$B$155,0),MATCH(J220,$D$60:$G$60,0))</f>
        <v>0</v>
      </c>
    </row>
    <row r="221" spans="9:12" x14ac:dyDescent="0.35">
      <c r="I221" t="s">
        <v>458</v>
      </c>
      <c r="J221" t="s">
        <v>31</v>
      </c>
      <c r="K221" t="s">
        <v>435</v>
      </c>
      <c r="L221" s="204" cm="1">
        <f t="array" aca="1" ref="L221" ca="1">INDEX($D$61:$G$155,MATCH(I221&amp;K221,$C$61:$C$155&amp;$B$61:$B$155,0),MATCH(J221,$D$60:$G$60,0))</f>
        <v>28857627.37544075</v>
      </c>
    </row>
    <row r="222" spans="9:12" x14ac:dyDescent="0.35">
      <c r="I222" t="s">
        <v>458</v>
      </c>
      <c r="J222" t="s">
        <v>31</v>
      </c>
      <c r="K222" t="s">
        <v>436</v>
      </c>
      <c r="L222" s="204" cm="1">
        <f t="array" aca="1" ref="L222" ca="1">INDEX($D$61:$G$155,MATCH(I222&amp;K222,$C$61:$C$155&amp;$B$61:$B$155,0),MATCH(J222,$D$60:$G$60,0))</f>
        <v>3462915.2850528909</v>
      </c>
    </row>
    <row r="223" spans="9:12" x14ac:dyDescent="0.35">
      <c r="I223" t="s">
        <v>458</v>
      </c>
      <c r="J223" t="s">
        <v>31</v>
      </c>
      <c r="K223" t="s">
        <v>437</v>
      </c>
      <c r="L223" s="204" cm="1">
        <f t="array" aca="1" ref="L223" ca="1">INDEX($D$61:$G$155,MATCH(I223&amp;K223,$C$61:$C$155&amp;$B$61:$B$155,0),MATCH(J223,$D$60:$G$60,0))</f>
        <v>3462915.2850528909</v>
      </c>
    </row>
    <row r="224" spans="9:12" x14ac:dyDescent="0.35">
      <c r="I224" t="s">
        <v>458</v>
      </c>
      <c r="J224" t="s">
        <v>31</v>
      </c>
      <c r="K224" t="s">
        <v>438</v>
      </c>
      <c r="L224" s="204" cm="1">
        <f t="array" aca="1" ref="L224" ca="1">INDEX($D$61:$G$155,MATCH(I224&amp;K224,$C$61:$C$155&amp;$B$61:$B$155,0),MATCH(J224,$D$60:$G$60,0))</f>
        <v>5771525.4750881493</v>
      </c>
    </row>
    <row r="225" spans="9:12" x14ac:dyDescent="0.35">
      <c r="I225" t="s">
        <v>458</v>
      </c>
      <c r="J225" t="s">
        <v>31</v>
      </c>
      <c r="K225" t="s">
        <v>439</v>
      </c>
      <c r="L225" s="204" cm="1">
        <f t="array" ref="L225">INDEX($D$61:$G$155,MATCH(I225&amp;K225,$C$61:$C$155&amp;$B$61:$B$155,0),MATCH(J225,$D$60:$G$60,0))</f>
        <v>0</v>
      </c>
    </row>
    <row r="226" spans="9:12" x14ac:dyDescent="0.35">
      <c r="I226" t="s">
        <v>458</v>
      </c>
      <c r="J226" t="s">
        <v>31</v>
      </c>
      <c r="K226" t="s">
        <v>440</v>
      </c>
      <c r="L226" s="204" cm="1">
        <f t="array" ref="L226">INDEX($D$61:$G$155,MATCH(I226&amp;K226,$C$61:$C$155&amp;$B$61:$B$155,0),MATCH(J226,$D$60:$G$60,0))</f>
        <v>0</v>
      </c>
    </row>
    <row r="227" spans="9:12" x14ac:dyDescent="0.35">
      <c r="I227" t="s">
        <v>458</v>
      </c>
      <c r="J227" t="s">
        <v>31</v>
      </c>
      <c r="K227" t="s">
        <v>441</v>
      </c>
      <c r="L227" s="204" cm="1">
        <f t="array" ref="L227">INDEX($D$61:$G$155,MATCH(I227&amp;K227,$C$61:$C$155&amp;$B$61:$B$155,0),MATCH(J227,$D$60:$G$60,0))</f>
        <v>0</v>
      </c>
    </row>
    <row r="228" spans="9:12" x14ac:dyDescent="0.35">
      <c r="I228" t="s">
        <v>458</v>
      </c>
      <c r="J228" t="s">
        <v>31</v>
      </c>
      <c r="K228" t="s">
        <v>442</v>
      </c>
      <c r="L228" s="204" cm="1">
        <f t="array" ref="L228">INDEX($D$61:$G$155,MATCH(I228&amp;K228,$C$61:$C$155&amp;$B$61:$B$155,0),MATCH(J228,$D$60:$G$60,0))</f>
        <v>0</v>
      </c>
    </row>
    <row r="229" spans="9:12" x14ac:dyDescent="0.35">
      <c r="I229" t="s">
        <v>458</v>
      </c>
      <c r="J229" t="s">
        <v>31</v>
      </c>
      <c r="K229" t="s">
        <v>443</v>
      </c>
      <c r="L229" s="204" cm="1">
        <f t="array" ref="L229">INDEX($D$61:$G$155,MATCH(I229&amp;K229,$C$61:$C$155&amp;$B$61:$B$155,0),MATCH(J229,$D$60:$G$60,0))</f>
        <v>0</v>
      </c>
    </row>
    <row r="230" spans="9:12" x14ac:dyDescent="0.35">
      <c r="I230" t="s">
        <v>458</v>
      </c>
      <c r="J230" t="s">
        <v>31</v>
      </c>
      <c r="K230" t="s">
        <v>444</v>
      </c>
      <c r="L230" s="204" cm="1">
        <f t="array" aca="1" ref="L230" ca="1">INDEX($D$61:$G$155,MATCH(I230&amp;K230,$C$61:$C$155&amp;$B$61:$B$155,0),MATCH(J230,$D$60:$G$60,0))</f>
        <v>19623186.615299709</v>
      </c>
    </row>
    <row r="231" spans="9:12" x14ac:dyDescent="0.35">
      <c r="I231" t="s">
        <v>458</v>
      </c>
      <c r="J231" t="s">
        <v>31</v>
      </c>
      <c r="K231" t="s">
        <v>445</v>
      </c>
      <c r="L231" s="204" cm="1">
        <f t="array" ref="L231">INDEX($D$61:$G$155,MATCH(I231&amp;K231,$C$61:$C$155&amp;$B$61:$B$155,0),MATCH(J231,$D$60:$G$60,0))</f>
        <v>0</v>
      </c>
    </row>
    <row r="232" spans="9:12" x14ac:dyDescent="0.35">
      <c r="I232" t="s">
        <v>458</v>
      </c>
      <c r="J232" t="s">
        <v>31</v>
      </c>
      <c r="K232" t="s">
        <v>446</v>
      </c>
      <c r="L232" s="204" cm="1">
        <f t="array" ref="L232">INDEX($D$61:$G$155,MATCH(I232&amp;K232,$C$61:$C$155&amp;$B$61:$B$155,0),MATCH(J232,$D$60:$G$60,0))</f>
        <v>0</v>
      </c>
    </row>
    <row r="233" spans="9:12" x14ac:dyDescent="0.35">
      <c r="I233" t="s">
        <v>458</v>
      </c>
      <c r="J233" t="s">
        <v>31</v>
      </c>
      <c r="K233" t="s">
        <v>447</v>
      </c>
      <c r="L233" s="204" cm="1">
        <f t="array" ref="L233">INDEX($D$61:$G$155,MATCH(I233&amp;K233,$C$61:$C$155&amp;$B$61:$B$155,0),MATCH(J233,$D$60:$G$60,0))</f>
        <v>0</v>
      </c>
    </row>
    <row r="234" spans="9:12" x14ac:dyDescent="0.35">
      <c r="I234" t="s">
        <v>458</v>
      </c>
      <c r="J234" t="s">
        <v>31</v>
      </c>
      <c r="K234" t="s">
        <v>453</v>
      </c>
      <c r="L234" s="204" cm="1">
        <f t="array" ref="L234">INDEX($D$61:$G$155,MATCH(I234&amp;K234,$C$61:$C$155&amp;$B$61:$B$155,0),MATCH(J234,$D$60:$G$60,0))</f>
        <v>0</v>
      </c>
    </row>
    <row r="235" spans="9:12" x14ac:dyDescent="0.35">
      <c r="I235" t="s">
        <v>459</v>
      </c>
      <c r="J235" t="s">
        <v>32</v>
      </c>
      <c r="K235" t="s">
        <v>435</v>
      </c>
      <c r="L235" s="204" cm="1">
        <f t="array" aca="1" ref="L235" ca="1">INDEX($D$61:$G$155,MATCH(I235&amp;K235,$C$61:$C$155&amp;$B$61:$B$155,0),MATCH(J235,$D$60:$G$60,0))</f>
        <v>294582388.56936425</v>
      </c>
    </row>
    <row r="236" spans="9:12" x14ac:dyDescent="0.35">
      <c r="I236" t="s">
        <v>459</v>
      </c>
      <c r="J236" t="s">
        <v>32</v>
      </c>
      <c r="K236" t="s">
        <v>436</v>
      </c>
      <c r="L236" s="204" cm="1">
        <f t="array" aca="1" ref="L236" ca="1">INDEX($D$61:$G$155,MATCH(I236&amp;K236,$C$61:$C$155&amp;$B$61:$B$155,0),MATCH(J236,$D$60:$G$60,0))</f>
        <v>241013668.1986908</v>
      </c>
    </row>
    <row r="237" spans="9:12" x14ac:dyDescent="0.35">
      <c r="I237" t="s">
        <v>459</v>
      </c>
      <c r="J237" t="s">
        <v>32</v>
      </c>
      <c r="K237" t="s">
        <v>437</v>
      </c>
      <c r="L237" s="204" cm="1">
        <f t="array" aca="1" ref="L237" ca="1">INDEX($D$61:$G$155,MATCH(I237&amp;K237,$C$61:$C$155&amp;$B$61:$B$155,0),MATCH(J237,$D$60:$G$60,0))</f>
        <v>241013668.1986908</v>
      </c>
    </row>
    <row r="238" spans="9:12" x14ac:dyDescent="0.35">
      <c r="I238" t="s">
        <v>459</v>
      </c>
      <c r="J238" t="s">
        <v>32</v>
      </c>
      <c r="K238" t="s">
        <v>438</v>
      </c>
      <c r="L238" s="204" cm="1">
        <f t="array" ref="L238">INDEX($D$61:$G$155,MATCH(I238&amp;K238,$C$61:$C$155&amp;$B$61:$B$155,0),MATCH(J238,$D$60:$G$60,0))</f>
        <v>53568720.370673388</v>
      </c>
    </row>
    <row r="239" spans="9:12" x14ac:dyDescent="0.35">
      <c r="I239" t="s">
        <v>459</v>
      </c>
      <c r="J239" t="s">
        <v>32</v>
      </c>
      <c r="K239" t="s">
        <v>439</v>
      </c>
      <c r="L239" s="204" cm="1">
        <f t="array" ref="L239">INDEX($D$61:$G$155,MATCH(I239&amp;K239,$C$61:$C$155&amp;$B$61:$B$155,0),MATCH(J239,$D$60:$G$60,0))</f>
        <v>0</v>
      </c>
    </row>
    <row r="240" spans="9:12" x14ac:dyDescent="0.35">
      <c r="I240" t="s">
        <v>459</v>
      </c>
      <c r="J240" t="s">
        <v>32</v>
      </c>
      <c r="K240" t="s">
        <v>440</v>
      </c>
      <c r="L240" s="204" cm="1">
        <f t="array" ref="L240">INDEX($D$61:$G$155,MATCH(I240&amp;K240,$C$61:$C$155&amp;$B$61:$B$155,0),MATCH(J240,$D$60:$G$60,0))</f>
        <v>0</v>
      </c>
    </row>
    <row r="241" spans="9:12" x14ac:dyDescent="0.35">
      <c r="I241" t="s">
        <v>459</v>
      </c>
      <c r="J241" t="s">
        <v>32</v>
      </c>
      <c r="K241" t="s">
        <v>441</v>
      </c>
      <c r="L241" s="204" cm="1">
        <f t="array" ref="L241">INDEX($D$61:$G$155,MATCH(I241&amp;K241,$C$61:$C$155&amp;$B$61:$B$155,0),MATCH(J241,$D$60:$G$60,0))</f>
        <v>0</v>
      </c>
    </row>
    <row r="242" spans="9:12" x14ac:dyDescent="0.35">
      <c r="I242" t="s">
        <v>459</v>
      </c>
      <c r="J242" t="s">
        <v>32</v>
      </c>
      <c r="K242" t="s">
        <v>442</v>
      </c>
      <c r="L242" s="204" cm="1">
        <f t="array" ref="L242">INDEX($D$61:$G$155,MATCH(I242&amp;K242,$C$61:$C$155&amp;$B$61:$B$155,0),MATCH(J242,$D$60:$G$60,0))</f>
        <v>0</v>
      </c>
    </row>
    <row r="243" spans="9:12" x14ac:dyDescent="0.35">
      <c r="I243" t="s">
        <v>459</v>
      </c>
      <c r="J243" t="s">
        <v>32</v>
      </c>
      <c r="K243" t="s">
        <v>443</v>
      </c>
      <c r="L243" s="204" cm="1">
        <f t="array" ref="L243">INDEX($D$61:$G$155,MATCH(I243&amp;K243,$C$61:$C$155&amp;$B$61:$B$155,0),MATCH(J243,$D$60:$G$60,0))</f>
        <v>0</v>
      </c>
    </row>
    <row r="244" spans="9:12" x14ac:dyDescent="0.35">
      <c r="I244" t="s">
        <v>459</v>
      </c>
      <c r="J244" t="s">
        <v>32</v>
      </c>
      <c r="K244" t="s">
        <v>448</v>
      </c>
      <c r="L244" s="204" cm="1">
        <f t="array" ref="L244">INDEX($D$61:$G$155,MATCH(I244&amp;K244,$C$61:$C$155&amp;$B$61:$B$155,0),MATCH(J244,$D$60:$G$60,0))</f>
        <v>0</v>
      </c>
    </row>
    <row r="245" spans="9:12" x14ac:dyDescent="0.35">
      <c r="I245" t="s">
        <v>459</v>
      </c>
      <c r="J245" t="s">
        <v>32</v>
      </c>
      <c r="K245" t="s">
        <v>449</v>
      </c>
      <c r="L245" s="204" cm="1">
        <f t="array" ref="L245">INDEX($D$61:$G$155,MATCH(I245&amp;K245,$C$61:$C$155&amp;$B$61:$B$155,0),MATCH(J245,$D$60:$G$60,0))</f>
        <v>0</v>
      </c>
    </row>
    <row r="246" spans="9:12" x14ac:dyDescent="0.35">
      <c r="I246" t="s">
        <v>459</v>
      </c>
      <c r="J246" t="s">
        <v>32</v>
      </c>
      <c r="K246" t="s">
        <v>450</v>
      </c>
      <c r="L246" s="204" cm="1">
        <f t="array" ref="L246">INDEX($D$61:$G$155,MATCH(I246&amp;K246,$C$61:$C$155&amp;$B$61:$B$155,0),MATCH(J246,$D$60:$G$60,0))</f>
        <v>0</v>
      </c>
    </row>
    <row r="247" spans="9:12" x14ac:dyDescent="0.35">
      <c r="I247" t="s">
        <v>459</v>
      </c>
      <c r="J247" t="s">
        <v>32</v>
      </c>
      <c r="K247" t="s">
        <v>451</v>
      </c>
      <c r="L247" s="204" cm="1">
        <f t="array" aca="1" ref="L247" ca="1">INDEX($D$61:$G$155,MATCH(I247&amp;K247,$C$61:$C$155&amp;$B$61:$B$155,0),MATCH(J247,$D$60:$G$60,0))</f>
        <v>3.7416738788838957E-2</v>
      </c>
    </row>
    <row r="248" spans="9:12" x14ac:dyDescent="0.35">
      <c r="I248" t="s">
        <v>459</v>
      </c>
      <c r="J248" t="s">
        <v>32</v>
      </c>
      <c r="K248" t="s">
        <v>452</v>
      </c>
      <c r="L248" s="204" cm="1">
        <f t="array" aca="1" ref="L248" ca="1">INDEX($D$61:$G$155,MATCH(I248&amp;K248,$C$61:$C$155&amp;$B$61:$B$155,0),MATCH(J248,$D$60:$G$60,0))</f>
        <v>3.7416738788838957E-2</v>
      </c>
    </row>
    <row r="249" spans="9:12" x14ac:dyDescent="0.35">
      <c r="I249" t="s">
        <v>459</v>
      </c>
      <c r="J249" t="s">
        <v>32</v>
      </c>
      <c r="K249" t="s">
        <v>453</v>
      </c>
      <c r="L249" s="204" cm="1">
        <f t="array" ref="L249">INDEX($D$61:$G$155,MATCH(I249&amp;K249,$C$61:$C$155&amp;$B$61:$B$155,0),MATCH(J249,$D$60:$G$60,0))</f>
        <v>0</v>
      </c>
    </row>
    <row r="250" spans="9:12" x14ac:dyDescent="0.35">
      <c r="I250" t="s">
        <v>459</v>
      </c>
      <c r="J250" t="s">
        <v>29</v>
      </c>
      <c r="K250" t="s">
        <v>435</v>
      </c>
      <c r="L250" s="204" cm="1">
        <f t="array" ref="L250">INDEX($D$61:$G$155,MATCH(I250&amp;K250,$C$61:$C$155&amp;$B$61:$B$155,0),MATCH(J250,$D$60:$G$60,0))</f>
        <v>122607729.29155537</v>
      </c>
    </row>
    <row r="251" spans="9:12" x14ac:dyDescent="0.35">
      <c r="I251" t="s">
        <v>459</v>
      </c>
      <c r="J251" t="s">
        <v>29</v>
      </c>
      <c r="K251" t="s">
        <v>436</v>
      </c>
      <c r="L251" s="204" cm="1">
        <f t="array" ref="L251">INDEX($D$61:$G$155,MATCH(I251&amp;K251,$C$61:$C$155&amp;$B$61:$B$155,0),MATCH(J251,$D$60:$G$60,0))</f>
        <v>49043091.716622166</v>
      </c>
    </row>
    <row r="252" spans="9:12" x14ac:dyDescent="0.35">
      <c r="I252" t="s">
        <v>459</v>
      </c>
      <c r="J252" t="s">
        <v>29</v>
      </c>
      <c r="K252" t="s">
        <v>437</v>
      </c>
      <c r="L252" s="204" cm="1">
        <f t="array" ref="L252">INDEX($D$61:$G$155,MATCH(I252&amp;K252,$C$61:$C$155&amp;$B$61:$B$155,0),MATCH(J252,$D$60:$G$60,0))</f>
        <v>49043091.716622166</v>
      </c>
    </row>
    <row r="253" spans="9:12" x14ac:dyDescent="0.35">
      <c r="I253" t="s">
        <v>459</v>
      </c>
      <c r="J253" t="s">
        <v>29</v>
      </c>
      <c r="K253" t="s">
        <v>438</v>
      </c>
      <c r="L253" s="204" cm="1">
        <f t="array" ref="L253">INDEX($D$61:$G$155,MATCH(I253&amp;K253,$C$61:$C$155&amp;$B$61:$B$155,0),MATCH(J253,$D$60:$G$60,0))</f>
        <v>24521545.858311072</v>
      </c>
    </row>
    <row r="254" spans="9:12" x14ac:dyDescent="0.35">
      <c r="I254" t="s">
        <v>459</v>
      </c>
      <c r="J254" t="s">
        <v>29</v>
      </c>
      <c r="K254" t="s">
        <v>439</v>
      </c>
      <c r="L254" s="204" cm="1">
        <f t="array" ref="L254">INDEX($D$61:$G$155,MATCH(I254&amp;K254,$C$61:$C$155&amp;$B$61:$B$155,0),MATCH(J254,$D$60:$G$60,0))</f>
        <v>0</v>
      </c>
    </row>
    <row r="255" spans="9:12" x14ac:dyDescent="0.35">
      <c r="I255" t="s">
        <v>459</v>
      </c>
      <c r="J255" t="s">
        <v>29</v>
      </c>
      <c r="K255" t="s">
        <v>440</v>
      </c>
      <c r="L255" s="204" cm="1">
        <f t="array" ref="L255">INDEX($D$61:$G$155,MATCH(I255&amp;K255,$C$61:$C$155&amp;$B$61:$B$155,0),MATCH(J255,$D$60:$G$60,0))</f>
        <v>0</v>
      </c>
    </row>
    <row r="256" spans="9:12" x14ac:dyDescent="0.35">
      <c r="I256" t="s">
        <v>459</v>
      </c>
      <c r="J256" t="s">
        <v>29</v>
      </c>
      <c r="K256" t="s">
        <v>441</v>
      </c>
      <c r="L256" s="204" cm="1">
        <f t="array" ref="L256">INDEX($D$61:$G$155,MATCH(I256&amp;K256,$C$61:$C$155&amp;$B$61:$B$155,0),MATCH(J256,$D$60:$G$60,0))</f>
        <v>0</v>
      </c>
    </row>
    <row r="257" spans="9:12" x14ac:dyDescent="0.35">
      <c r="I257" t="s">
        <v>459</v>
      </c>
      <c r="J257" t="s">
        <v>29</v>
      </c>
      <c r="K257" t="s">
        <v>442</v>
      </c>
      <c r="L257" s="204" cm="1">
        <f t="array" ref="L257">INDEX($D$61:$G$155,MATCH(I257&amp;K257,$C$61:$C$155&amp;$B$61:$B$155,0),MATCH(J257,$D$60:$G$60,0))</f>
        <v>0</v>
      </c>
    </row>
    <row r="258" spans="9:12" x14ac:dyDescent="0.35">
      <c r="I258" t="s">
        <v>459</v>
      </c>
      <c r="J258" t="s">
        <v>29</v>
      </c>
      <c r="K258" t="s">
        <v>443</v>
      </c>
      <c r="L258" s="204" cm="1">
        <f t="array" ref="L258">INDEX($D$61:$G$155,MATCH(I258&amp;K258,$C$61:$C$155&amp;$B$61:$B$155,0),MATCH(J258,$D$60:$G$60,0))</f>
        <v>0</v>
      </c>
    </row>
    <row r="259" spans="9:12" x14ac:dyDescent="0.35">
      <c r="I259" t="s">
        <v>459</v>
      </c>
      <c r="J259" t="s">
        <v>29</v>
      </c>
      <c r="K259" t="s">
        <v>444</v>
      </c>
      <c r="L259" s="204" cm="1">
        <f t="array" ref="L259">INDEX($D$61:$G$155,MATCH(I259&amp;K259,$C$61:$C$155&amp;$B$61:$B$155,0),MATCH(J259,$D$60:$G$60,0))</f>
        <v>49043091.716622137</v>
      </c>
    </row>
    <row r="260" spans="9:12" x14ac:dyDescent="0.35">
      <c r="I260" t="s">
        <v>459</v>
      </c>
      <c r="J260" t="s">
        <v>29</v>
      </c>
      <c r="K260" t="s">
        <v>445</v>
      </c>
      <c r="L260" s="204" cm="1">
        <f t="array" ref="L260">INDEX($D$61:$G$155,MATCH(I260&amp;K260,$C$61:$C$155&amp;$B$61:$B$155,0),MATCH(J260,$D$60:$G$60,0))</f>
        <v>0</v>
      </c>
    </row>
    <row r="261" spans="9:12" x14ac:dyDescent="0.35">
      <c r="I261" t="s">
        <v>459</v>
      </c>
      <c r="J261" t="s">
        <v>29</v>
      </c>
      <c r="K261" t="s">
        <v>446</v>
      </c>
      <c r="L261" s="204" cm="1">
        <f t="array" ref="L261">INDEX($D$61:$G$155,MATCH(I261&amp;K261,$C$61:$C$155&amp;$B$61:$B$155,0),MATCH(J261,$D$60:$G$60,0))</f>
        <v>0</v>
      </c>
    </row>
    <row r="262" spans="9:12" x14ac:dyDescent="0.35">
      <c r="I262" t="s">
        <v>459</v>
      </c>
      <c r="J262" t="s">
        <v>29</v>
      </c>
      <c r="K262" t="s">
        <v>447</v>
      </c>
      <c r="L262" s="204" cm="1">
        <f t="array" ref="L262">INDEX($D$61:$G$155,MATCH(I262&amp;K262,$C$61:$C$155&amp;$B$61:$B$155,0),MATCH(J262,$D$60:$G$60,0))</f>
        <v>0</v>
      </c>
    </row>
    <row r="263" spans="9:12" x14ac:dyDescent="0.35">
      <c r="I263" t="s">
        <v>459</v>
      </c>
      <c r="J263" t="s">
        <v>29</v>
      </c>
      <c r="K263" t="s">
        <v>453</v>
      </c>
      <c r="L263" s="204" cm="1">
        <f t="array" ref="L263">INDEX($D$61:$G$155,MATCH(I263&amp;K263,$C$61:$C$155&amp;$B$61:$B$155,0),MATCH(J263,$D$60:$G$60,0))</f>
        <v>0</v>
      </c>
    </row>
    <row r="264" spans="9:12" x14ac:dyDescent="0.35">
      <c r="I264" t="s">
        <v>459</v>
      </c>
      <c r="J264" t="s">
        <v>33</v>
      </c>
      <c r="K264" t="s">
        <v>435</v>
      </c>
      <c r="L264" s="204" cm="1">
        <f t="array" aca="1" ref="L264" ca="1">INDEX($D$61:$G$155,MATCH(I264&amp;K264,$C$61:$C$155&amp;$B$61:$B$155,0),MATCH(J264,$D$60:$G$60,0))</f>
        <v>184470576.48206866</v>
      </c>
    </row>
    <row r="265" spans="9:12" x14ac:dyDescent="0.35">
      <c r="I265" t="s">
        <v>459</v>
      </c>
      <c r="J265" t="s">
        <v>33</v>
      </c>
      <c r="K265" t="s">
        <v>436</v>
      </c>
      <c r="L265" s="204" cm="1">
        <f t="array" aca="1" ref="L265" ca="1">INDEX($D$61:$G$155,MATCH(I265&amp;K265,$C$61:$C$155&amp;$B$61:$B$155,0),MATCH(J265,$D$60:$G$60,0))</f>
        <v>184470576.48206866</v>
      </c>
    </row>
    <row r="266" spans="9:12" x14ac:dyDescent="0.35">
      <c r="I266" t="s">
        <v>459</v>
      </c>
      <c r="J266" t="s">
        <v>33</v>
      </c>
      <c r="K266" t="s">
        <v>437</v>
      </c>
      <c r="L266" s="204" cm="1">
        <f t="array" aca="1" ref="L266" ca="1">INDEX($D$61:$G$155,MATCH(I266&amp;K266,$C$61:$C$155&amp;$B$61:$B$155,0),MATCH(J266,$D$60:$G$60,0))</f>
        <v>184470576.48206866</v>
      </c>
    </row>
    <row r="267" spans="9:12" x14ac:dyDescent="0.35">
      <c r="I267" t="s">
        <v>459</v>
      </c>
      <c r="J267" t="s">
        <v>33</v>
      </c>
      <c r="K267" t="s">
        <v>438</v>
      </c>
      <c r="L267" s="204" cm="1">
        <f t="array" ref="L267">INDEX($D$61:$G$155,MATCH(I267&amp;K267,$C$61:$C$155&amp;$B$61:$B$155,0),MATCH(J267,$D$60:$G$60,0))</f>
        <v>0</v>
      </c>
    </row>
    <row r="268" spans="9:12" x14ac:dyDescent="0.35">
      <c r="I268" t="s">
        <v>459</v>
      </c>
      <c r="J268" t="s">
        <v>33</v>
      </c>
      <c r="K268" t="s">
        <v>439</v>
      </c>
      <c r="L268" s="204" cm="1">
        <f t="array" ref="L268">INDEX($D$61:$G$155,MATCH(I268&amp;K268,$C$61:$C$155&amp;$B$61:$B$155,0),MATCH(J268,$D$60:$G$60,0))</f>
        <v>0</v>
      </c>
    </row>
    <row r="269" spans="9:12" x14ac:dyDescent="0.35">
      <c r="I269" t="s">
        <v>459</v>
      </c>
      <c r="J269" t="s">
        <v>33</v>
      </c>
      <c r="K269" t="s">
        <v>440</v>
      </c>
      <c r="L269" s="204" cm="1">
        <f t="array" ref="L269">INDEX($D$61:$G$155,MATCH(I269&amp;K269,$C$61:$C$155&amp;$B$61:$B$155,0),MATCH(J269,$D$60:$G$60,0))</f>
        <v>0</v>
      </c>
    </row>
    <row r="270" spans="9:12" x14ac:dyDescent="0.35">
      <c r="I270" t="s">
        <v>459</v>
      </c>
      <c r="J270" t="s">
        <v>33</v>
      </c>
      <c r="K270" t="s">
        <v>441</v>
      </c>
      <c r="L270" s="204" cm="1">
        <f t="array" ref="L270">INDEX($D$61:$G$155,MATCH(I270&amp;K270,$C$61:$C$155&amp;$B$61:$B$155,0),MATCH(J270,$D$60:$G$60,0))</f>
        <v>0</v>
      </c>
    </row>
    <row r="271" spans="9:12" x14ac:dyDescent="0.35">
      <c r="I271" t="s">
        <v>459</v>
      </c>
      <c r="J271" t="s">
        <v>33</v>
      </c>
      <c r="K271" t="s">
        <v>442</v>
      </c>
      <c r="L271" s="204" cm="1">
        <f t="array" ref="L271">INDEX($D$61:$G$155,MATCH(I271&amp;K271,$C$61:$C$155&amp;$B$61:$B$155,0),MATCH(J271,$D$60:$G$60,0))</f>
        <v>0</v>
      </c>
    </row>
    <row r="272" spans="9:12" x14ac:dyDescent="0.35">
      <c r="I272" t="s">
        <v>459</v>
      </c>
      <c r="J272" t="s">
        <v>33</v>
      </c>
      <c r="K272" t="s">
        <v>443</v>
      </c>
      <c r="L272" s="204" cm="1">
        <f t="array" ref="L272">INDEX($D$61:$G$155,MATCH(I272&amp;K272,$C$61:$C$155&amp;$B$61:$B$155,0),MATCH(J272,$D$60:$G$60,0))</f>
        <v>0</v>
      </c>
    </row>
    <row r="273" spans="9:12" x14ac:dyDescent="0.35">
      <c r="I273" t="s">
        <v>459</v>
      </c>
      <c r="J273" t="s">
        <v>33</v>
      </c>
      <c r="K273" t="s">
        <v>448</v>
      </c>
      <c r="L273" s="204" cm="1">
        <f t="array" ref="L273">INDEX($D$61:$G$155,MATCH(I273&amp;K273,$C$61:$C$155&amp;$B$61:$B$155,0),MATCH(J273,$D$60:$G$60,0))</f>
        <v>0</v>
      </c>
    </row>
    <row r="274" spans="9:12" x14ac:dyDescent="0.35">
      <c r="I274" t="s">
        <v>459</v>
      </c>
      <c r="J274" t="s">
        <v>33</v>
      </c>
      <c r="K274" t="s">
        <v>449</v>
      </c>
      <c r="L274" s="204" cm="1">
        <f t="array" ref="L274">INDEX($D$61:$G$155,MATCH(I274&amp;K274,$C$61:$C$155&amp;$B$61:$B$155,0),MATCH(J274,$D$60:$G$60,0))</f>
        <v>0</v>
      </c>
    </row>
    <row r="275" spans="9:12" x14ac:dyDescent="0.35">
      <c r="I275" t="s">
        <v>459</v>
      </c>
      <c r="J275" t="s">
        <v>33</v>
      </c>
      <c r="K275" t="s">
        <v>450</v>
      </c>
      <c r="L275" s="204" cm="1">
        <f t="array" ref="L275">INDEX($D$61:$G$155,MATCH(I275&amp;K275,$C$61:$C$155&amp;$B$61:$B$155,0),MATCH(J275,$D$60:$G$60,0))</f>
        <v>0</v>
      </c>
    </row>
    <row r="276" spans="9:12" x14ac:dyDescent="0.35">
      <c r="I276" t="s">
        <v>459</v>
      </c>
      <c r="J276" t="s">
        <v>33</v>
      </c>
      <c r="K276" t="s">
        <v>451</v>
      </c>
      <c r="L276" s="204" cm="1">
        <f t="array" aca="1" ref="L276" ca="1">INDEX($D$61:$G$155,MATCH(I276&amp;K276,$C$61:$C$155&amp;$B$61:$B$155,0),MATCH(J276,$D$60:$G$60,0))</f>
        <v>4.8885549335326649E-2</v>
      </c>
    </row>
    <row r="277" spans="9:12" x14ac:dyDescent="0.35">
      <c r="I277" t="s">
        <v>459</v>
      </c>
      <c r="J277" t="s">
        <v>33</v>
      </c>
      <c r="K277" t="s">
        <v>452</v>
      </c>
      <c r="L277" s="204" cm="1">
        <f t="array" aca="1" ref="L277" ca="1">INDEX($D$61:$G$155,MATCH(I277&amp;K277,$C$61:$C$155&amp;$B$61:$B$155,0),MATCH(J277,$D$60:$G$60,0))</f>
        <v>4.8885549335326649E-2</v>
      </c>
    </row>
    <row r="278" spans="9:12" x14ac:dyDescent="0.35">
      <c r="I278" t="s">
        <v>459</v>
      </c>
      <c r="J278" t="s">
        <v>33</v>
      </c>
      <c r="K278" t="s">
        <v>453</v>
      </c>
      <c r="L278" s="204" cm="1">
        <f t="array" ref="L278">INDEX($D$61:$G$155,MATCH(I278&amp;K278,$C$61:$C$155&amp;$B$61:$B$155,0),MATCH(J278,$D$60:$G$60,0))</f>
        <v>0</v>
      </c>
    </row>
    <row r="279" spans="9:12" x14ac:dyDescent="0.35">
      <c r="I279" t="s">
        <v>459</v>
      </c>
      <c r="J279" t="s">
        <v>31</v>
      </c>
      <c r="K279" t="s">
        <v>435</v>
      </c>
      <c r="L279" s="204" cm="1">
        <f t="array" ref="L279">INDEX($D$61:$G$155,MATCH(I279&amp;K279,$C$61:$C$155&amp;$B$61:$B$155,0),MATCH(J279,$D$60:$G$60,0))</f>
        <v>145235872.56181151</v>
      </c>
    </row>
    <row r="280" spans="9:12" x14ac:dyDescent="0.35">
      <c r="I280" t="s">
        <v>459</v>
      </c>
      <c r="J280" t="s">
        <v>31</v>
      </c>
      <c r="K280" t="s">
        <v>436</v>
      </c>
      <c r="L280" s="204" cm="1">
        <f t="array" ref="L280">INDEX($D$61:$G$155,MATCH(I280&amp;K280,$C$61:$C$155&amp;$B$61:$B$155,0),MATCH(J280,$D$60:$G$60,0))</f>
        <v>7500000</v>
      </c>
    </row>
    <row r="281" spans="9:12" x14ac:dyDescent="0.35">
      <c r="I281" t="s">
        <v>459</v>
      </c>
      <c r="J281" t="s">
        <v>31</v>
      </c>
      <c r="K281" t="s">
        <v>437</v>
      </c>
      <c r="L281" s="204" cm="1">
        <f t="array" ref="L281">INDEX($D$61:$G$155,MATCH(I281&amp;K281,$C$61:$C$155&amp;$B$61:$B$155,0),MATCH(J281,$D$60:$G$60,0))</f>
        <v>7500000</v>
      </c>
    </row>
    <row r="282" spans="9:12" x14ac:dyDescent="0.35">
      <c r="I282" t="s">
        <v>459</v>
      </c>
      <c r="J282" t="s">
        <v>31</v>
      </c>
      <c r="K282" t="s">
        <v>438</v>
      </c>
      <c r="L282" s="204" cm="1">
        <f t="array" ref="L282">INDEX($D$61:$G$155,MATCH(I282&amp;K282,$C$61:$C$155&amp;$B$61:$B$155,0),MATCH(J282,$D$60:$G$60,0))</f>
        <v>29047174.512362301</v>
      </c>
    </row>
    <row r="283" spans="9:12" x14ac:dyDescent="0.35">
      <c r="I283" t="s">
        <v>459</v>
      </c>
      <c r="J283" t="s">
        <v>31</v>
      </c>
      <c r="K283" t="s">
        <v>439</v>
      </c>
      <c r="L283" s="204" cm="1">
        <f t="array" ref="L283">INDEX($D$61:$G$155,MATCH(I283&amp;K283,$C$61:$C$155&amp;$B$61:$B$155,0),MATCH(J283,$D$60:$G$60,0))</f>
        <v>0</v>
      </c>
    </row>
    <row r="284" spans="9:12" x14ac:dyDescent="0.35">
      <c r="I284" t="s">
        <v>459</v>
      </c>
      <c r="J284" t="s">
        <v>31</v>
      </c>
      <c r="K284" t="s">
        <v>440</v>
      </c>
      <c r="L284" s="204" cm="1">
        <f t="array" ref="L284">INDEX($D$61:$G$155,MATCH(I284&amp;K284,$C$61:$C$155&amp;$B$61:$B$155,0),MATCH(J284,$D$60:$G$60,0))</f>
        <v>0</v>
      </c>
    </row>
    <row r="285" spans="9:12" x14ac:dyDescent="0.35">
      <c r="I285" t="s">
        <v>459</v>
      </c>
      <c r="J285" t="s">
        <v>31</v>
      </c>
      <c r="K285" t="s">
        <v>441</v>
      </c>
      <c r="L285" s="204" cm="1">
        <f t="array" ref="L285">INDEX($D$61:$G$155,MATCH(I285&amp;K285,$C$61:$C$155&amp;$B$61:$B$155,0),MATCH(J285,$D$60:$G$60,0))</f>
        <v>0</v>
      </c>
    </row>
    <row r="286" spans="9:12" x14ac:dyDescent="0.35">
      <c r="I286" t="s">
        <v>459</v>
      </c>
      <c r="J286" t="s">
        <v>31</v>
      </c>
      <c r="K286" t="s">
        <v>442</v>
      </c>
      <c r="L286" s="204" cm="1">
        <f t="array" ref="L286">INDEX($D$61:$G$155,MATCH(I286&amp;K286,$C$61:$C$155&amp;$B$61:$B$155,0),MATCH(J286,$D$60:$G$60,0))</f>
        <v>0</v>
      </c>
    </row>
    <row r="287" spans="9:12" x14ac:dyDescent="0.35">
      <c r="I287" t="s">
        <v>459</v>
      </c>
      <c r="J287" t="s">
        <v>31</v>
      </c>
      <c r="K287" t="s">
        <v>443</v>
      </c>
      <c r="L287" s="204" cm="1">
        <f t="array" ref="L287">INDEX($D$61:$G$155,MATCH(I287&amp;K287,$C$61:$C$155&amp;$B$61:$B$155,0),MATCH(J287,$D$60:$G$60,0))</f>
        <v>0</v>
      </c>
    </row>
    <row r="288" spans="9:12" x14ac:dyDescent="0.35">
      <c r="I288" t="s">
        <v>459</v>
      </c>
      <c r="J288" t="s">
        <v>31</v>
      </c>
      <c r="K288" t="s">
        <v>444</v>
      </c>
      <c r="L288" s="204" cm="1">
        <f t="array" ref="L288">INDEX($D$61:$G$155,MATCH(I288&amp;K288,$C$61:$C$155&amp;$B$61:$B$155,0),MATCH(J288,$D$60:$G$60,0))</f>
        <v>98760393.342031777</v>
      </c>
    </row>
    <row r="289" spans="9:12" x14ac:dyDescent="0.35">
      <c r="I289" t="s">
        <v>459</v>
      </c>
      <c r="J289" t="s">
        <v>31</v>
      </c>
      <c r="K289" t="s">
        <v>445</v>
      </c>
      <c r="L289" s="204" cm="1">
        <f t="array" ref="L289">INDEX($D$61:$G$155,MATCH(I289&amp;K289,$C$61:$C$155&amp;$B$61:$B$155,0),MATCH(J289,$D$60:$G$60,0))</f>
        <v>0</v>
      </c>
    </row>
    <row r="290" spans="9:12" x14ac:dyDescent="0.35">
      <c r="I290" t="s">
        <v>459</v>
      </c>
      <c r="J290" t="s">
        <v>31</v>
      </c>
      <c r="K290" t="s">
        <v>446</v>
      </c>
      <c r="L290" s="204" cm="1">
        <f t="array" ref="L290">INDEX($D$61:$G$155,MATCH(I290&amp;K290,$C$61:$C$155&amp;$B$61:$B$155,0),MATCH(J290,$D$60:$G$60,0))</f>
        <v>9928304.7074174285</v>
      </c>
    </row>
    <row r="291" spans="9:12" x14ac:dyDescent="0.35">
      <c r="I291" t="s">
        <v>459</v>
      </c>
      <c r="J291" t="s">
        <v>31</v>
      </c>
      <c r="K291" t="s">
        <v>447</v>
      </c>
      <c r="L291" s="204" cm="1">
        <f t="array" ref="L291">INDEX($D$61:$G$155,MATCH(I291&amp;K291,$C$61:$C$155&amp;$B$61:$B$155,0),MATCH(J291,$D$60:$G$60,0))</f>
        <v>0</v>
      </c>
    </row>
    <row r="292" spans="9:12" x14ac:dyDescent="0.35">
      <c r="I292" t="s">
        <v>459</v>
      </c>
      <c r="J292" t="s">
        <v>31</v>
      </c>
      <c r="K292" t="s">
        <v>453</v>
      </c>
      <c r="L292" s="204" cm="1">
        <f t="array" ref="L292">INDEX($D$61:$G$155,MATCH(I292&amp;K292,$C$61:$C$155&amp;$B$61:$B$155,0),MATCH(J292,$D$60:$G$60,0))</f>
        <v>0</v>
      </c>
    </row>
    <row r="293" spans="9:12" x14ac:dyDescent="0.35">
      <c r="I293" t="s">
        <v>460</v>
      </c>
      <c r="J293" t="s">
        <v>32</v>
      </c>
      <c r="K293" t="s">
        <v>435</v>
      </c>
      <c r="L293" s="204" cm="1">
        <f t="array" ref="L293">INDEX($D$61:$G$155,MATCH(I293&amp;K293,$C$61:$C$155&amp;$B$61:$B$155,0),MATCH(J293,$D$60:$G$60,0))</f>
        <v>121033456.09688954</v>
      </c>
    </row>
    <row r="294" spans="9:12" x14ac:dyDescent="0.35">
      <c r="I294" t="s">
        <v>460</v>
      </c>
      <c r="J294" t="s">
        <v>32</v>
      </c>
      <c r="K294" t="s">
        <v>436</v>
      </c>
      <c r="L294" s="204" cm="1">
        <f t="array" ref="L294">INDEX($D$61:$G$155,MATCH(I294&amp;K294,$C$61:$C$155&amp;$B$61:$B$155,0),MATCH(J294,$D$60:$G$60,0))</f>
        <v>99279126.559936896</v>
      </c>
    </row>
    <row r="295" spans="9:12" x14ac:dyDescent="0.35">
      <c r="I295" t="s">
        <v>460</v>
      </c>
      <c r="J295" t="s">
        <v>32</v>
      </c>
      <c r="K295" t="s">
        <v>437</v>
      </c>
      <c r="L295" s="204" cm="1">
        <f t="array" ref="L295">INDEX($D$61:$G$155,MATCH(I295&amp;K295,$C$61:$C$155&amp;$B$61:$B$155,0),MATCH(J295,$D$60:$G$60,0))</f>
        <v>99279126.559936896</v>
      </c>
    </row>
    <row r="296" spans="9:12" x14ac:dyDescent="0.35">
      <c r="I296" t="s">
        <v>460</v>
      </c>
      <c r="J296" t="s">
        <v>32</v>
      </c>
      <c r="K296" t="s">
        <v>438</v>
      </c>
      <c r="L296" s="204" cm="1">
        <f t="array" ref="L296">INDEX($D$61:$G$155,MATCH(I296&amp;K296,$C$61:$C$155&amp;$B$61:$B$155,0),MATCH(J296,$D$60:$G$60,0))</f>
        <v>21754329.536952645</v>
      </c>
    </row>
    <row r="297" spans="9:12" x14ac:dyDescent="0.35">
      <c r="I297" t="s">
        <v>460</v>
      </c>
      <c r="J297" t="s">
        <v>32</v>
      </c>
      <c r="K297" t="s">
        <v>439</v>
      </c>
      <c r="L297" s="204" cm="1">
        <f t="array" ref="L297">INDEX($D$61:$G$155,MATCH(I297&amp;K297,$C$61:$C$155&amp;$B$61:$B$155,0),MATCH(J297,$D$60:$G$60,0))</f>
        <v>0</v>
      </c>
    </row>
    <row r="298" spans="9:12" x14ac:dyDescent="0.35">
      <c r="I298" t="s">
        <v>460</v>
      </c>
      <c r="J298" t="s">
        <v>32</v>
      </c>
      <c r="K298" t="s">
        <v>440</v>
      </c>
      <c r="L298" s="204" cm="1">
        <f t="array" ref="L298">INDEX($D$61:$G$155,MATCH(I298&amp;K298,$C$61:$C$155&amp;$B$61:$B$155,0),MATCH(J298,$D$60:$G$60,0))</f>
        <v>0</v>
      </c>
    </row>
    <row r="299" spans="9:12" x14ac:dyDescent="0.35">
      <c r="I299" t="s">
        <v>460</v>
      </c>
      <c r="J299" t="s">
        <v>32</v>
      </c>
      <c r="K299" t="s">
        <v>441</v>
      </c>
      <c r="L299" s="204" cm="1">
        <f t="array" ref="L299">INDEX($D$61:$G$155,MATCH(I299&amp;K299,$C$61:$C$155&amp;$B$61:$B$155,0),MATCH(J299,$D$60:$G$60,0))</f>
        <v>0</v>
      </c>
    </row>
    <row r="300" spans="9:12" x14ac:dyDescent="0.35">
      <c r="I300" t="s">
        <v>460</v>
      </c>
      <c r="J300" t="s">
        <v>32</v>
      </c>
      <c r="K300" t="s">
        <v>442</v>
      </c>
      <c r="L300" s="204" cm="1">
        <f t="array" ref="L300">INDEX($D$61:$G$155,MATCH(I300&amp;K300,$C$61:$C$155&amp;$B$61:$B$155,0),MATCH(J300,$D$60:$G$60,0))</f>
        <v>0</v>
      </c>
    </row>
    <row r="301" spans="9:12" x14ac:dyDescent="0.35">
      <c r="I301" t="s">
        <v>460</v>
      </c>
      <c r="J301" t="s">
        <v>32</v>
      </c>
      <c r="K301" t="s">
        <v>443</v>
      </c>
      <c r="L301" s="204" cm="1">
        <f t="array" ref="L301">INDEX($D$61:$G$155,MATCH(I301&amp;K301,$C$61:$C$155&amp;$B$61:$B$155,0),MATCH(J301,$D$60:$G$60,0))</f>
        <v>0</v>
      </c>
    </row>
    <row r="302" spans="9:12" x14ac:dyDescent="0.35">
      <c r="I302" t="s">
        <v>460</v>
      </c>
      <c r="J302" t="s">
        <v>32</v>
      </c>
      <c r="K302" t="s">
        <v>448</v>
      </c>
      <c r="L302" s="204" cm="1">
        <f t="array" ref="L302">INDEX($D$61:$G$155,MATCH(I302&amp;K302,$C$61:$C$155&amp;$B$61:$B$155,0),MATCH(J302,$D$60:$G$60,0))</f>
        <v>0</v>
      </c>
    </row>
    <row r="303" spans="9:12" x14ac:dyDescent="0.35">
      <c r="I303" t="s">
        <v>460</v>
      </c>
      <c r="J303" t="s">
        <v>32</v>
      </c>
      <c r="K303" t="s">
        <v>449</v>
      </c>
      <c r="L303" s="204" cm="1">
        <f t="array" ref="L303">INDEX($D$61:$G$155,MATCH(I303&amp;K303,$C$61:$C$155&amp;$B$61:$B$155,0),MATCH(J303,$D$60:$G$60,0))</f>
        <v>0</v>
      </c>
    </row>
    <row r="304" spans="9:12" x14ac:dyDescent="0.35">
      <c r="I304" t="s">
        <v>460</v>
      </c>
      <c r="J304" t="s">
        <v>32</v>
      </c>
      <c r="K304" t="s">
        <v>450</v>
      </c>
      <c r="L304" s="204" cm="1">
        <f t="array" ref="L304">INDEX($D$61:$G$155,MATCH(I304&amp;K304,$C$61:$C$155&amp;$B$61:$B$155,0),MATCH(J304,$D$60:$G$60,0))</f>
        <v>0</v>
      </c>
    </row>
    <row r="305" spans="9:12" x14ac:dyDescent="0.35">
      <c r="I305" t="s">
        <v>460</v>
      </c>
      <c r="J305" t="s">
        <v>32</v>
      </c>
      <c r="K305" t="s">
        <v>451</v>
      </c>
      <c r="L305" s="204" cm="1">
        <f t="array" ref="L305">INDEX($D$61:$G$155,MATCH(I305&amp;K305,$C$61:$C$155&amp;$B$61:$B$155,0),MATCH(J305,$D$60:$G$60,0))</f>
        <v>3.4875092530519965E-2</v>
      </c>
    </row>
    <row r="306" spans="9:12" x14ac:dyDescent="0.35">
      <c r="I306" t="s">
        <v>460</v>
      </c>
      <c r="J306" t="s">
        <v>32</v>
      </c>
      <c r="K306" t="s">
        <v>452</v>
      </c>
      <c r="L306" s="204" cm="1">
        <f t="array" ref="L306">INDEX($D$61:$G$155,MATCH(I306&amp;K306,$C$61:$C$155&amp;$B$61:$B$155,0),MATCH(J306,$D$60:$G$60,0))</f>
        <v>3.4875092530519965E-2</v>
      </c>
    </row>
    <row r="307" spans="9:12" x14ac:dyDescent="0.35">
      <c r="I307" t="s">
        <v>460</v>
      </c>
      <c r="J307" t="s">
        <v>32</v>
      </c>
      <c r="K307" t="s">
        <v>453</v>
      </c>
      <c r="L307" s="204" cm="1">
        <f t="array" ref="L307">INDEX($D$61:$G$155,MATCH(I307&amp;K307,$C$61:$C$155&amp;$B$61:$B$155,0),MATCH(J307,$D$60:$G$60,0))</f>
        <v>0</v>
      </c>
    </row>
    <row r="308" spans="9:12" x14ac:dyDescent="0.35">
      <c r="I308" t="s">
        <v>460</v>
      </c>
      <c r="J308" t="s">
        <v>29</v>
      </c>
      <c r="K308" t="s">
        <v>435</v>
      </c>
      <c r="L308" s="204" cm="1">
        <f t="array" ref="L308">INDEX($D$61:$G$155,MATCH(I308&amp;K308,$C$61:$C$155&amp;$B$61:$B$155,0),MATCH(J308,$D$60:$G$60,0))</f>
        <v>75341155.490671456</v>
      </c>
    </row>
    <row r="309" spans="9:12" x14ac:dyDescent="0.35">
      <c r="I309" t="s">
        <v>460</v>
      </c>
      <c r="J309" t="s">
        <v>29</v>
      </c>
      <c r="K309" t="s">
        <v>436</v>
      </c>
      <c r="L309" s="204" cm="1">
        <f t="array" ref="L309">INDEX($D$61:$G$155,MATCH(I309&amp;K309,$C$61:$C$155&amp;$B$61:$B$155,0),MATCH(J309,$D$60:$G$60,0))</f>
        <v>30436462.040268585</v>
      </c>
    </row>
    <row r="310" spans="9:12" x14ac:dyDescent="0.35">
      <c r="I310" t="s">
        <v>460</v>
      </c>
      <c r="J310" t="s">
        <v>29</v>
      </c>
      <c r="K310" t="s">
        <v>437</v>
      </c>
      <c r="L310" s="204" cm="1">
        <f t="array" ref="L310">INDEX($D$61:$G$155,MATCH(I310&amp;K310,$C$61:$C$155&amp;$B$61:$B$155,0),MATCH(J310,$D$60:$G$60,0))</f>
        <v>30436462.040268585</v>
      </c>
    </row>
    <row r="311" spans="9:12" x14ac:dyDescent="0.35">
      <c r="I311" t="s">
        <v>460</v>
      </c>
      <c r="J311" t="s">
        <v>29</v>
      </c>
      <c r="K311" t="s">
        <v>438</v>
      </c>
      <c r="L311" s="204" cm="1">
        <f t="array" ref="L311">INDEX($D$61:$G$155,MATCH(I311&amp;K311,$C$61:$C$155&amp;$B$61:$B$155,0),MATCH(J311,$D$60:$G$60,0))</f>
        <v>15068231.098134279</v>
      </c>
    </row>
    <row r="312" spans="9:12" x14ac:dyDescent="0.35">
      <c r="I312" t="s">
        <v>460</v>
      </c>
      <c r="J312" t="s">
        <v>29</v>
      </c>
      <c r="K312" t="s">
        <v>439</v>
      </c>
      <c r="L312" s="204" cm="1">
        <f t="array" ref="L312">INDEX($D$61:$G$155,MATCH(I312&amp;K312,$C$61:$C$155&amp;$B$61:$B$155,0),MATCH(J312,$D$60:$G$60,0))</f>
        <v>0</v>
      </c>
    </row>
    <row r="313" spans="9:12" x14ac:dyDescent="0.35">
      <c r="I313" t="s">
        <v>460</v>
      </c>
      <c r="J313" t="s">
        <v>29</v>
      </c>
      <c r="K313" t="s">
        <v>440</v>
      </c>
      <c r="L313" s="204" cm="1">
        <f t="array" ref="L313">INDEX($D$61:$G$155,MATCH(I313&amp;K313,$C$61:$C$155&amp;$B$61:$B$155,0),MATCH(J313,$D$60:$G$60,0))</f>
        <v>0</v>
      </c>
    </row>
    <row r="314" spans="9:12" x14ac:dyDescent="0.35">
      <c r="I314" t="s">
        <v>460</v>
      </c>
      <c r="J314" t="s">
        <v>29</v>
      </c>
      <c r="K314" t="s">
        <v>441</v>
      </c>
      <c r="L314" s="204" cm="1">
        <f t="array" ref="L314">INDEX($D$61:$G$155,MATCH(I314&amp;K314,$C$61:$C$155&amp;$B$61:$B$155,0),MATCH(J314,$D$60:$G$60,0))</f>
        <v>0</v>
      </c>
    </row>
    <row r="315" spans="9:12" x14ac:dyDescent="0.35">
      <c r="I315" t="s">
        <v>460</v>
      </c>
      <c r="J315" t="s">
        <v>29</v>
      </c>
      <c r="K315" t="s">
        <v>442</v>
      </c>
      <c r="L315" s="204" cm="1">
        <f t="array" ref="L315">INDEX($D$61:$G$155,MATCH(I315&amp;K315,$C$61:$C$155&amp;$B$61:$B$155,0),MATCH(J315,$D$60:$G$60,0))</f>
        <v>0</v>
      </c>
    </row>
    <row r="316" spans="9:12" x14ac:dyDescent="0.35">
      <c r="I316" t="s">
        <v>460</v>
      </c>
      <c r="J316" t="s">
        <v>29</v>
      </c>
      <c r="K316" t="s">
        <v>443</v>
      </c>
      <c r="L316" s="204" cm="1">
        <f t="array" ref="L316">INDEX($D$61:$G$155,MATCH(I316&amp;K316,$C$61:$C$155&amp;$B$61:$B$155,0),MATCH(J316,$D$60:$G$60,0))</f>
        <v>0</v>
      </c>
    </row>
    <row r="317" spans="9:12" x14ac:dyDescent="0.35">
      <c r="I317" t="s">
        <v>460</v>
      </c>
      <c r="J317" t="s">
        <v>29</v>
      </c>
      <c r="K317" t="s">
        <v>444</v>
      </c>
      <c r="L317" s="204" cm="1">
        <f t="array" ref="L317">INDEX($D$61:$G$155,MATCH(I317&amp;K317,$C$61:$C$155&amp;$B$61:$B$155,0),MATCH(J317,$D$60:$G$60,0))</f>
        <v>29836462.352268584</v>
      </c>
    </row>
    <row r="318" spans="9:12" x14ac:dyDescent="0.35">
      <c r="I318" t="s">
        <v>460</v>
      </c>
      <c r="J318" t="s">
        <v>29</v>
      </c>
      <c r="K318" t="s">
        <v>445</v>
      </c>
      <c r="L318" s="204" cm="1">
        <f t="array" ref="L318">INDEX($D$61:$G$155,MATCH(I318&amp;K318,$C$61:$C$155&amp;$B$61:$B$155,0),MATCH(J318,$D$60:$G$60,0))</f>
        <v>0</v>
      </c>
    </row>
    <row r="319" spans="9:12" x14ac:dyDescent="0.35">
      <c r="I319" t="s">
        <v>460</v>
      </c>
      <c r="J319" t="s">
        <v>29</v>
      </c>
      <c r="K319" t="s">
        <v>446</v>
      </c>
      <c r="L319" s="204" cm="1">
        <f t="array" ref="L319">INDEX($D$61:$G$155,MATCH(I319&amp;K319,$C$61:$C$155&amp;$B$61:$B$155,0),MATCH(J319,$D$60:$G$60,0))</f>
        <v>0</v>
      </c>
    </row>
    <row r="320" spans="9:12" x14ac:dyDescent="0.35">
      <c r="I320" t="s">
        <v>460</v>
      </c>
      <c r="J320" t="s">
        <v>29</v>
      </c>
      <c r="K320" t="s">
        <v>447</v>
      </c>
      <c r="L320" s="204" cm="1">
        <f t="array" ref="L320">INDEX($D$61:$G$155,MATCH(I320&amp;K320,$C$61:$C$155&amp;$B$61:$B$155,0),MATCH(J320,$D$60:$G$60,0))</f>
        <v>0</v>
      </c>
    </row>
    <row r="321" spans="9:12" x14ac:dyDescent="0.35">
      <c r="I321" t="s">
        <v>460</v>
      </c>
      <c r="J321" t="s">
        <v>29</v>
      </c>
      <c r="K321" t="s">
        <v>453</v>
      </c>
      <c r="L321" s="204" cm="1">
        <f t="array" ref="L321">INDEX($D$61:$G$155,MATCH(I321&amp;K321,$C$61:$C$155&amp;$B$61:$B$155,0),MATCH(J321,$D$60:$G$60,0))</f>
        <v>0</v>
      </c>
    </row>
    <row r="322" spans="9:12" x14ac:dyDescent="0.35">
      <c r="I322" t="s">
        <v>460</v>
      </c>
      <c r="J322" t="s">
        <v>33</v>
      </c>
      <c r="K322" t="s">
        <v>435</v>
      </c>
      <c r="L322" s="204" cm="1">
        <f t="array" ref="L322">INDEX($D$61:$G$155,MATCH(I322&amp;K322,$C$61:$C$155&amp;$B$61:$B$155,0),MATCH(J322,$D$60:$G$60,0))</f>
        <v>66110995.728377253</v>
      </c>
    </row>
    <row r="323" spans="9:12" x14ac:dyDescent="0.35">
      <c r="I323" t="s">
        <v>460</v>
      </c>
      <c r="J323" t="s">
        <v>33</v>
      </c>
      <c r="K323" t="s">
        <v>436</v>
      </c>
      <c r="L323" s="204" cm="1">
        <f t="array" ref="L323">INDEX($D$61:$G$155,MATCH(I323&amp;K323,$C$61:$C$155&amp;$B$61:$B$155,0),MATCH(J323,$D$60:$G$60,0))</f>
        <v>65311001.808377251</v>
      </c>
    </row>
    <row r="324" spans="9:12" x14ac:dyDescent="0.35">
      <c r="I324" t="s">
        <v>460</v>
      </c>
      <c r="J324" t="s">
        <v>33</v>
      </c>
      <c r="K324" t="s">
        <v>437</v>
      </c>
      <c r="L324" s="204" cm="1">
        <f t="array" ref="L324">INDEX($D$61:$G$155,MATCH(I324&amp;K324,$C$61:$C$155&amp;$B$61:$B$155,0),MATCH(J324,$D$60:$G$60,0))</f>
        <v>65311001.808377251</v>
      </c>
    </row>
    <row r="325" spans="9:12" x14ac:dyDescent="0.35">
      <c r="I325" t="s">
        <v>460</v>
      </c>
      <c r="J325" t="s">
        <v>33</v>
      </c>
      <c r="K325" t="s">
        <v>438</v>
      </c>
      <c r="L325" s="204" cm="1">
        <f t="array" ref="L325">INDEX($D$61:$G$155,MATCH(I325&amp;K325,$C$61:$C$155&amp;$B$61:$B$155,0),MATCH(J325,$D$60:$G$60,0))</f>
        <v>799993.92000000086</v>
      </c>
    </row>
    <row r="326" spans="9:12" x14ac:dyDescent="0.35">
      <c r="I326" t="s">
        <v>460</v>
      </c>
      <c r="J326" t="s">
        <v>33</v>
      </c>
      <c r="K326" t="s">
        <v>439</v>
      </c>
      <c r="L326" s="204" cm="1">
        <f t="array" ref="L326">INDEX($D$61:$G$155,MATCH(I326&amp;K326,$C$61:$C$155&amp;$B$61:$B$155,0),MATCH(J326,$D$60:$G$60,0))</f>
        <v>0</v>
      </c>
    </row>
    <row r="327" spans="9:12" x14ac:dyDescent="0.35">
      <c r="I327" t="s">
        <v>460</v>
      </c>
      <c r="J327" t="s">
        <v>33</v>
      </c>
      <c r="K327" t="s">
        <v>440</v>
      </c>
      <c r="L327" s="204" cm="1">
        <f t="array" ref="L327">INDEX($D$61:$G$155,MATCH(I327&amp;K327,$C$61:$C$155&amp;$B$61:$B$155,0),MATCH(J327,$D$60:$G$60,0))</f>
        <v>0</v>
      </c>
    </row>
    <row r="328" spans="9:12" x14ac:dyDescent="0.35">
      <c r="I328" t="s">
        <v>460</v>
      </c>
      <c r="J328" t="s">
        <v>33</v>
      </c>
      <c r="K328" t="s">
        <v>441</v>
      </c>
      <c r="L328" s="204" cm="1">
        <f t="array" ref="L328">INDEX($D$61:$G$155,MATCH(I328&amp;K328,$C$61:$C$155&amp;$B$61:$B$155,0),MATCH(J328,$D$60:$G$60,0))</f>
        <v>0</v>
      </c>
    </row>
    <row r="329" spans="9:12" x14ac:dyDescent="0.35">
      <c r="I329" t="s">
        <v>460</v>
      </c>
      <c r="J329" t="s">
        <v>33</v>
      </c>
      <c r="K329" t="s">
        <v>442</v>
      </c>
      <c r="L329" s="204" cm="1">
        <f t="array" ref="L329">INDEX($D$61:$G$155,MATCH(I329&amp;K329,$C$61:$C$155&amp;$B$61:$B$155,0),MATCH(J329,$D$60:$G$60,0))</f>
        <v>0</v>
      </c>
    </row>
    <row r="330" spans="9:12" x14ac:dyDescent="0.35">
      <c r="I330" t="s">
        <v>460</v>
      </c>
      <c r="J330" t="s">
        <v>33</v>
      </c>
      <c r="K330" t="s">
        <v>443</v>
      </c>
      <c r="L330" s="204" cm="1">
        <f t="array" ref="L330">INDEX($D$61:$G$155,MATCH(I330&amp;K330,$C$61:$C$155&amp;$B$61:$B$155,0),MATCH(J330,$D$60:$G$60,0))</f>
        <v>0</v>
      </c>
    </row>
    <row r="331" spans="9:12" x14ac:dyDescent="0.35">
      <c r="I331" t="s">
        <v>460</v>
      </c>
      <c r="J331" t="s">
        <v>33</v>
      </c>
      <c r="K331" t="s">
        <v>448</v>
      </c>
      <c r="L331" s="204" cm="1">
        <f t="array" ref="L331">INDEX($D$61:$G$155,MATCH(I331&amp;K331,$C$61:$C$155&amp;$B$61:$B$155,0),MATCH(J331,$D$60:$G$60,0))</f>
        <v>0</v>
      </c>
    </row>
    <row r="332" spans="9:12" x14ac:dyDescent="0.35">
      <c r="I332" t="s">
        <v>460</v>
      </c>
      <c r="J332" t="s">
        <v>33</v>
      </c>
      <c r="K332" t="s">
        <v>449</v>
      </c>
      <c r="L332" s="204" cm="1">
        <f t="array" ref="L332">INDEX($D$61:$G$155,MATCH(I332&amp;K332,$C$61:$C$155&amp;$B$61:$B$155,0),MATCH(J332,$D$60:$G$60,0))</f>
        <v>0</v>
      </c>
    </row>
    <row r="333" spans="9:12" x14ac:dyDescent="0.35">
      <c r="I333" t="s">
        <v>460</v>
      </c>
      <c r="J333" t="s">
        <v>33</v>
      </c>
      <c r="K333" t="s">
        <v>450</v>
      </c>
      <c r="L333" s="204" cm="1">
        <f t="array" ref="L333">INDEX($D$61:$G$155,MATCH(I333&amp;K333,$C$61:$C$155&amp;$B$61:$B$155,0),MATCH(J333,$D$60:$G$60,0))</f>
        <v>0</v>
      </c>
    </row>
    <row r="334" spans="9:12" x14ac:dyDescent="0.35">
      <c r="I334" t="s">
        <v>460</v>
      </c>
      <c r="J334" t="s">
        <v>33</v>
      </c>
      <c r="K334" t="s">
        <v>451</v>
      </c>
      <c r="L334" s="204" cm="1">
        <f t="array" ref="L334">INDEX($D$61:$G$155,MATCH(I334&amp;K334,$C$61:$C$155&amp;$B$61:$B$155,0),MATCH(J334,$D$60:$G$60,0))</f>
        <v>5.3013560185244217E-2</v>
      </c>
    </row>
    <row r="335" spans="9:12" x14ac:dyDescent="0.35">
      <c r="I335" t="s">
        <v>460</v>
      </c>
      <c r="J335" t="s">
        <v>33</v>
      </c>
      <c r="K335" t="s">
        <v>452</v>
      </c>
      <c r="L335" s="204" cm="1">
        <f t="array" ref="L335">INDEX($D$61:$G$155,MATCH(I335&amp;K335,$C$61:$C$155&amp;$B$61:$B$155,0),MATCH(J335,$D$60:$G$60,0))</f>
        <v>5.3013560185244217E-2</v>
      </c>
    </row>
    <row r="336" spans="9:12" x14ac:dyDescent="0.35">
      <c r="I336" t="s">
        <v>460</v>
      </c>
      <c r="J336" t="s">
        <v>33</v>
      </c>
      <c r="K336" t="s">
        <v>453</v>
      </c>
      <c r="L336" s="204" cm="1">
        <f t="array" ref="L336">INDEX($D$61:$G$155,MATCH(I336&amp;K336,$C$61:$C$155&amp;$B$61:$B$155,0),MATCH(J336,$D$60:$G$60,0))</f>
        <v>0</v>
      </c>
    </row>
    <row r="337" spans="9:12" x14ac:dyDescent="0.35">
      <c r="I337" t="s">
        <v>460</v>
      </c>
      <c r="J337" t="s">
        <v>31</v>
      </c>
      <c r="K337" t="s">
        <v>435</v>
      </c>
      <c r="L337" s="204" cm="1">
        <f t="array" ref="L337">INDEX($D$61:$G$155,MATCH(I337&amp;K337,$C$61:$C$155&amp;$B$61:$B$155,0),MATCH(J337,$D$60:$G$60,0))</f>
        <v>29430522.594092067</v>
      </c>
    </row>
    <row r="338" spans="9:12" x14ac:dyDescent="0.35">
      <c r="I338" t="s">
        <v>460</v>
      </c>
      <c r="J338" t="s">
        <v>31</v>
      </c>
      <c r="K338" t="s">
        <v>436</v>
      </c>
      <c r="L338" s="204" cm="1">
        <f t="array" ref="L338">INDEX($D$61:$G$155,MATCH(I338&amp;K338,$C$61:$C$155&amp;$B$61:$B$155,0),MATCH(J338,$D$60:$G$60,0))</f>
        <v>3531662.7112910482</v>
      </c>
    </row>
    <row r="339" spans="9:12" x14ac:dyDescent="0.35">
      <c r="I339" t="s">
        <v>460</v>
      </c>
      <c r="J339" t="s">
        <v>31</v>
      </c>
      <c r="K339" t="s">
        <v>437</v>
      </c>
      <c r="L339" s="204" cm="1">
        <f t="array" ref="L339">INDEX($D$61:$G$155,MATCH(I339&amp;K339,$C$61:$C$155&amp;$B$61:$B$155,0),MATCH(J339,$D$60:$G$60,0))</f>
        <v>3531662.7112910482</v>
      </c>
    </row>
    <row r="340" spans="9:12" x14ac:dyDescent="0.35">
      <c r="I340" t="s">
        <v>460</v>
      </c>
      <c r="J340" t="s">
        <v>31</v>
      </c>
      <c r="K340" t="s">
        <v>438</v>
      </c>
      <c r="L340" s="204" cm="1">
        <f t="array" ref="L340">INDEX($D$61:$G$155,MATCH(I340&amp;K340,$C$61:$C$155&amp;$B$61:$B$155,0),MATCH(J340,$D$60:$G$60,0))</f>
        <v>5886104.518818412</v>
      </c>
    </row>
    <row r="341" spans="9:12" x14ac:dyDescent="0.35">
      <c r="I341" t="s">
        <v>460</v>
      </c>
      <c r="J341" t="s">
        <v>31</v>
      </c>
      <c r="K341" t="s">
        <v>439</v>
      </c>
      <c r="L341" s="204" cm="1">
        <f t="array" ref="L341">INDEX($D$61:$G$155,MATCH(I341&amp;K341,$C$61:$C$155&amp;$B$61:$B$155,0),MATCH(J341,$D$60:$G$60,0))</f>
        <v>0</v>
      </c>
    </row>
    <row r="342" spans="9:12" x14ac:dyDescent="0.35">
      <c r="I342" t="s">
        <v>460</v>
      </c>
      <c r="J342" t="s">
        <v>31</v>
      </c>
      <c r="K342" t="s">
        <v>440</v>
      </c>
      <c r="L342" s="204" cm="1">
        <f t="array" ref="L342">INDEX($D$61:$G$155,MATCH(I342&amp;K342,$C$61:$C$155&amp;$B$61:$B$155,0),MATCH(J342,$D$60:$G$60,0))</f>
        <v>0</v>
      </c>
    </row>
    <row r="343" spans="9:12" x14ac:dyDescent="0.35">
      <c r="I343" t="s">
        <v>460</v>
      </c>
      <c r="J343" t="s">
        <v>31</v>
      </c>
      <c r="K343" t="s">
        <v>441</v>
      </c>
      <c r="L343" s="204" cm="1">
        <f t="array" ref="L343">INDEX($D$61:$G$155,MATCH(I343&amp;K343,$C$61:$C$155&amp;$B$61:$B$155,0),MATCH(J343,$D$60:$G$60,0))</f>
        <v>0</v>
      </c>
    </row>
    <row r="344" spans="9:12" x14ac:dyDescent="0.35">
      <c r="I344" t="s">
        <v>460</v>
      </c>
      <c r="J344" t="s">
        <v>31</v>
      </c>
      <c r="K344" t="s">
        <v>442</v>
      </c>
      <c r="L344" s="204" cm="1">
        <f t="array" ref="L344">INDEX($D$61:$G$155,MATCH(I344&amp;K344,$C$61:$C$155&amp;$B$61:$B$155,0),MATCH(J344,$D$60:$G$60,0))</f>
        <v>0</v>
      </c>
    </row>
    <row r="345" spans="9:12" x14ac:dyDescent="0.35">
      <c r="I345" t="s">
        <v>460</v>
      </c>
      <c r="J345" t="s">
        <v>31</v>
      </c>
      <c r="K345" t="s">
        <v>443</v>
      </c>
      <c r="L345" s="204" cm="1">
        <f t="array" ref="L345">INDEX($D$61:$G$155,MATCH(I345&amp;K345,$C$61:$C$155&amp;$B$61:$B$155,0),MATCH(J345,$D$60:$G$60,0))</f>
        <v>0</v>
      </c>
    </row>
    <row r="346" spans="9:12" x14ac:dyDescent="0.35">
      <c r="I346" t="s">
        <v>460</v>
      </c>
      <c r="J346" t="s">
        <v>31</v>
      </c>
      <c r="K346" t="s">
        <v>444</v>
      </c>
      <c r="L346" s="204" cm="1">
        <f t="array" ref="L346">INDEX($D$61:$G$155,MATCH(I346&amp;K346,$C$61:$C$155&amp;$B$61:$B$155,0),MATCH(J346,$D$60:$G$60,0))</f>
        <v>20012755.36398261</v>
      </c>
    </row>
    <row r="347" spans="9:12" x14ac:dyDescent="0.35">
      <c r="I347" t="s">
        <v>460</v>
      </c>
      <c r="J347" t="s">
        <v>31</v>
      </c>
      <c r="K347" t="s">
        <v>445</v>
      </c>
      <c r="L347" s="204" cm="1">
        <f t="array" ref="L347">INDEX($D$61:$G$155,MATCH(I347&amp;K347,$C$61:$C$155&amp;$B$61:$B$155,0),MATCH(J347,$D$60:$G$60,0))</f>
        <v>0</v>
      </c>
    </row>
    <row r="348" spans="9:12" x14ac:dyDescent="0.35">
      <c r="I348" t="s">
        <v>460</v>
      </c>
      <c r="J348" t="s">
        <v>31</v>
      </c>
      <c r="K348" t="s">
        <v>446</v>
      </c>
      <c r="L348" s="204" cm="1">
        <f t="array" ref="L348">INDEX($D$61:$G$155,MATCH(I348&amp;K348,$C$61:$C$155&amp;$B$61:$B$155,0),MATCH(J348,$D$60:$G$60,0))</f>
        <v>0</v>
      </c>
    </row>
    <row r="349" spans="9:12" x14ac:dyDescent="0.35">
      <c r="I349" t="s">
        <v>460</v>
      </c>
      <c r="J349" t="s">
        <v>31</v>
      </c>
      <c r="K349" t="s">
        <v>447</v>
      </c>
      <c r="L349" s="204" cm="1">
        <f t="array" ref="L349">INDEX($D$61:$G$155,MATCH(I349&amp;K349,$C$61:$C$155&amp;$B$61:$B$155,0),MATCH(J349,$D$60:$G$60,0))</f>
        <v>0</v>
      </c>
    </row>
    <row r="350" spans="9:12" x14ac:dyDescent="0.35">
      <c r="I350" t="s">
        <v>460</v>
      </c>
      <c r="J350" t="s">
        <v>31</v>
      </c>
      <c r="K350" t="s">
        <v>453</v>
      </c>
      <c r="L350" s="204" cm="1">
        <f t="array" ref="L350">INDEX($D$61:$G$155,MATCH(I350&amp;K350,$C$61:$C$155&amp;$B$61:$B$155,0),MATCH(J350,$D$60:$G$60,0))</f>
        <v>0</v>
      </c>
    </row>
  </sheetData>
  <conditionalFormatting sqref="O14:Q18 O23:Q27 X32 X35:X36">
    <cfRule type="expression" dxfId="1" priority="1">
      <formula>NOT(O14)</formula>
    </cfRule>
    <cfRule type="expression" dxfId="0" priority="2">
      <formula>O14</formula>
    </cfRule>
  </conditionalFormatting>
  <pageMargins left="0.7" right="0.7" top="0.75" bottom="0.75" header="0.3" footer="0.3"/>
  <pageSetup paperSize="9" orientation="portrait" horizontalDpi="90" verticalDpi="90"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12A1-7469-44D3-9156-8FD9D1C77D7A}">
  <sheetPr codeName="Sheet8">
    <tabColor rgb="FFFF33CC"/>
  </sheetPr>
  <dimension ref="A1:AL46"/>
  <sheetViews>
    <sheetView topLeftCell="E1" zoomScale="97" zoomScaleNormal="100" workbookViewId="0">
      <selection activeCell="AD7" sqref="AD7"/>
    </sheetView>
  </sheetViews>
  <sheetFormatPr defaultRowHeight="14.5" x14ac:dyDescent="0.35"/>
  <cols>
    <col min="1" max="1" width="16.08984375" customWidth="1"/>
    <col min="2" max="2" width="17.453125" customWidth="1"/>
    <col min="3" max="3" width="53.90625" bestFit="1" customWidth="1"/>
    <col min="4" max="5" width="14.90625" customWidth="1"/>
    <col min="6" max="8" width="11.54296875" customWidth="1"/>
    <col min="9" max="9" width="14.54296875" customWidth="1"/>
    <col min="10" max="10" width="14.453125" customWidth="1"/>
    <col min="11" max="13" width="11.54296875" customWidth="1"/>
    <col min="14" max="14" width="13.453125" bestFit="1" customWidth="1"/>
    <col min="15" max="15" width="11.54296875" customWidth="1"/>
    <col min="16" max="16" width="11.54296875" bestFit="1" customWidth="1"/>
    <col min="17" max="17" width="12.90625" customWidth="1"/>
    <col min="18" max="19" width="11.54296875" customWidth="1"/>
    <col min="20" max="20" width="18.08984375" customWidth="1"/>
    <col min="21" max="22" width="11.54296875" customWidth="1"/>
    <col min="23" max="31" width="12.90625" customWidth="1"/>
    <col min="32" max="32" width="1.90625" customWidth="1"/>
    <col min="33" max="33" width="9.54296875" bestFit="1" customWidth="1"/>
    <col min="34" max="34" width="1.90625" customWidth="1"/>
    <col min="35" max="35" width="35.54296875" customWidth="1"/>
    <col min="36" max="36" width="50.90625" customWidth="1"/>
    <col min="37" max="37" width="53.54296875" customWidth="1"/>
    <col min="38" max="38" width="10.54296875" bestFit="1" customWidth="1"/>
  </cols>
  <sheetData>
    <row r="1" spans="1:38" x14ac:dyDescent="0.35">
      <c r="A1" s="33"/>
      <c r="C1" t="s">
        <v>623</v>
      </c>
      <c r="D1">
        <f>ROWS(_xlfn.ANCHORARRAY($C$13))</f>
        <v>28</v>
      </c>
    </row>
    <row r="2" spans="1:38" x14ac:dyDescent="0.35">
      <c r="C2" t="s">
        <v>85</v>
      </c>
      <c r="D2" t="b">
        <f ca="1">COUNTA(OFFSET($D$13:$AD$13,,,$D$1))=($D$1*COLUMNS($D$13:$AD$13))</f>
        <v>1</v>
      </c>
      <c r="H2" s="281" t="s">
        <v>546</v>
      </c>
    </row>
    <row r="3" spans="1:38" x14ac:dyDescent="0.35">
      <c r="C3" t="s">
        <v>84</v>
      </c>
      <c r="D3" s="4">
        <f>_xlfn.MAXIFS('Input Data'!AK:AK,'Input Data'!V:V,"FUL")</f>
        <v>27222223</v>
      </c>
      <c r="E3" s="4"/>
      <c r="F3">
        <f>+INDEX('Input Data'!$C:$C,MATCH($D3,'Input Data'!$AA:$AA,0))</f>
        <v>329405</v>
      </c>
      <c r="G3" t="str">
        <f>+INDEX('Input Data'!U:U,MATCH($F3,'Input Data'!$C:$C,0))</f>
        <v xml:space="preserve">PT Pasifik Satelit Nusantara Lima -   NUSANTARA LIMA - N5 </v>
      </c>
      <c r="P3" s="4"/>
    </row>
    <row r="4" spans="1:38" x14ac:dyDescent="0.35">
      <c r="C4" t="s">
        <v>92</v>
      </c>
      <c r="D4" s="4">
        <f>_xlfn.MAXIFS('Input Data'!BL:BL,'Input Data'!V:V,"FUL")</f>
        <v>13066667.039999999</v>
      </c>
      <c r="E4" s="4"/>
      <c r="F4">
        <f>+INDEX('Input Data'!$C:$C,MATCH($D4,'Input Data'!$BL:$BL,0))</f>
        <v>329405</v>
      </c>
      <c r="G4" t="str">
        <f>+INDEX('Input Data'!U:U,MATCH($F4,'Input Data'!$C:$C,0))</f>
        <v xml:space="preserve">PT Pasifik Satelit Nusantara Lima -   NUSANTARA LIMA - N5 </v>
      </c>
    </row>
    <row r="5" spans="1:38" x14ac:dyDescent="0.35">
      <c r="M5" s="33"/>
      <c r="N5" s="33"/>
      <c r="O5" s="33"/>
    </row>
    <row r="6" spans="1:38" x14ac:dyDescent="0.35">
      <c r="AD6" t="str">
        <f ca="1">AK8</f>
        <v>Airbus Defence and Space (Toulouse)</v>
      </c>
    </row>
    <row r="7" spans="1:38" x14ac:dyDescent="0.35">
      <c r="C7" s="5" t="s">
        <v>94</v>
      </c>
      <c r="D7" s="5" t="str">
        <f>INDEX(_xlfn.ANCHORARRAY(C13),MATCH($I$9,$I$13:$I$39,0))</f>
        <v>Airbus Defence and Space (Toulouse)</v>
      </c>
      <c r="E7" s="5"/>
      <c r="J7" s="51" t="str">
        <f>INDEX(_xlfn.ANCHORARRAY(C13),MATCH($J9,$J$13:$J$38,0))</f>
        <v>Airbus Defence and Space (Toulouse)</v>
      </c>
      <c r="Q7" s="51" t="str">
        <f>INDEX(_xlfn.ANCHORARRAY(C13),MATCH($Q9,$Q$13:$Q$38,0))</f>
        <v>Airbus Defence and Space (Toulouse)</v>
      </c>
      <c r="AD7" s="33">
        <f ca="1">INDEX(OFFSET(AD13,,,ROWS(_xlfn.ANCHORARRAY($C$13))),MATCH(AD6,_xlfn.ANCHORARRAY(C13),0))</f>
        <v>0</v>
      </c>
    </row>
    <row r="8" spans="1:38" x14ac:dyDescent="0.35">
      <c r="D8" s="11" t="s">
        <v>89</v>
      </c>
      <c r="E8" s="11" t="s">
        <v>396</v>
      </c>
      <c r="F8" s="11" t="s">
        <v>174</v>
      </c>
      <c r="G8" s="11" t="s">
        <v>91</v>
      </c>
      <c r="H8" s="11" t="s">
        <v>68</v>
      </c>
      <c r="I8" s="11" t="s">
        <v>90</v>
      </c>
      <c r="J8" s="11" t="s">
        <v>89</v>
      </c>
      <c r="K8" s="11" t="s">
        <v>174</v>
      </c>
      <c r="L8" s="11" t="s">
        <v>91</v>
      </c>
      <c r="M8" s="11" t="s">
        <v>68</v>
      </c>
      <c r="N8" s="11"/>
      <c r="O8" s="11"/>
      <c r="P8" s="11" t="s">
        <v>90</v>
      </c>
      <c r="Q8" s="11" t="s">
        <v>89</v>
      </c>
      <c r="R8" s="11" t="s">
        <v>174</v>
      </c>
      <c r="S8" s="11" t="s">
        <v>91</v>
      </c>
      <c r="T8" s="11" t="s">
        <v>68</v>
      </c>
      <c r="U8" s="11"/>
      <c r="V8" s="11"/>
      <c r="W8" s="11" t="s">
        <v>90</v>
      </c>
      <c r="X8" s="11" t="s">
        <v>89</v>
      </c>
      <c r="Y8" s="11" t="s">
        <v>174</v>
      </c>
      <c r="Z8" s="11" t="s">
        <v>91</v>
      </c>
      <c r="AA8" s="11" t="s">
        <v>68</v>
      </c>
      <c r="AB8" s="11"/>
      <c r="AC8" s="11"/>
      <c r="AD8" s="11" t="s">
        <v>90</v>
      </c>
      <c r="AE8" s="11"/>
      <c r="AI8" s="51" t="str">
        <f ca="1">INDEX(_xlfn.ANCHORARRAY($C$13),MATCH($AI9,$AI$13:$AI$38,0))</f>
        <v>Airbus Defence and Space (Toulouse)</v>
      </c>
      <c r="AJ8" s="5" t="str">
        <f ca="1">INDEX(_xlfn.ANCHORARRAY($C$13),MATCH($AK9,OFFSET($AK$13,,,ROWS(_xlfn.ANCHORARRAY($C$13))),0))</f>
        <v>Airbus Defence and Space (Toulouse)</v>
      </c>
      <c r="AK8" s="5" t="str">
        <f ca="1">INDEX(_xlfn.ANCHORARRAY($C$13),MATCH($AK9,OFFSET($AK$13,,,ROWS(_xlfn.ANCHORARRAY($C$13))),0))</f>
        <v>Airbus Defence and Space (Toulouse)</v>
      </c>
    </row>
    <row r="9" spans="1:38" x14ac:dyDescent="0.35">
      <c r="B9" s="3"/>
      <c r="C9" s="15" t="s">
        <v>93</v>
      </c>
      <c r="D9" s="50">
        <f>INDEX(D$13:D$39,MATCH($I9,$I$13:$I$39,0))</f>
        <v>267843601.85336688</v>
      </c>
      <c r="E9" s="50">
        <f>INDEX(E$13:E$39,MATCH($I9,$I$13:$I$39,0))</f>
        <v>9017945.4675303157</v>
      </c>
      <c r="F9" s="50">
        <f>INDEX(F$13:F$39,MATCH($I9,$I$13:$I$39,0))</f>
        <v>53568720.370673373</v>
      </c>
      <c r="G9" s="50">
        <f>INDEX(G$13:G$39,MATCH($I9,$I$13:$I$39,0))</f>
        <v>0</v>
      </c>
      <c r="H9" s="50">
        <f>INDEX(H$13:H$39,MATCH($I9,$I$13:$I$39,0))</f>
        <v>0</v>
      </c>
      <c r="I9" s="50">
        <f>MAX(I13:I39)</f>
        <v>214274881.48269349</v>
      </c>
      <c r="J9" s="50">
        <f>INDEX(J$13:J$39,MATCH($N9,$N$13:$N$39,0))</f>
        <v>122607729.29155537</v>
      </c>
      <c r="K9" s="50">
        <f>INDEX(K$13:K$39,MATCH($N9,$N$13:$N$39,0))</f>
        <v>24521545.858311068</v>
      </c>
      <c r="L9" s="50">
        <f>INDEX(L$13:L$39,MATCH($P9,$P$13:$P$39,0))</f>
        <v>0</v>
      </c>
      <c r="M9" s="50">
        <f>INDEX(M$13:M$39,MATCH($N9,$N$13:$N$39,0))</f>
        <v>49043091.716622137</v>
      </c>
      <c r="N9" s="50">
        <f>MAX(N13:N39)</f>
        <v>49043091.716622166</v>
      </c>
      <c r="O9" s="50"/>
      <c r="P9" s="50">
        <f>MAX(P13:P39)</f>
        <v>49043091.716622166</v>
      </c>
      <c r="Q9" s="50">
        <f>INDEX(Q$13:Q$39,MATCH($U9,$U$13:$U$39,0))</f>
        <v>145235872.56181151</v>
      </c>
      <c r="R9" s="50">
        <f>INDEX(R$13:R$39,MATCH($U9,$U$13:$U$39,0))</f>
        <v>29047174.512362301</v>
      </c>
      <c r="S9" s="50">
        <f>INDEX(S$13:S$39,MATCH($U9,$U$13:$U$39,0))</f>
        <v>0</v>
      </c>
      <c r="T9" s="50">
        <f>INDEX(T$13:T$39,MATCH($U9,$U$13:$U$39,0))</f>
        <v>98760393.342031777</v>
      </c>
      <c r="U9" s="50">
        <f>MAX(U13:U39)</f>
        <v>17428304.707417428</v>
      </c>
      <c r="V9" s="50"/>
      <c r="W9" s="50">
        <f>MAX(W13:W39)</f>
        <v>7500000</v>
      </c>
      <c r="X9" s="50">
        <f>INDEX(X$13:X$39,MATCH($U9,$U$13:$U$39,0))</f>
        <v>0</v>
      </c>
      <c r="Y9" s="50">
        <f>INDEX(Y$13:Y$39,MATCH($U9,$U$13:$U$39,0))</f>
        <v>0</v>
      </c>
      <c r="Z9" s="50">
        <f>INDEX(Z$13:Z$39,MATCH($U9,$U$13:$U$39,0))</f>
        <v>0</v>
      </c>
      <c r="AA9" s="50">
        <f>INDEX(AA$13:AA$39,MATCH($U9,$U$13:$U$39,0))</f>
        <v>0</v>
      </c>
      <c r="AB9" s="50">
        <f>MAX(AB13:AB39)</f>
        <v>7999939.1999999993</v>
      </c>
      <c r="AC9" s="50"/>
      <c r="AD9" s="50">
        <f>MAX(AD13:AD39)</f>
        <v>7999939.1999999993</v>
      </c>
      <c r="AE9" s="51"/>
      <c r="AI9" s="4">
        <f t="shared" ref="AI9:AK9" ca="1" si="0">MAX(OFFSET(AI13,,,ROWS(_xlfn.ANCHORARRAY($C$13))))</f>
        <v>157731789.76607135</v>
      </c>
      <c r="AJ9" s="4">
        <f t="shared" ca="1" si="0"/>
        <v>17720841.248467002</v>
      </c>
      <c r="AK9" s="4">
        <f t="shared" ca="1" si="0"/>
        <v>175452631.01453835</v>
      </c>
    </row>
    <row r="10" spans="1:38" x14ac:dyDescent="0.35">
      <c r="D10" s="460" t="s">
        <v>32</v>
      </c>
      <c r="E10" s="460"/>
      <c r="F10" s="460"/>
      <c r="G10" s="460"/>
      <c r="H10" s="460"/>
      <c r="I10" s="460"/>
      <c r="J10" s="460" t="s">
        <v>29</v>
      </c>
      <c r="K10" s="460"/>
      <c r="L10" s="460"/>
      <c r="M10" s="460"/>
      <c r="N10" s="460"/>
      <c r="O10" s="460"/>
      <c r="P10" s="460"/>
      <c r="Q10" s="460" t="s">
        <v>31</v>
      </c>
      <c r="R10" s="460"/>
      <c r="S10" s="460"/>
      <c r="T10" s="460"/>
      <c r="U10" s="460"/>
      <c r="V10" s="460"/>
      <c r="W10" s="460"/>
      <c r="X10" s="460" t="s">
        <v>33</v>
      </c>
      <c r="Y10" s="460"/>
      <c r="Z10" s="460"/>
      <c r="AA10" s="460"/>
      <c r="AB10" s="460"/>
      <c r="AC10" s="460"/>
      <c r="AD10" s="460"/>
      <c r="AE10" s="11"/>
      <c r="AI10" s="12" t="s">
        <v>34</v>
      </c>
      <c r="AJ10" s="12" t="s">
        <v>638</v>
      </c>
      <c r="AK10" s="12" t="s">
        <v>622</v>
      </c>
    </row>
    <row r="11" spans="1:38" x14ac:dyDescent="0.35">
      <c r="H11" s="339" t="s">
        <v>596</v>
      </c>
      <c r="M11" s="4"/>
      <c r="O11" s="4"/>
      <c r="T11" s="4"/>
      <c r="V11" s="4"/>
    </row>
    <row r="12" spans="1:38" x14ac:dyDescent="0.35">
      <c r="C12" s="5" t="s">
        <v>8</v>
      </c>
      <c r="D12" s="11" t="s">
        <v>89</v>
      </c>
      <c r="E12" s="11" t="s">
        <v>396</v>
      </c>
      <c r="F12" s="11" t="s">
        <v>174</v>
      </c>
      <c r="G12" s="11" t="s">
        <v>91</v>
      </c>
      <c r="H12" s="11" t="s">
        <v>68</v>
      </c>
      <c r="I12" s="11" t="s">
        <v>90</v>
      </c>
      <c r="J12" s="11" t="s">
        <v>89</v>
      </c>
      <c r="K12" s="11" t="s">
        <v>174</v>
      </c>
      <c r="L12" s="11" t="s">
        <v>91</v>
      </c>
      <c r="M12" s="11" t="s">
        <v>217</v>
      </c>
      <c r="N12" s="11" t="s">
        <v>219</v>
      </c>
      <c r="O12" s="11" t="s">
        <v>218</v>
      </c>
      <c r="P12" s="11" t="s">
        <v>220</v>
      </c>
      <c r="Q12" s="11" t="s">
        <v>89</v>
      </c>
      <c r="R12" s="11" t="s">
        <v>174</v>
      </c>
      <c r="S12" s="11" t="s">
        <v>91</v>
      </c>
      <c r="T12" s="11" t="s">
        <v>217</v>
      </c>
      <c r="U12" s="11" t="s">
        <v>219</v>
      </c>
      <c r="V12" s="11" t="s">
        <v>218</v>
      </c>
      <c r="W12" s="11" t="s">
        <v>220</v>
      </c>
      <c r="X12" s="11" t="s">
        <v>89</v>
      </c>
      <c r="Y12" s="11" t="s">
        <v>174</v>
      </c>
      <c r="Z12" s="11" t="s">
        <v>91</v>
      </c>
      <c r="AA12" s="11" t="s">
        <v>217</v>
      </c>
      <c r="AB12" s="11" t="s">
        <v>219</v>
      </c>
      <c r="AC12" s="11" t="s">
        <v>218</v>
      </c>
      <c r="AD12" s="11" t="s">
        <v>220</v>
      </c>
      <c r="AE12" s="11"/>
    </row>
    <row r="13" spans="1:38" x14ac:dyDescent="0.35">
      <c r="A13" s="4"/>
      <c r="B13" s="33"/>
      <c r="C13" t="str" cm="1">
        <f t="array" ref="C13:C40">_xlfn.UNIQUE(_xlfn._xlws.FILTER('Input Data'!N20:N745, 'Input Data'!N20:N745 &lt;&gt; 0))</f>
        <v>Astrium Satellites SAS (Toulouse) (Part of EADS)</v>
      </c>
      <c r="D13" s="47">
        <f>+SUMIFS('Input Data'!$AK:$AK,'Input Data'!$N:$N,$C13)</f>
        <v>62315866.992417961</v>
      </c>
      <c r="E13" s="49">
        <f>+SUMIFS('Input Data'!$AH:$AH,'Input Data'!$N:$N,$C13)</f>
        <v>1947370.8435130613</v>
      </c>
      <c r="F13" s="49">
        <f>+SUMIFS('Input Data'!$AY:$AY,'Input Data'!$N:$N,$C13)</f>
        <v>12463173.398483593</v>
      </c>
      <c r="G13" s="49">
        <f>+SUMIFS('Input Data'!AO:AO,'Input Data'!$N:$N,$C13)</f>
        <v>0</v>
      </c>
      <c r="H13" s="49">
        <v>0</v>
      </c>
      <c r="I13" s="190">
        <f>+SUMIFS('Input Data'!$BF:$BF,'Input Data'!$N:$N,$C13)</f>
        <v>49852693.593934372</v>
      </c>
      <c r="J13" s="47">
        <f>+SUMIFS('Input Data'!$AK:$AK,'Input Data'!$N:$N,$C13,'Input Data'!$V:$V,"FUL")</f>
        <v>35832368.070597887</v>
      </c>
      <c r="K13" s="49">
        <f>+SUMIFS('Input Data'!$AY:$AY,'Input Data'!$N:$N,$C13,'Input Data'!$V:$V,"FUL")</f>
        <v>7166473.6141195791</v>
      </c>
      <c r="L13" s="49">
        <f>+SUMIFS('Input Data'!$AO:$AO,'Input Data'!$N:$N,$C13,'Input Data'!$V:$V,"FUL")</f>
        <v>0</v>
      </c>
      <c r="M13" s="49">
        <f>+SUMIFS('Input Data'!$BH:$BH,'Input Data'!$N:$N,$C13,'Input Data'!$V:$V,"FUL")</f>
        <v>14332947.228239156</v>
      </c>
      <c r="N13" s="49">
        <f>J13-K13-L13-M13</f>
        <v>14332947.228239153</v>
      </c>
      <c r="O13" s="49">
        <f t="shared" ref="O13:O38" si="1">IF(N13&gt;FUL_Deductible,MIN(N13-FUL_Deductible,FUL_Limit),0)</f>
        <v>0</v>
      </c>
      <c r="P13" s="190">
        <f>J13-K13-L13-M13-O13</f>
        <v>14332947.228239153</v>
      </c>
      <c r="Q13" s="47">
        <f>+SUMIFS('Input Data'!$AK:$AK,'Input Data'!$N:$N,$C13,'Input Data'!$V:$V,"FIID")</f>
        <v>26483498.921820067</v>
      </c>
      <c r="R13" s="49">
        <f>+SUMIFS('Input Data'!$AY:$AY,'Input Data'!$N:$N,$C13,'Input Data'!$V:$V,"FIID")</f>
        <v>5296699.7843640139</v>
      </c>
      <c r="S13" s="49">
        <f>+SUMIFS('Input Data'!$AO:$AO,'Input Data'!$N:$N,$C13,'Input Data'!$V:$V,"FIID")</f>
        <v>0</v>
      </c>
      <c r="T13" s="49">
        <f>+SUMIFS('Input Data'!$BH:$BH,'Input Data'!$N:$N,$C13,'Input Data'!$V:$V,"FIID")</f>
        <v>18008779.266837645</v>
      </c>
      <c r="U13" s="49">
        <f>Q13-R13-S13-T13</f>
        <v>3178019.8706184067</v>
      </c>
      <c r="V13" s="49">
        <f>IF(U13&gt;FIID_Deductible,MIN(U13-FIID_Deductible,FIID_Limit),0)</f>
        <v>0</v>
      </c>
      <c r="W13" s="190">
        <f>Q13-R13-S13-T13-V13</f>
        <v>3178019.8706184067</v>
      </c>
      <c r="X13" s="47">
        <f>+SUMIFS('Input Data'!$AK:$AK,'Input Data'!$N:$N,$C13,'Input Data'!$V:$V,"FIBL")</f>
        <v>0</v>
      </c>
      <c r="Y13" s="49">
        <f>+SUMIFS('Input Data'!$AY:$AY,'Input Data'!$N:$N,$C13,'Input Data'!$V:$V,"FIBL")</f>
        <v>0</v>
      </c>
      <c r="Z13" s="49">
        <f>+SUMIFS('Input Data'!$AO:$AO,'Input Data'!$N:$N,$C13,'Input Data'!$V:$V,"FIID")</f>
        <v>0</v>
      </c>
      <c r="AA13" s="49">
        <v>0</v>
      </c>
      <c r="AB13" s="49">
        <f>X13-Y13-Z13-AA13</f>
        <v>0</v>
      </c>
      <c r="AC13" s="49">
        <v>0</v>
      </c>
      <c r="AD13" s="190">
        <f>X13-Y13-Z13-AA13-AC13</f>
        <v>0</v>
      </c>
      <c r="AE13" s="21"/>
      <c r="AF13" s="6"/>
      <c r="AG13" s="6"/>
      <c r="AH13" s="6"/>
      <c r="AI13" s="46">
        <f t="shared" ref="AI13:AI40" si="2">M13+O13+T13+V13</f>
        <v>32341726.495076802</v>
      </c>
      <c r="AJ13" s="46">
        <f>+SUMIFS('Input Data'!$BE:$BE,'Input Data'!$N:$N,$C13)</f>
        <v>5192988.9160348307</v>
      </c>
      <c r="AK13" s="46">
        <f t="shared" ref="AK13:AK40" si="3">AI13+AD13+AJ13</f>
        <v>37534715.41111163</v>
      </c>
      <c r="AL13" s="4"/>
    </row>
    <row r="14" spans="1:38" x14ac:dyDescent="0.35">
      <c r="A14" s="4"/>
      <c r="B14" s="33"/>
      <c r="C14" t="str">
        <v>Airbus Defence and Space (Toulouse)</v>
      </c>
      <c r="D14" s="48">
        <f>+SUMIFS('Input Data'!$AK:$AK,'Input Data'!$N:$N,$C14)</f>
        <v>267843601.85336688</v>
      </c>
      <c r="E14" s="21">
        <f>+SUMIFS('Input Data'!$AH:$AH,'Input Data'!$N:$N,$C14)</f>
        <v>9017945.4675303157</v>
      </c>
      <c r="F14" s="21">
        <f>+SUMIFS('Input Data'!$AY:$AY,'Input Data'!$N:$N,$C14)</f>
        <v>53568720.370673373</v>
      </c>
      <c r="G14" s="21">
        <f>+SUMIFS('Input Data'!AO:AO,'Input Data'!$N:$N,$C14)</f>
        <v>0</v>
      </c>
      <c r="H14" s="21">
        <v>0</v>
      </c>
      <c r="I14" s="191">
        <f>+SUMIFS('Input Data'!$BF:$BF,'Input Data'!$N:$N,$C14)</f>
        <v>214274881.48269349</v>
      </c>
      <c r="J14" s="48">
        <f>+SUMIFS('Input Data'!$AK:$AK,'Input Data'!$N:$N,$C14,'Input Data'!$V:$V,"FUL")</f>
        <v>122607729.29155537</v>
      </c>
      <c r="K14" s="21">
        <f>+SUMIFS('Input Data'!$AY:$AY,'Input Data'!$N:$N,$C14,'Input Data'!$V:$V,"FUL")</f>
        <v>24521545.858311068</v>
      </c>
      <c r="L14" s="21">
        <f>+SUMIFS('Input Data'!$AO:$AO,'Input Data'!$N:$N,$C14,'Input Data'!$V:$V,"FUL")</f>
        <v>0</v>
      </c>
      <c r="M14" s="431">
        <f>+SUMIFS('Input Data'!$BH:$BH,'Input Data'!$N:$N,$C14,'Input Data'!$V:$V,"FUL")</f>
        <v>49043091.716622137</v>
      </c>
      <c r="N14" s="21">
        <f t="shared" ref="N14:N38" si="4">J14-K14-L14-M14</f>
        <v>49043091.716622166</v>
      </c>
      <c r="O14" s="431">
        <f t="shared" si="1"/>
        <v>0</v>
      </c>
      <c r="P14" s="191">
        <f t="shared" ref="P14:P38" si="5">J14-K14-L14-M14-O14</f>
        <v>49043091.716622166</v>
      </c>
      <c r="Q14" s="48">
        <f>+SUMIFS('Input Data'!$AK:$AK,'Input Data'!$N:$N,$C14,'Input Data'!$V:$V,"FIID")</f>
        <v>145235872.56181151</v>
      </c>
      <c r="R14" s="21">
        <f>+SUMIFS('Input Data'!$AY:$AY,'Input Data'!$N:$N,$C14,'Input Data'!$V:$V,"FIID")</f>
        <v>29047174.512362301</v>
      </c>
      <c r="S14" s="21">
        <f>+SUMIFS('Input Data'!$AO:$AO,'Input Data'!$N:$N,$C14,'Input Data'!$V:$V,"FIID")</f>
        <v>0</v>
      </c>
      <c r="T14" s="431">
        <f>+SUMIFS('Input Data'!$BH:$BH,'Input Data'!$N:$N,$C14,'Input Data'!$V:$V,"FIID")</f>
        <v>98760393.342031777</v>
      </c>
      <c r="U14" s="21">
        <f t="shared" ref="U14:U38" si="6">Q14-R14-S14-T14</f>
        <v>17428304.707417428</v>
      </c>
      <c r="V14" s="431">
        <f t="shared" ref="V14:V38" si="7">IF(U14&gt;FIID_Deductible,MIN(U14-FIID_Deductible,FIID_Limit),0)</f>
        <v>9928304.7074174285</v>
      </c>
      <c r="W14" s="191">
        <f t="shared" ref="W14:W38" si="8">Q14-R14-S14-T14-V14</f>
        <v>7500000</v>
      </c>
      <c r="X14" s="48">
        <f>+SUMIFS('Input Data'!$AK:$AK,'Input Data'!$N:$N,$C14,'Input Data'!$V:$V,"FIBL")</f>
        <v>0</v>
      </c>
      <c r="Y14" s="21">
        <f>+SUMIFS('Input Data'!$AY:$AY,'Input Data'!$N:$N,$C14,'Input Data'!$V:$V,"FIBL")</f>
        <v>0</v>
      </c>
      <c r="Z14" s="21">
        <f>+SUMIFS('Input Data'!$AO:$AO,'Input Data'!$N:$N,$C14,'Input Data'!$V:$V,"FIID")</f>
        <v>0</v>
      </c>
      <c r="AA14" s="21">
        <v>0</v>
      </c>
      <c r="AB14" s="21">
        <f t="shared" ref="AB14:AB40" si="9">X14-Y14-Z14-AA14</f>
        <v>0</v>
      </c>
      <c r="AC14" s="21">
        <v>0</v>
      </c>
      <c r="AD14" s="191">
        <f t="shared" ref="AD14:AD40" si="10">X14-Y14-Z14-AA14-AC14</f>
        <v>0</v>
      </c>
      <c r="AE14" s="21"/>
      <c r="AF14" s="6"/>
      <c r="AG14" s="6">
        <f>36.4-25.6</f>
        <v>10.799999999999997</v>
      </c>
      <c r="AH14" s="6"/>
      <c r="AI14" s="46">
        <f>M14+O14+T14+V14</f>
        <v>157731789.76607135</v>
      </c>
      <c r="AJ14" s="46">
        <f>+SUMIFS('Input Data'!$BE:$BE,'Input Data'!$N:$N,$C14)</f>
        <v>17720841.248467002</v>
      </c>
      <c r="AK14" s="46">
        <f t="shared" si="3"/>
        <v>175452631.01453835</v>
      </c>
      <c r="AL14" s="4"/>
    </row>
    <row r="15" spans="1:38" x14ac:dyDescent="0.35">
      <c r="A15" s="4"/>
      <c r="B15" s="33"/>
      <c r="C15" t="str">
        <v>Lockheed Martin Commercial Space Systems</v>
      </c>
      <c r="D15" s="48">
        <f>+SUMIFS('Input Data'!$AK:$AK,'Input Data'!$N:$N,$C15)</f>
        <v>36786707.201652616</v>
      </c>
      <c r="E15" s="21">
        <f>+SUMIFS('Input Data'!$AH:$AH,'Input Data'!$N:$N,$C15)</f>
        <v>1288700.9582466013</v>
      </c>
      <c r="F15" s="21">
        <f>+SUMIFS('Input Data'!$AY:$AY,'Input Data'!$N:$N,$C15)</f>
        <v>7357341.440330524</v>
      </c>
      <c r="G15" s="21">
        <f>+SUMIFS('Input Data'!AO:AO,'Input Data'!$N:$N,$C15)</f>
        <v>0</v>
      </c>
      <c r="H15" s="21">
        <v>0</v>
      </c>
      <c r="I15" s="191">
        <f>+SUMIFS('Input Data'!$BF:$BF,'Input Data'!$N:$N,$C15)</f>
        <v>29429365.761322096</v>
      </c>
      <c r="J15" s="48">
        <f>+SUMIFS('Input Data'!$AK:$AK,'Input Data'!$N:$N,$C15,'Input Data'!$V:$V,"FUL")</f>
        <v>36786707.201652616</v>
      </c>
      <c r="K15" s="21">
        <f>+SUMIFS('Input Data'!$AY:$AY,'Input Data'!$N:$N,$C15,'Input Data'!$V:$V,"FUL")</f>
        <v>7357341.440330524</v>
      </c>
      <c r="L15" s="21">
        <f>+SUMIFS('Input Data'!$AO:$AO,'Input Data'!$N:$N,$C15,'Input Data'!$V:$V,"FUL")</f>
        <v>0</v>
      </c>
      <c r="M15" s="21">
        <f>+SUMIFS('Input Data'!$BH:$BH,'Input Data'!$N:$N,$C15,'Input Data'!$V:$V,"FUL")</f>
        <v>14714682.880661048</v>
      </c>
      <c r="N15" s="21">
        <f t="shared" si="4"/>
        <v>14714682.880661044</v>
      </c>
      <c r="O15" s="21">
        <f t="shared" si="1"/>
        <v>0</v>
      </c>
      <c r="P15" s="191">
        <f t="shared" si="5"/>
        <v>14714682.880661044</v>
      </c>
      <c r="Q15" s="48">
        <f>+SUMIFS('Input Data'!$AK:$AK,'Input Data'!$N:$N,$C15,'Input Data'!$V:$V,"FIID")</f>
        <v>0</v>
      </c>
      <c r="R15" s="21">
        <f>+SUMIFS('Input Data'!$AY:$AY,'Input Data'!$N:$N,$C15,'Input Data'!$V:$V,"FIID")</f>
        <v>0</v>
      </c>
      <c r="S15" s="21">
        <f>+SUMIFS('Input Data'!$AO:$AO,'Input Data'!$N:$N,$C15,'Input Data'!$V:$V,"FIID")</f>
        <v>0</v>
      </c>
      <c r="T15" s="21">
        <f>+SUMIFS('Input Data'!$BH:$BH,'Input Data'!$N:$N,$C15,'Input Data'!$V:$V,"FIID")</f>
        <v>0</v>
      </c>
      <c r="U15" s="21">
        <f t="shared" si="6"/>
        <v>0</v>
      </c>
      <c r="V15" s="21">
        <f t="shared" si="7"/>
        <v>0</v>
      </c>
      <c r="W15" s="191">
        <f t="shared" si="8"/>
        <v>0</v>
      </c>
      <c r="X15" s="48">
        <f>+SUMIFS('Input Data'!$AK:$AK,'Input Data'!$N:$N,$C15,'Input Data'!$V:$V,"FIBL")</f>
        <v>0</v>
      </c>
      <c r="Y15" s="21">
        <f>+SUMIFS('Input Data'!$AY:$AY,'Input Data'!$N:$N,$C15,'Input Data'!$V:$V,"FIBL")</f>
        <v>0</v>
      </c>
      <c r="Z15" s="21">
        <f>+SUMIFS('Input Data'!$AO:$AO,'Input Data'!$N:$N,$C15,'Input Data'!$V:$V,"FIID")</f>
        <v>0</v>
      </c>
      <c r="AA15" s="21">
        <v>0</v>
      </c>
      <c r="AB15" s="21">
        <f t="shared" si="9"/>
        <v>0</v>
      </c>
      <c r="AC15" s="21">
        <v>0</v>
      </c>
      <c r="AD15" s="191">
        <f t="shared" si="10"/>
        <v>0</v>
      </c>
      <c r="AE15" s="21"/>
      <c r="AF15" s="6"/>
      <c r="AG15" s="6"/>
      <c r="AH15" s="6"/>
      <c r="AI15" s="46">
        <f t="shared" si="2"/>
        <v>14714682.880661048</v>
      </c>
      <c r="AJ15" s="46">
        <f>+SUMIFS('Input Data'!$BE:$BE,'Input Data'!$N:$N,$C15)</f>
        <v>3436535.8886576034</v>
      </c>
      <c r="AK15" s="46">
        <f t="shared" si="3"/>
        <v>18151218.769318651</v>
      </c>
      <c r="AL15" s="4"/>
    </row>
    <row r="16" spans="1:38" x14ac:dyDescent="0.35">
      <c r="A16" s="4"/>
      <c r="B16" s="33"/>
      <c r="C16" t="str">
        <v>Airbus Defence and Space</v>
      </c>
      <c r="D16" s="48">
        <f>+SUMIFS('Input Data'!$AK:$AK,'Input Data'!$N:$N,$C16)</f>
        <v>19814782.423728701</v>
      </c>
      <c r="E16" s="21">
        <f>+SUMIFS('Input Data'!$AH:$AH,'Input Data'!$N:$N,$C16)</f>
        <v>619211.9507415219</v>
      </c>
      <c r="F16" s="21">
        <f>+SUMIFS('Input Data'!$AY:$AY,'Input Data'!$N:$N,$C16)</f>
        <v>3962956.4847457404</v>
      </c>
      <c r="G16" s="21">
        <f>+SUMIFS('Input Data'!AO:AO,'Input Data'!$N:$N,$C16)</f>
        <v>0</v>
      </c>
      <c r="H16" s="21">
        <v>0</v>
      </c>
      <c r="I16" s="191">
        <f>+SUMIFS('Input Data'!$BF:$BF,'Input Data'!$N:$N,$C16)</f>
        <v>15851825.93898296</v>
      </c>
      <c r="J16" s="48">
        <f>+SUMIFS('Input Data'!$AK:$AK,'Input Data'!$N:$N,$C16,'Input Data'!$V:$V,"FUL")</f>
        <v>0</v>
      </c>
      <c r="K16" s="21">
        <f>+SUMIFS('Input Data'!$AY:$AY,'Input Data'!$N:$N,$C16,'Input Data'!$V:$V,"FUL")</f>
        <v>0</v>
      </c>
      <c r="L16" s="21">
        <f>+SUMIFS('Input Data'!$AO:$AO,'Input Data'!$N:$N,$C16,'Input Data'!$V:$V,"FUL")</f>
        <v>0</v>
      </c>
      <c r="M16" s="21">
        <f>+SUMIFS('Input Data'!$BH:$BH,'Input Data'!$N:$N,$C16,'Input Data'!$V:$V,"FUL")</f>
        <v>0</v>
      </c>
      <c r="N16" s="21">
        <f t="shared" si="4"/>
        <v>0</v>
      </c>
      <c r="O16" s="21">
        <f t="shared" si="1"/>
        <v>0</v>
      </c>
      <c r="P16" s="191">
        <f t="shared" si="5"/>
        <v>0</v>
      </c>
      <c r="Q16" s="48">
        <f>+SUMIFS('Input Data'!$AK:$AK,'Input Data'!$N:$N,$C16,'Input Data'!$V:$V,"FIID")</f>
        <v>19814782.423728701</v>
      </c>
      <c r="R16" s="21">
        <f>+SUMIFS('Input Data'!$AY:$AY,'Input Data'!$N:$N,$C16,'Input Data'!$V:$V,"FIID")</f>
        <v>3962956.4847457404</v>
      </c>
      <c r="S16" s="21">
        <f>+SUMIFS('Input Data'!$AO:$AO,'Input Data'!$N:$N,$C16,'Input Data'!$V:$V,"FIID")</f>
        <v>0</v>
      </c>
      <c r="T16" s="21">
        <f>+SUMIFS('Input Data'!$BH:$BH,'Input Data'!$N:$N,$C16,'Input Data'!$V:$V,"FIID")</f>
        <v>13474052.048135515</v>
      </c>
      <c r="U16" s="21">
        <f t="shared" si="6"/>
        <v>2377773.8908474445</v>
      </c>
      <c r="V16" s="21">
        <f t="shared" si="7"/>
        <v>0</v>
      </c>
      <c r="W16" s="191">
        <f t="shared" si="8"/>
        <v>2377773.8908474445</v>
      </c>
      <c r="X16" s="48">
        <f>+SUMIFS('Input Data'!$AK:$AK,'Input Data'!$N:$N,$C16,'Input Data'!$V:$V,"FIBL")</f>
        <v>0</v>
      </c>
      <c r="Y16" s="21">
        <f>+SUMIFS('Input Data'!$AY:$AY,'Input Data'!$N:$N,$C16,'Input Data'!$V:$V,"FIBL")</f>
        <v>0</v>
      </c>
      <c r="Z16" s="21">
        <f>+SUMIFS('Input Data'!$AO:$AO,'Input Data'!$N:$N,$C16,'Input Data'!$V:$V,"FIID")</f>
        <v>0</v>
      </c>
      <c r="AA16" s="21">
        <v>0</v>
      </c>
      <c r="AB16" s="21">
        <f t="shared" si="9"/>
        <v>0</v>
      </c>
      <c r="AC16" s="21">
        <v>0</v>
      </c>
      <c r="AD16" s="191">
        <f t="shared" si="10"/>
        <v>0</v>
      </c>
      <c r="AE16" s="21"/>
      <c r="AF16" s="6"/>
      <c r="AG16" s="6"/>
      <c r="AH16" s="6"/>
      <c r="AI16" s="46">
        <f t="shared" si="2"/>
        <v>13474052.048135515</v>
      </c>
      <c r="AJ16" s="46">
        <f>+SUMIFS('Input Data'!$BE:$BE,'Input Data'!$N:$N,$C16)</f>
        <v>1651231.8686440585</v>
      </c>
      <c r="AK16" s="46">
        <f t="shared" si="3"/>
        <v>15125283.916779574</v>
      </c>
      <c r="AL16" s="4"/>
    </row>
    <row r="17" spans="1:38" x14ac:dyDescent="0.35">
      <c r="A17" s="4"/>
      <c r="B17" s="33"/>
      <c r="C17" t="str">
        <v>Alcatel Alenia Space (Cannes)</v>
      </c>
      <c r="D17" s="48">
        <f>+SUMIFS('Input Data'!$AK:$AK,'Input Data'!$N:$N,$C17)</f>
        <v>3567555.5732371002</v>
      </c>
      <c r="E17" s="21">
        <f>+SUMIFS('Input Data'!$AH:$AH,'Input Data'!$N:$N,$C17)</f>
        <v>111486.11166365938</v>
      </c>
      <c r="F17" s="21">
        <f>+SUMIFS('Input Data'!$AY:$AY,'Input Data'!$N:$N,$C17)</f>
        <v>713511.11464742012</v>
      </c>
      <c r="G17" s="21">
        <f>+SUMIFS('Input Data'!AO:AO,'Input Data'!$N:$N,$C17)</f>
        <v>0</v>
      </c>
      <c r="H17" s="21">
        <v>0</v>
      </c>
      <c r="I17" s="191">
        <f>+SUMIFS('Input Data'!$BF:$BF,'Input Data'!$N:$N,$C17)</f>
        <v>2854044.45858968</v>
      </c>
      <c r="J17" s="48">
        <f>+SUMIFS('Input Data'!$AK:$AK,'Input Data'!$N:$N,$C17,'Input Data'!$V:$V,"FUL")</f>
        <v>0</v>
      </c>
      <c r="K17" s="21">
        <f>+SUMIFS('Input Data'!$AY:$AY,'Input Data'!$N:$N,$C17,'Input Data'!$V:$V,"FUL")</f>
        <v>0</v>
      </c>
      <c r="L17" s="21">
        <f>+SUMIFS('Input Data'!$AO:$AO,'Input Data'!$N:$N,$C17,'Input Data'!$V:$V,"FUL")</f>
        <v>0</v>
      </c>
      <c r="M17" s="21">
        <f>+SUMIFS('Input Data'!$BH:$BH,'Input Data'!$N:$N,$C17,'Input Data'!$V:$V,"FUL")</f>
        <v>0</v>
      </c>
      <c r="N17" s="21">
        <f t="shared" si="4"/>
        <v>0</v>
      </c>
      <c r="O17" s="21">
        <f t="shared" si="1"/>
        <v>0</v>
      </c>
      <c r="P17" s="191">
        <f t="shared" si="5"/>
        <v>0</v>
      </c>
      <c r="Q17" s="48">
        <f>+SUMIFS('Input Data'!$AK:$AK,'Input Data'!$N:$N,$C17,'Input Data'!$V:$V,"FIID")</f>
        <v>3567555.5732371002</v>
      </c>
      <c r="R17" s="21">
        <f>+SUMIFS('Input Data'!$AY:$AY,'Input Data'!$N:$N,$C17,'Input Data'!$V:$V,"FIID")</f>
        <v>713511.11464742012</v>
      </c>
      <c r="S17" s="21">
        <f>+SUMIFS('Input Data'!$AO:$AO,'Input Data'!$N:$N,$C17,'Input Data'!$V:$V,"FIID")</f>
        <v>0</v>
      </c>
      <c r="T17" s="21">
        <f>+SUMIFS('Input Data'!$BH:$BH,'Input Data'!$N:$N,$C17,'Input Data'!$V:$V,"FIID")</f>
        <v>2425937.7898012279</v>
      </c>
      <c r="U17" s="21">
        <f t="shared" si="6"/>
        <v>428106.66878845217</v>
      </c>
      <c r="V17" s="21">
        <f t="shared" si="7"/>
        <v>0</v>
      </c>
      <c r="W17" s="191">
        <f t="shared" si="8"/>
        <v>428106.66878845217</v>
      </c>
      <c r="X17" s="48">
        <f>+SUMIFS('Input Data'!$AK:$AK,'Input Data'!$N:$N,$C17,'Input Data'!$V:$V,"FIBL")</f>
        <v>0</v>
      </c>
      <c r="Y17" s="21">
        <f>+SUMIFS('Input Data'!$AY:$AY,'Input Data'!$N:$N,$C17,'Input Data'!$V:$V,"FIBL")</f>
        <v>0</v>
      </c>
      <c r="Z17" s="21">
        <f>+SUMIFS('Input Data'!$AO:$AO,'Input Data'!$N:$N,$C17,'Input Data'!$V:$V,"FIID")</f>
        <v>0</v>
      </c>
      <c r="AA17" s="21">
        <v>0</v>
      </c>
      <c r="AB17" s="21">
        <f t="shared" si="9"/>
        <v>0</v>
      </c>
      <c r="AC17" s="21">
        <v>0</v>
      </c>
      <c r="AD17" s="191">
        <f t="shared" si="10"/>
        <v>0</v>
      </c>
      <c r="AE17" s="21"/>
      <c r="AF17" s="6"/>
      <c r="AG17" s="6"/>
      <c r="AH17" s="6"/>
      <c r="AI17" s="46">
        <f t="shared" si="2"/>
        <v>2425937.7898012279</v>
      </c>
      <c r="AJ17" s="46">
        <f>+SUMIFS('Input Data'!$BE:$BE,'Input Data'!$N:$N,$C17)</f>
        <v>297296.29776975838</v>
      </c>
      <c r="AK17" s="46">
        <f t="shared" si="3"/>
        <v>2723234.0875709862</v>
      </c>
      <c r="AL17" s="4"/>
    </row>
    <row r="18" spans="1:38" x14ac:dyDescent="0.35">
      <c r="A18" s="4"/>
      <c r="B18" s="33"/>
      <c r="C18" t="str">
        <v>Boeing Satellite Systems Inc.</v>
      </c>
      <c r="D18" s="48">
        <f>+SUMIFS('Input Data'!$AK:$AK,'Input Data'!$N:$N,$C18)</f>
        <v>112711435.42521639</v>
      </c>
      <c r="E18" s="21">
        <f>+SUMIFS('Input Data'!$AH:$AH,'Input Data'!$N:$N,$C18)</f>
        <v>2436711.2700135247</v>
      </c>
      <c r="F18" s="21">
        <f>+SUMIFS('Input Data'!$AY:$AY,'Input Data'!$N:$N,$C18)</f>
        <v>22542287.085043281</v>
      </c>
      <c r="G18" s="21">
        <f>+SUMIFS('Input Data'!AO:AO,'Input Data'!$N:$N,$C18)</f>
        <v>0</v>
      </c>
      <c r="H18" s="21">
        <v>0</v>
      </c>
      <c r="I18" s="191">
        <f>+SUMIFS('Input Data'!$BF:$BF,'Input Data'!$N:$N,$C18)</f>
        <v>90169148.340173125</v>
      </c>
      <c r="J18" s="48">
        <f>+SUMIFS('Input Data'!$AK:$AK,'Input Data'!$N:$N,$C18,'Input Data'!$V:$V,"FUL")</f>
        <v>104367467.22039588</v>
      </c>
      <c r="K18" s="21">
        <f>+SUMIFS('Input Data'!$AY:$AY,'Input Data'!$N:$N,$C18,'Input Data'!$V:$V,"FUL")</f>
        <v>20873493.444079179</v>
      </c>
      <c r="L18" s="21">
        <f>+SUMIFS('Input Data'!$AO:$AO,'Input Data'!$N:$N,$C18,'Input Data'!$V:$V,"FUL")</f>
        <v>0</v>
      </c>
      <c r="M18" s="21">
        <f>+SUMIFS('Input Data'!$BH:$BH,'Input Data'!$N:$N,$C18,'Input Data'!$V:$V,"FUL")</f>
        <v>38946986.808158353</v>
      </c>
      <c r="N18" s="21">
        <f t="shared" si="4"/>
        <v>44546986.968158349</v>
      </c>
      <c r="O18" s="21">
        <f t="shared" si="1"/>
        <v>0</v>
      </c>
      <c r="P18" s="191">
        <f t="shared" si="5"/>
        <v>44546986.968158349</v>
      </c>
      <c r="Q18" s="48">
        <f>+SUMIFS('Input Data'!$AK:$AK,'Input Data'!$N:$N,$C18,'Input Data'!$V:$V,"FIID")</f>
        <v>8343968.20482051</v>
      </c>
      <c r="R18" s="21">
        <f>+SUMIFS('Input Data'!$AY:$AY,'Input Data'!$N:$N,$C18,'Input Data'!$V:$V,"FIID")</f>
        <v>1668793.640964102</v>
      </c>
      <c r="S18" s="21">
        <f>+SUMIFS('Input Data'!$AO:$AO,'Input Data'!$N:$N,$C18,'Input Data'!$V:$V,"FIID")</f>
        <v>0</v>
      </c>
      <c r="T18" s="21">
        <f>+SUMIFS('Input Data'!$BH:$BH,'Input Data'!$N:$N,$C18,'Input Data'!$V:$V,"FIID")</f>
        <v>5673898.3792779464</v>
      </c>
      <c r="U18" s="21">
        <f t="shared" si="6"/>
        <v>1001276.1845784616</v>
      </c>
      <c r="V18" s="21">
        <f t="shared" si="7"/>
        <v>0</v>
      </c>
      <c r="W18" s="191">
        <f t="shared" si="8"/>
        <v>1001276.1845784616</v>
      </c>
      <c r="X18" s="48">
        <f>+SUMIFS('Input Data'!$AK:$AK,'Input Data'!$N:$N,$C18,'Input Data'!$V:$V,"FIBL")</f>
        <v>0</v>
      </c>
      <c r="Y18" s="21">
        <f>+SUMIFS('Input Data'!$AY:$AY,'Input Data'!$N:$N,$C18,'Input Data'!$V:$V,"FIBL")</f>
        <v>0</v>
      </c>
      <c r="Z18" s="21">
        <f>+SUMIFS('Input Data'!$AO:$AO,'Input Data'!$N:$N,$C18,'Input Data'!$V:$V,"FIID")</f>
        <v>0</v>
      </c>
      <c r="AA18" s="21">
        <v>0</v>
      </c>
      <c r="AB18" s="21">
        <f t="shared" si="9"/>
        <v>0</v>
      </c>
      <c r="AC18" s="21">
        <v>0</v>
      </c>
      <c r="AD18" s="191">
        <f t="shared" si="10"/>
        <v>0</v>
      </c>
      <c r="AE18" s="21"/>
      <c r="AF18" s="6"/>
      <c r="AG18" s="6"/>
      <c r="AH18" s="6"/>
      <c r="AI18" s="46">
        <f t="shared" si="2"/>
        <v>44620885.187436298</v>
      </c>
      <c r="AJ18" s="46">
        <f>+SUMIFS('Input Data'!$BE:$BE,'Input Data'!$N:$N,$C18)</f>
        <v>6497896.7200360661</v>
      </c>
      <c r="AK18" s="46">
        <f t="shared" si="3"/>
        <v>51118781.907472365</v>
      </c>
      <c r="AL18" s="4"/>
    </row>
    <row r="19" spans="1:38" x14ac:dyDescent="0.35">
      <c r="A19" s="4"/>
      <c r="B19" s="33"/>
      <c r="C19" t="str">
        <v>Thales Alenia Space France (Cannes)</v>
      </c>
      <c r="D19" s="48">
        <f>+SUMIFS('Input Data'!$AK:$AK,'Input Data'!$N:$N,$C19)</f>
        <v>166285857.4571926</v>
      </c>
      <c r="E19" s="21">
        <f>+SUMIFS('Input Data'!$AH:$AH,'Input Data'!$N:$N,$C19)</f>
        <v>5276748.5299881678</v>
      </c>
      <c r="F19" s="21">
        <f>+SUMIFS('Input Data'!$AY:$AY,'Input Data'!$N:$N,$C19)</f>
        <v>33257171.491438523</v>
      </c>
      <c r="G19" s="21">
        <f>+SUMIFS('Input Data'!AO:AO,'Input Data'!$N:$N,$C19)</f>
        <v>0</v>
      </c>
      <c r="H19" s="21">
        <v>0</v>
      </c>
      <c r="I19" s="191">
        <f>+SUMIFS('Input Data'!$BF:$BF,'Input Data'!$N:$N,$C19)</f>
        <v>133028685.96575408</v>
      </c>
      <c r="J19" s="48">
        <f>+SUMIFS('Input Data'!$AK:$AK,'Input Data'!$N:$N,$C19,'Input Data'!$V:$V,"FUL")</f>
        <v>50028573.120283104</v>
      </c>
      <c r="K19" s="21">
        <f>+SUMIFS('Input Data'!$AY:$AY,'Input Data'!$N:$N,$C19,'Input Data'!$V:$V,"FUL")</f>
        <v>10005714.624056622</v>
      </c>
      <c r="L19" s="21">
        <f>+SUMIFS('Input Data'!$AO:$AO,'Input Data'!$N:$N,$C19,'Input Data'!$V:$V,"FUL")</f>
        <v>0</v>
      </c>
      <c r="M19" s="21">
        <f>+SUMIFS('Input Data'!$BH:$BH,'Input Data'!$N:$N,$C19,'Input Data'!$V:$V,"FUL")</f>
        <v>20011429.248113245</v>
      </c>
      <c r="N19" s="21">
        <f t="shared" si="4"/>
        <v>20011429.248113237</v>
      </c>
      <c r="O19" s="21">
        <f t="shared" si="1"/>
        <v>0</v>
      </c>
      <c r="P19" s="191">
        <f t="shared" si="5"/>
        <v>20011429.248113237</v>
      </c>
      <c r="Q19" s="48">
        <f>+SUMIFS('Input Data'!$AK:$AK,'Input Data'!$N:$N,$C19,'Input Data'!$V:$V,"FIID")</f>
        <v>116257284.3369095</v>
      </c>
      <c r="R19" s="21">
        <f>+SUMIFS('Input Data'!$AY:$AY,'Input Data'!$N:$N,$C19,'Input Data'!$V:$V,"FIID")</f>
        <v>23251456.867381901</v>
      </c>
      <c r="S19" s="21">
        <f>+SUMIFS('Input Data'!$AO:$AO,'Input Data'!$N:$N,$C19,'Input Data'!$V:$V,"FIID")</f>
        <v>0</v>
      </c>
      <c r="T19" s="21">
        <f>+SUMIFS('Input Data'!$BH:$BH,'Input Data'!$N:$N,$C19,'Input Data'!$V:$V,"FIID")</f>
        <v>79054953.349098459</v>
      </c>
      <c r="U19" s="21">
        <f t="shared" si="6"/>
        <v>13950874.120429143</v>
      </c>
      <c r="V19" s="21">
        <f t="shared" si="7"/>
        <v>6450874.1204291433</v>
      </c>
      <c r="W19" s="191">
        <f t="shared" si="8"/>
        <v>7500000</v>
      </c>
      <c r="X19" s="48">
        <f>+SUMIFS('Input Data'!$AK:$AK,'Input Data'!$N:$N,$C19,'Input Data'!$V:$V,"FIBL")</f>
        <v>0</v>
      </c>
      <c r="Y19" s="21">
        <f>+SUMIFS('Input Data'!$AY:$AY,'Input Data'!$N:$N,$C19,'Input Data'!$V:$V,"FIBL")</f>
        <v>0</v>
      </c>
      <c r="Z19" s="21">
        <f>+SUMIFS('Input Data'!$AO:$AO,'Input Data'!$N:$N,$C19,'Input Data'!$V:$V,"FIID")</f>
        <v>0</v>
      </c>
      <c r="AA19" s="21">
        <v>0</v>
      </c>
      <c r="AB19" s="21">
        <f t="shared" si="9"/>
        <v>0</v>
      </c>
      <c r="AC19" s="21">
        <v>0</v>
      </c>
      <c r="AD19" s="191">
        <f t="shared" si="10"/>
        <v>0</v>
      </c>
      <c r="AE19" s="21"/>
      <c r="AF19" s="6"/>
      <c r="AG19" s="6"/>
      <c r="AH19" s="6"/>
      <c r="AI19" s="46">
        <f t="shared" si="2"/>
        <v>105517256.71764085</v>
      </c>
      <c r="AJ19" s="46">
        <f>+SUMIFS('Input Data'!$BE:$BE,'Input Data'!$N:$N,$C19)</f>
        <v>11727471.144789938</v>
      </c>
      <c r="AK19" s="46">
        <f t="shared" si="3"/>
        <v>117244727.86243078</v>
      </c>
      <c r="AL19" s="4"/>
    </row>
    <row r="20" spans="1:38" x14ac:dyDescent="0.35">
      <c r="A20" s="4"/>
      <c r="B20" s="33"/>
      <c r="C20" t="str">
        <v>SSL (Space Systems/Loral - Part of Maxar)</v>
      </c>
      <c r="D20" s="48">
        <f>+SUMIFS('Input Data'!$AK:$AK,'Input Data'!$N:$N,$C20)</f>
        <v>45814677.578121722</v>
      </c>
      <c r="E20" s="21">
        <f>+SUMIFS('Input Data'!$AH:$AH,'Input Data'!$N:$N,$C20)</f>
        <v>1431708.6743163038</v>
      </c>
      <c r="F20" s="21">
        <f>+SUMIFS('Input Data'!$AY:$AY,'Input Data'!$N:$N,$C20)</f>
        <v>9162935.5156243462</v>
      </c>
      <c r="G20" s="21">
        <f>+SUMIFS('Input Data'!AO:AO,'Input Data'!$N:$N,$C20)</f>
        <v>0</v>
      </c>
      <c r="H20" s="21">
        <v>0</v>
      </c>
      <c r="I20" s="191">
        <f>+SUMIFS('Input Data'!$BF:$BF,'Input Data'!$N:$N,$C20)</f>
        <v>36651742.06249737</v>
      </c>
      <c r="J20" s="48">
        <f>+SUMIFS('Input Data'!$AK:$AK,'Input Data'!$N:$N,$C20,'Input Data'!$V:$V,"FUL")</f>
        <v>30795154.58784996</v>
      </c>
      <c r="K20" s="21">
        <f>+SUMIFS('Input Data'!$AY:$AY,'Input Data'!$N:$N,$C20,'Input Data'!$V:$V,"FUL")</f>
        <v>6159030.9175699931</v>
      </c>
      <c r="L20" s="21">
        <f>+SUMIFS('Input Data'!$AO:$AO,'Input Data'!$N:$N,$C20,'Input Data'!$V:$V,"FUL")</f>
        <v>0</v>
      </c>
      <c r="M20" s="21">
        <f>+SUMIFS('Input Data'!$BH:$BH,'Input Data'!$N:$N,$C20,'Input Data'!$V:$V,"FUL")</f>
        <v>12318061.835139982</v>
      </c>
      <c r="N20" s="21">
        <f t="shared" si="4"/>
        <v>12318061.835139982</v>
      </c>
      <c r="O20" s="21">
        <f t="shared" si="1"/>
        <v>0</v>
      </c>
      <c r="P20" s="191">
        <f t="shared" si="5"/>
        <v>12318061.835139982</v>
      </c>
      <c r="Q20" s="48">
        <f>+SUMIFS('Input Data'!$AK:$AK,'Input Data'!$N:$N,$C20,'Input Data'!$V:$V,"FIID")</f>
        <v>15019522.99027176</v>
      </c>
      <c r="R20" s="21">
        <f>+SUMIFS('Input Data'!$AY:$AY,'Input Data'!$N:$N,$C20,'Input Data'!$V:$V,"FIID")</f>
        <v>3003904.5980543522</v>
      </c>
      <c r="S20" s="21">
        <f>+SUMIFS('Input Data'!$AO:$AO,'Input Data'!$N:$N,$C20,'Input Data'!$V:$V,"FIID")</f>
        <v>0</v>
      </c>
      <c r="T20" s="21">
        <f>+SUMIFS('Input Data'!$BH:$BH,'Input Data'!$N:$N,$C20,'Input Data'!$V:$V,"FIID")</f>
        <v>10213275.633384798</v>
      </c>
      <c r="U20" s="21">
        <f t="shared" si="6"/>
        <v>1802342.7588326111</v>
      </c>
      <c r="V20" s="21">
        <f t="shared" si="7"/>
        <v>0</v>
      </c>
      <c r="W20" s="191">
        <f t="shared" si="8"/>
        <v>1802342.7588326111</v>
      </c>
      <c r="X20" s="48">
        <f>+SUMIFS('Input Data'!$AK:$AK,'Input Data'!$N:$N,$C20,'Input Data'!$V:$V,"FIBL")</f>
        <v>0</v>
      </c>
      <c r="Y20" s="21">
        <f>+SUMIFS('Input Data'!$AY:$AY,'Input Data'!$N:$N,$C20,'Input Data'!$V:$V,"FIBL")</f>
        <v>0</v>
      </c>
      <c r="Z20" s="21">
        <f>+SUMIFS('Input Data'!$AO:$AO,'Input Data'!$N:$N,$C20,'Input Data'!$V:$V,"FIID")</f>
        <v>0</v>
      </c>
      <c r="AA20" s="21">
        <v>0</v>
      </c>
      <c r="AB20" s="21">
        <f t="shared" si="9"/>
        <v>0</v>
      </c>
      <c r="AC20" s="21">
        <v>0</v>
      </c>
      <c r="AD20" s="191">
        <f t="shared" si="10"/>
        <v>0</v>
      </c>
      <c r="AE20" s="21"/>
      <c r="AF20" s="6"/>
      <c r="AG20" s="21"/>
      <c r="AH20" s="6"/>
      <c r="AI20" s="46">
        <f t="shared" si="2"/>
        <v>22531337.46852478</v>
      </c>
      <c r="AJ20" s="46">
        <f>+SUMIFS('Input Data'!$BE:$BE,'Input Data'!$N:$N,$C20)</f>
        <v>3817889.7981768097</v>
      </c>
      <c r="AK20" s="46">
        <f t="shared" si="3"/>
        <v>26349227.26670159</v>
      </c>
      <c r="AL20" s="4"/>
    </row>
    <row r="21" spans="1:38" x14ac:dyDescent="0.35">
      <c r="A21" s="4"/>
      <c r="B21" s="33"/>
      <c r="C21" t="str">
        <v>SSTL - Surrey Satellite Technology Limited (Part of Airbus DS)</v>
      </c>
      <c r="D21" s="48">
        <f>+SUMIFS('Input Data'!$AK:$AK,'Input Data'!$N:$N,$C21)</f>
        <v>13666206.516224779</v>
      </c>
      <c r="E21" s="21">
        <f>+SUMIFS('Input Data'!$AH:$AH,'Input Data'!$N:$N,$C21)</f>
        <v>427068.95363202435</v>
      </c>
      <c r="F21" s="21">
        <f>+SUMIFS('Input Data'!$AY:$AY,'Input Data'!$N:$N,$C21)</f>
        <v>2733241.3032449563</v>
      </c>
      <c r="G21" s="21">
        <f>+SUMIFS('Input Data'!AO:AO,'Input Data'!$N:$N,$C21)</f>
        <v>0</v>
      </c>
      <c r="H21" s="21">
        <v>0</v>
      </c>
      <c r="I21" s="191">
        <f>+SUMIFS('Input Data'!$BF:$BF,'Input Data'!$N:$N,$C21)</f>
        <v>10932965.212979825</v>
      </c>
      <c r="J21" s="48">
        <f>+SUMIFS('Input Data'!$AK:$AK,'Input Data'!$N:$N,$C21,'Input Data'!$V:$V,"FUL")</f>
        <v>2477105.9531910801</v>
      </c>
      <c r="K21" s="21">
        <f>+SUMIFS('Input Data'!$AY:$AY,'Input Data'!$N:$N,$C21,'Input Data'!$V:$V,"FUL")</f>
        <v>495421.19063821604</v>
      </c>
      <c r="L21" s="21">
        <f>+SUMIFS('Input Data'!$AO:$AO,'Input Data'!$N:$N,$C21,'Input Data'!$V:$V,"FUL")</f>
        <v>0</v>
      </c>
      <c r="M21" s="21">
        <f>+SUMIFS('Input Data'!$BH:$BH,'Input Data'!$N:$N,$C21,'Input Data'!$V:$V,"FUL")</f>
        <v>990842.38127643208</v>
      </c>
      <c r="N21" s="21">
        <f t="shared" si="4"/>
        <v>990842.38127643208</v>
      </c>
      <c r="O21" s="21">
        <f t="shared" si="1"/>
        <v>0</v>
      </c>
      <c r="P21" s="191">
        <f t="shared" si="5"/>
        <v>990842.38127643208</v>
      </c>
      <c r="Q21" s="48">
        <f>+SUMIFS('Input Data'!$AK:$AK,'Input Data'!$N:$N,$C21,'Input Data'!$V:$V,"FIID")</f>
        <v>11189100.5630337</v>
      </c>
      <c r="R21" s="21">
        <f>+SUMIFS('Input Data'!$AY:$AY,'Input Data'!$N:$N,$C21,'Input Data'!$V:$V,"FIID")</f>
        <v>2237820.1126067401</v>
      </c>
      <c r="S21" s="21">
        <f>+SUMIFS('Input Data'!$AO:$AO,'Input Data'!$N:$N,$C21,'Input Data'!$V:$V,"FIID")</f>
        <v>0</v>
      </c>
      <c r="T21" s="21">
        <f>+SUMIFS('Input Data'!$BH:$BH,'Input Data'!$N:$N,$C21,'Input Data'!$V:$V,"FIID")</f>
        <v>7608588.3828629162</v>
      </c>
      <c r="U21" s="21">
        <f t="shared" si="6"/>
        <v>1342692.0675640441</v>
      </c>
      <c r="V21" s="21">
        <f t="shared" si="7"/>
        <v>0</v>
      </c>
      <c r="W21" s="191">
        <f t="shared" si="8"/>
        <v>1342692.0675640441</v>
      </c>
      <c r="X21" s="48">
        <f>+SUMIFS('Input Data'!$AK:$AK,'Input Data'!$N:$N,$C21,'Input Data'!$V:$V,"FIBL")</f>
        <v>0</v>
      </c>
      <c r="Y21" s="21">
        <f>+SUMIFS('Input Data'!$AY:$AY,'Input Data'!$N:$N,$C21,'Input Data'!$V:$V,"FIBL")</f>
        <v>0</v>
      </c>
      <c r="Z21" s="21">
        <f>+SUMIFS('Input Data'!$AO:$AO,'Input Data'!$N:$N,$C21,'Input Data'!$V:$V,"FIID")</f>
        <v>0</v>
      </c>
      <c r="AA21" s="21">
        <v>0</v>
      </c>
      <c r="AB21" s="21">
        <f t="shared" si="9"/>
        <v>0</v>
      </c>
      <c r="AC21" s="21">
        <v>0</v>
      </c>
      <c r="AD21" s="191">
        <f t="shared" si="10"/>
        <v>0</v>
      </c>
      <c r="AE21" s="21"/>
      <c r="AF21" s="6"/>
      <c r="AG21" s="6"/>
      <c r="AH21" s="6"/>
      <c r="AI21" s="46">
        <f t="shared" si="2"/>
        <v>8599430.7641393486</v>
      </c>
      <c r="AJ21" s="46">
        <f>+SUMIFS('Input Data'!$BE:$BE,'Input Data'!$N:$N,$C21)</f>
        <v>1138850.5430187318</v>
      </c>
      <c r="AK21" s="46">
        <f t="shared" si="3"/>
        <v>9738281.3071580809</v>
      </c>
      <c r="AL21" s="4"/>
    </row>
    <row r="22" spans="1:38" x14ac:dyDescent="0.35">
      <c r="A22" s="4"/>
      <c r="B22" s="33"/>
      <c r="C22" t="str">
        <v>SSL (Space Systems/Loral)</v>
      </c>
      <c r="D22" s="48">
        <f>+SUMIFS('Input Data'!$AK:$AK,'Input Data'!$N:$N,$C22)</f>
        <v>115799018.99553905</v>
      </c>
      <c r="E22" s="21">
        <f>+SUMIFS('Input Data'!$AH:$AH,'Input Data'!$N:$N,$C22)</f>
        <v>2379481.1525469515</v>
      </c>
      <c r="F22" s="21">
        <f>+SUMIFS('Input Data'!$AY:$AY,'Input Data'!$N:$N,$C22)</f>
        <v>23159803.799107812</v>
      </c>
      <c r="G22" s="21">
        <f>+SUMIFS('Input Data'!AO:AO,'Input Data'!$N:$N,$C22)</f>
        <v>0</v>
      </c>
      <c r="H22" s="21">
        <v>0</v>
      </c>
      <c r="I22" s="191">
        <f>+SUMIFS('Input Data'!$BF:$BF,'Input Data'!$N:$N,$C22)</f>
        <v>92639215.196431249</v>
      </c>
      <c r="J22" s="48">
        <f>+SUMIFS('Input Data'!$AK:$AK,'Input Data'!$N:$N,$C22,'Input Data'!$V:$V,"FUL")</f>
        <v>90086863.656934559</v>
      </c>
      <c r="K22" s="21">
        <f>+SUMIFS('Input Data'!$AY:$AY,'Input Data'!$N:$N,$C22,'Input Data'!$V:$V,"FUL")</f>
        <v>18017372.731386919</v>
      </c>
      <c r="L22" s="21">
        <f>+SUMIFS('Input Data'!$AO:$AO,'Input Data'!$N:$N,$C22,'Input Data'!$V:$V,"FUL")</f>
        <v>0</v>
      </c>
      <c r="M22" s="21">
        <f>+SUMIFS('Input Data'!$BH:$BH,'Input Data'!$N:$N,$C22,'Input Data'!$V:$V,"FUL")</f>
        <v>32834748.66277384</v>
      </c>
      <c r="N22" s="21">
        <f t="shared" si="4"/>
        <v>39234742.262773804</v>
      </c>
      <c r="O22" s="21">
        <f t="shared" si="1"/>
        <v>0</v>
      </c>
      <c r="P22" s="191">
        <f t="shared" si="5"/>
        <v>39234742.262773804</v>
      </c>
      <c r="Q22" s="48">
        <f>+SUMIFS('Input Data'!$AK:$AK,'Input Data'!$N:$N,$C22,'Input Data'!$V:$V,"FIID")</f>
        <v>25712155.338604473</v>
      </c>
      <c r="R22" s="21">
        <f>+SUMIFS('Input Data'!$AY:$AY,'Input Data'!$N:$N,$C22,'Input Data'!$V:$V,"FIID")</f>
        <v>5142431.0677208947</v>
      </c>
      <c r="S22" s="21">
        <f>+SUMIFS('Input Data'!$AO:$AO,'Input Data'!$N:$N,$C22,'Input Data'!$V:$V,"FIID")</f>
        <v>0</v>
      </c>
      <c r="T22" s="21">
        <f>+SUMIFS('Input Data'!$BH:$BH,'Input Data'!$N:$N,$C22,'Input Data'!$V:$V,"FIID")</f>
        <v>17484265.630251039</v>
      </c>
      <c r="U22" s="21">
        <f t="shared" si="6"/>
        <v>3085458.64063254</v>
      </c>
      <c r="V22" s="21">
        <f t="shared" si="7"/>
        <v>0</v>
      </c>
      <c r="W22" s="191">
        <f t="shared" si="8"/>
        <v>3085458.64063254</v>
      </c>
      <c r="X22" s="48">
        <f>+SUMIFS('Input Data'!$AK:$AK,'Input Data'!$N:$N,$C22,'Input Data'!$V:$V,"FIBL")</f>
        <v>0</v>
      </c>
      <c r="Y22" s="21">
        <f>+SUMIFS('Input Data'!$AY:$AY,'Input Data'!$N:$N,$C22,'Input Data'!$V:$V,"FIBL")</f>
        <v>0</v>
      </c>
      <c r="Z22" s="21">
        <f>+SUMIFS('Input Data'!$AO:$AO,'Input Data'!$N:$N,$C22,'Input Data'!$V:$V,"FIID")</f>
        <v>0</v>
      </c>
      <c r="AA22" s="21">
        <v>0</v>
      </c>
      <c r="AB22" s="21">
        <f t="shared" si="9"/>
        <v>0</v>
      </c>
      <c r="AC22" s="21">
        <v>0</v>
      </c>
      <c r="AD22" s="191">
        <f t="shared" si="10"/>
        <v>0</v>
      </c>
      <c r="AE22" s="21"/>
      <c r="AF22" s="6"/>
      <c r="AG22" s="6"/>
      <c r="AH22" s="6"/>
      <c r="AI22" s="46">
        <f t="shared" si="2"/>
        <v>50319014.293024883</v>
      </c>
      <c r="AJ22" s="46">
        <f>+SUMIFS('Input Data'!$BE:$BE,'Input Data'!$N:$N,$C22)</f>
        <v>6345283.0734585375</v>
      </c>
      <c r="AK22" s="46">
        <f t="shared" si="3"/>
        <v>56664297.36648342</v>
      </c>
      <c r="AL22" s="4"/>
    </row>
    <row r="23" spans="1:38" x14ac:dyDescent="0.35">
      <c r="A23" s="4"/>
      <c r="B23" s="33"/>
      <c r="C23" t="str">
        <v>CAST - Chinese Academy of Space Technology</v>
      </c>
      <c r="D23" s="48">
        <f>+SUMIFS('Input Data'!$AK:$AK,'Input Data'!$N:$N,$C23)</f>
        <v>31649408.5</v>
      </c>
      <c r="E23" s="21">
        <f>+SUMIFS('Input Data'!$AH:$AH,'Input Data'!$N:$N,$C23)</f>
        <v>989044.015625</v>
      </c>
      <c r="F23" s="21">
        <f>+SUMIFS('Input Data'!$AY:$AY,'Input Data'!$N:$N,$C23)</f>
        <v>6329881.7000000002</v>
      </c>
      <c r="G23" s="21">
        <f>+SUMIFS('Input Data'!AO:AO,'Input Data'!$N:$N,$C23)</f>
        <v>0</v>
      </c>
      <c r="H23" s="21">
        <v>0</v>
      </c>
      <c r="I23" s="191">
        <f>+SUMIFS('Input Data'!$BF:$BF,'Input Data'!$N:$N,$C23)</f>
        <v>25319526.800000001</v>
      </c>
      <c r="J23" s="48">
        <f>+SUMIFS('Input Data'!$AK:$AK,'Input Data'!$N:$N,$C23,'Input Data'!$V:$V,"FUL")</f>
        <v>21649484.5</v>
      </c>
      <c r="K23" s="21">
        <f>+SUMIFS('Input Data'!$AY:$AY,'Input Data'!$N:$N,$C23,'Input Data'!$V:$V,"FUL")</f>
        <v>4329896.9000000004</v>
      </c>
      <c r="L23" s="21">
        <f>+SUMIFS('Input Data'!$AO:$AO,'Input Data'!$N:$N,$C23,'Input Data'!$V:$V,"FUL")</f>
        <v>0</v>
      </c>
      <c r="M23" s="21">
        <f>+SUMIFS('Input Data'!$BH:$BH,'Input Data'!$N:$N,$C23,'Input Data'!$V:$V,"FUL")</f>
        <v>8659793.8000000007</v>
      </c>
      <c r="N23" s="21">
        <f t="shared" si="4"/>
        <v>8659793.8000000007</v>
      </c>
      <c r="O23" s="21">
        <f t="shared" si="1"/>
        <v>0</v>
      </c>
      <c r="P23" s="191">
        <f t="shared" si="5"/>
        <v>8659793.8000000007</v>
      </c>
      <c r="Q23" s="48">
        <f>+SUMIFS('Input Data'!$AK:$AK,'Input Data'!$N:$N,$C23,'Input Data'!$V:$V,"FIID")</f>
        <v>0</v>
      </c>
      <c r="R23" s="21">
        <f>+SUMIFS('Input Data'!$AY:$AY,'Input Data'!$N:$N,$C23,'Input Data'!$V:$V,"FIID")</f>
        <v>0</v>
      </c>
      <c r="S23" s="21">
        <f>+SUMIFS('Input Data'!$AO:$AO,'Input Data'!$N:$N,$C23,'Input Data'!$V:$V,"FIID")</f>
        <v>0</v>
      </c>
      <c r="T23" s="21">
        <f>+SUMIFS('Input Data'!$BH:$BH,'Input Data'!$N:$N,$C23,'Input Data'!$V:$V,"FIID")</f>
        <v>0</v>
      </c>
      <c r="U23" s="21">
        <f t="shared" si="6"/>
        <v>0</v>
      </c>
      <c r="V23" s="21">
        <f t="shared" si="7"/>
        <v>0</v>
      </c>
      <c r="W23" s="191">
        <f t="shared" si="8"/>
        <v>0</v>
      </c>
      <c r="X23" s="48">
        <f>+SUMIFS('Input Data'!$AK:$AK,'Input Data'!$N:$N,$C23,'Input Data'!$V:$V,"FIBL")</f>
        <v>9999924</v>
      </c>
      <c r="Y23" s="21">
        <f>+SUMIFS('Input Data'!$AY:$AY,'Input Data'!$N:$N,$C23,'Input Data'!$V:$V,"FIBL")</f>
        <v>1999984.8000000003</v>
      </c>
      <c r="Z23" s="21">
        <f>+SUMIFS('Input Data'!$AO:$AO,'Input Data'!$N:$N,$C23,'Input Data'!$V:$V,"FIID")</f>
        <v>0</v>
      </c>
      <c r="AA23" s="21">
        <v>0</v>
      </c>
      <c r="AB23" s="21">
        <f t="shared" si="9"/>
        <v>7999939.1999999993</v>
      </c>
      <c r="AC23" s="21">
        <v>0</v>
      </c>
      <c r="AD23" s="191">
        <f t="shared" si="10"/>
        <v>7999939.1999999993</v>
      </c>
      <c r="AE23" s="21"/>
      <c r="AF23" s="6"/>
      <c r="AG23" s="6"/>
      <c r="AH23" s="6"/>
      <c r="AI23" s="46">
        <f t="shared" si="2"/>
        <v>8659793.8000000007</v>
      </c>
      <c r="AJ23" s="46">
        <f>+SUMIFS('Input Data'!$BE:$BE,'Input Data'!$N:$N,$C23)</f>
        <v>2637450.7083333335</v>
      </c>
      <c r="AK23" s="46">
        <f t="shared" si="3"/>
        <v>19297183.708333332</v>
      </c>
      <c r="AL23" s="4"/>
    </row>
    <row r="24" spans="1:38" x14ac:dyDescent="0.35">
      <c r="A24" s="4"/>
      <c r="B24" s="33"/>
      <c r="C24" t="str">
        <v>ORBITAL ATK INC.</v>
      </c>
      <c r="D24" s="48">
        <f>+SUMIFS('Input Data'!$AK:$AK,'Input Data'!$N:$N,$C24)</f>
        <v>23195876.25</v>
      </c>
      <c r="E24" s="21">
        <f>+SUMIFS('Input Data'!$AH:$AH,'Input Data'!$N:$N,$C24)</f>
        <v>724871.1328125</v>
      </c>
      <c r="F24" s="21">
        <f>+SUMIFS('Input Data'!$AY:$AY,'Input Data'!$N:$N,$C24)</f>
        <v>4639175.25</v>
      </c>
      <c r="G24" s="21">
        <f>+SUMIFS('Input Data'!AO:AO,'Input Data'!$N:$N,$C24)</f>
        <v>0</v>
      </c>
      <c r="H24" s="21">
        <v>0</v>
      </c>
      <c r="I24" s="191">
        <f>+SUMIFS('Input Data'!$BF:$BF,'Input Data'!$N:$N,$C24)</f>
        <v>18556701</v>
      </c>
      <c r="J24" s="48">
        <f>+SUMIFS('Input Data'!$AK:$AK,'Input Data'!$N:$N,$C24,'Input Data'!$V:$V,"FUL")</f>
        <v>23195876.25</v>
      </c>
      <c r="K24" s="21">
        <f>+SUMIFS('Input Data'!$AY:$AY,'Input Data'!$N:$N,$C24,'Input Data'!$V:$V,"FUL")</f>
        <v>4639175.25</v>
      </c>
      <c r="L24" s="21">
        <f>+SUMIFS('Input Data'!$AO:$AO,'Input Data'!$N:$N,$C24,'Input Data'!$V:$V,"FUL")</f>
        <v>0</v>
      </c>
      <c r="M24" s="21">
        <f>+SUMIFS('Input Data'!$BH:$BH,'Input Data'!$N:$N,$C24,'Input Data'!$V:$V,"FUL")</f>
        <v>9278350.5</v>
      </c>
      <c r="N24" s="21">
        <f t="shared" si="4"/>
        <v>9278350.5</v>
      </c>
      <c r="O24" s="21">
        <f t="shared" si="1"/>
        <v>0</v>
      </c>
      <c r="P24" s="191">
        <f t="shared" si="5"/>
        <v>9278350.5</v>
      </c>
      <c r="Q24" s="48">
        <f>+SUMIFS('Input Data'!$AK:$AK,'Input Data'!$N:$N,$C24,'Input Data'!$V:$V,"FIID")</f>
        <v>0</v>
      </c>
      <c r="R24" s="21">
        <f>+SUMIFS('Input Data'!$AY:$AY,'Input Data'!$N:$N,$C24,'Input Data'!$V:$V,"FIID")</f>
        <v>0</v>
      </c>
      <c r="S24" s="21">
        <f>+SUMIFS('Input Data'!$AO:$AO,'Input Data'!$N:$N,$C24,'Input Data'!$V:$V,"FIID")</f>
        <v>0</v>
      </c>
      <c r="T24" s="21">
        <f>+SUMIFS('Input Data'!$BH:$BH,'Input Data'!$N:$N,$C24,'Input Data'!$V:$V,"FIID")</f>
        <v>0</v>
      </c>
      <c r="U24" s="21">
        <f t="shared" si="6"/>
        <v>0</v>
      </c>
      <c r="V24" s="21">
        <f t="shared" si="7"/>
        <v>0</v>
      </c>
      <c r="W24" s="191">
        <f t="shared" si="8"/>
        <v>0</v>
      </c>
      <c r="X24" s="48">
        <f>+SUMIFS('Input Data'!$AK:$AK,'Input Data'!$N:$N,$C24,'Input Data'!$V:$V,"FIBL")</f>
        <v>0</v>
      </c>
      <c r="Y24" s="21">
        <f>+SUMIFS('Input Data'!$AY:$AY,'Input Data'!$N:$N,$C24,'Input Data'!$V:$V,"FIBL")</f>
        <v>0</v>
      </c>
      <c r="Z24" s="21">
        <f>+SUMIFS('Input Data'!$AO:$AO,'Input Data'!$N:$N,$C24,'Input Data'!$V:$V,"FIID")</f>
        <v>0</v>
      </c>
      <c r="AA24" s="21">
        <v>0</v>
      </c>
      <c r="AB24" s="21">
        <f t="shared" si="9"/>
        <v>0</v>
      </c>
      <c r="AC24" s="21">
        <v>0</v>
      </c>
      <c r="AD24" s="191">
        <f t="shared" si="10"/>
        <v>0</v>
      </c>
      <c r="AE24" s="21"/>
      <c r="AF24" s="6"/>
      <c r="AG24" s="6"/>
      <c r="AH24" s="6"/>
      <c r="AI24" s="46">
        <f t="shared" si="2"/>
        <v>9278350.5</v>
      </c>
      <c r="AJ24" s="46">
        <f>+SUMIFS('Input Data'!$BE:$BE,'Input Data'!$N:$N,$C24)</f>
        <v>1932989.6875</v>
      </c>
      <c r="AK24" s="46">
        <f t="shared" si="3"/>
        <v>11211340.1875</v>
      </c>
      <c r="AL24" s="4"/>
    </row>
    <row r="25" spans="1:38" x14ac:dyDescent="0.35">
      <c r="A25" s="4"/>
      <c r="B25" s="33"/>
      <c r="C25" t="str">
        <v>Turkish Aerospace Industries (TAI/TUSAs)</v>
      </c>
      <c r="D25" s="48">
        <f>+SUMIFS('Input Data'!$AK:$AK,'Input Data'!$N:$N,$C25)</f>
        <v>7422681.0185566898</v>
      </c>
      <c r="E25" s="21">
        <f>+SUMIFS('Input Data'!$AH:$AH,'Input Data'!$N:$N,$C25)</f>
        <v>231958.78182989659</v>
      </c>
      <c r="F25" s="21">
        <f>+SUMIFS('Input Data'!$AY:$AY,'Input Data'!$N:$N,$C25)</f>
        <v>1484536.2037113381</v>
      </c>
      <c r="G25" s="21">
        <f>+SUMIFS('Input Data'!AO:AO,'Input Data'!$N:$N,$C25)</f>
        <v>0</v>
      </c>
      <c r="H25" s="21">
        <v>0</v>
      </c>
      <c r="I25" s="191">
        <f>+SUMIFS('Input Data'!$BF:$BF,'Input Data'!$N:$N,$C25)</f>
        <v>5938144.8148453515</v>
      </c>
      <c r="J25" s="48">
        <f>+SUMIFS('Input Data'!$AK:$AK,'Input Data'!$N:$N,$C25,'Input Data'!$V:$V,"FUL")</f>
        <v>7422681.0185566898</v>
      </c>
      <c r="K25" s="21">
        <f>+SUMIFS('Input Data'!$AY:$AY,'Input Data'!$N:$N,$C25,'Input Data'!$V:$V,"FUL")</f>
        <v>1484536.2037113381</v>
      </c>
      <c r="L25" s="21">
        <f>+SUMIFS('Input Data'!$AO:$AO,'Input Data'!$N:$N,$C25,'Input Data'!$V:$V,"FUL")</f>
        <v>0</v>
      </c>
      <c r="M25" s="21">
        <f>+SUMIFS('Input Data'!$BH:$BH,'Input Data'!$N:$N,$C25,'Input Data'!$V:$V,"FUL")</f>
        <v>2969072.4074226758</v>
      </c>
      <c r="N25" s="21">
        <f t="shared" si="4"/>
        <v>2969072.4074226758</v>
      </c>
      <c r="O25" s="21">
        <f t="shared" si="1"/>
        <v>0</v>
      </c>
      <c r="P25" s="191">
        <f t="shared" si="5"/>
        <v>2969072.4074226758</v>
      </c>
      <c r="Q25" s="48">
        <f>+SUMIFS('Input Data'!$AK:$AK,'Input Data'!$N:$N,$C25,'Input Data'!$V:$V,"FIID")</f>
        <v>0</v>
      </c>
      <c r="R25" s="21">
        <f>+SUMIFS('Input Data'!$AY:$AY,'Input Data'!$N:$N,$C25,'Input Data'!$V:$V,"FIID")</f>
        <v>0</v>
      </c>
      <c r="S25" s="21">
        <f>+SUMIFS('Input Data'!$AO:$AO,'Input Data'!$N:$N,$C25,'Input Data'!$V:$V,"FIID")</f>
        <v>0</v>
      </c>
      <c r="T25" s="21">
        <f>+SUMIFS('Input Data'!$BH:$BH,'Input Data'!$N:$N,$C25,'Input Data'!$V:$V,"FIID")</f>
        <v>0</v>
      </c>
      <c r="U25" s="21">
        <f t="shared" si="6"/>
        <v>0</v>
      </c>
      <c r="V25" s="21">
        <f t="shared" si="7"/>
        <v>0</v>
      </c>
      <c r="W25" s="191">
        <f t="shared" si="8"/>
        <v>0</v>
      </c>
      <c r="X25" s="48">
        <f>+SUMIFS('Input Data'!$AK:$AK,'Input Data'!$N:$N,$C25,'Input Data'!$V:$V,"FIBL")</f>
        <v>0</v>
      </c>
      <c r="Y25" s="21">
        <f>+SUMIFS('Input Data'!$AY:$AY,'Input Data'!$N:$N,$C25,'Input Data'!$V:$V,"FIBL")</f>
        <v>0</v>
      </c>
      <c r="Z25" s="21">
        <f>+SUMIFS('Input Data'!$AO:$AO,'Input Data'!$N:$N,$C25,'Input Data'!$V:$V,"FIID")</f>
        <v>0</v>
      </c>
      <c r="AA25" s="21">
        <v>0</v>
      </c>
      <c r="AB25" s="21">
        <f t="shared" si="9"/>
        <v>0</v>
      </c>
      <c r="AC25" s="21">
        <v>0</v>
      </c>
      <c r="AD25" s="191">
        <f t="shared" si="10"/>
        <v>0</v>
      </c>
      <c r="AE25" s="21"/>
      <c r="AF25" s="6"/>
      <c r="AG25" s="6"/>
      <c r="AH25" s="6"/>
      <c r="AI25" s="46">
        <f t="shared" si="2"/>
        <v>2969072.4074226758</v>
      </c>
      <c r="AJ25" s="46">
        <f>+SUMIFS('Input Data'!$BE:$BE,'Input Data'!$N:$N,$C25)</f>
        <v>618556.75154639094</v>
      </c>
      <c r="AK25" s="46">
        <f t="shared" si="3"/>
        <v>3587629.1589690666</v>
      </c>
      <c r="AL25" s="4"/>
    </row>
    <row r="26" spans="1:38" x14ac:dyDescent="0.35">
      <c r="A26" s="4"/>
      <c r="B26" s="33"/>
      <c r="C26" t="str">
        <v>Maxar Space Systems</v>
      </c>
      <c r="D26" s="48">
        <f>+SUMIFS('Input Data'!$AK:$AK,'Input Data'!$N:$N,$C26)</f>
        <v>85106558.296907127</v>
      </c>
      <c r="E26" s="21">
        <f>+SUMIFS('Input Data'!$AH:$AH,'Input Data'!$N:$N,$C26)</f>
        <v>2990464.9467783477</v>
      </c>
      <c r="F26" s="21">
        <f>+SUMIFS('Input Data'!$AY:$AY,'Input Data'!$N:$N,$C26)</f>
        <v>17021311.659381427</v>
      </c>
      <c r="G26" s="21">
        <f>+SUMIFS('Input Data'!AO:AO,'Input Data'!$N:$N,$C26)</f>
        <v>0</v>
      </c>
      <c r="H26" s="21">
        <v>0</v>
      </c>
      <c r="I26" s="191">
        <f>+SUMIFS('Input Data'!$BF:$BF,'Input Data'!$N:$N,$C26)</f>
        <v>68085246.637525707</v>
      </c>
      <c r="J26" s="48">
        <f>+SUMIFS('Input Data'!$AK:$AK,'Input Data'!$N:$N,$C26,'Input Data'!$V:$V,"FUL")</f>
        <v>85106558.296907127</v>
      </c>
      <c r="K26" s="21">
        <f>+SUMIFS('Input Data'!$AY:$AY,'Input Data'!$N:$N,$C26,'Input Data'!$V:$V,"FUL")</f>
        <v>17021311.659381427</v>
      </c>
      <c r="L26" s="21">
        <f>+SUMIFS('Input Data'!$AO:$AO,'Input Data'!$N:$N,$C26,'Input Data'!$V:$V,"FUL")</f>
        <v>0</v>
      </c>
      <c r="M26" s="21">
        <f>+SUMIFS('Input Data'!$BH:$BH,'Input Data'!$N:$N,$C26,'Input Data'!$V:$V,"FUL")</f>
        <v>34042623.318762854</v>
      </c>
      <c r="N26" s="21">
        <f t="shared" si="4"/>
        <v>34042623.318762854</v>
      </c>
      <c r="O26" s="21">
        <f t="shared" si="1"/>
        <v>0</v>
      </c>
      <c r="P26" s="191">
        <f t="shared" si="5"/>
        <v>34042623.318762854</v>
      </c>
      <c r="Q26" s="48">
        <f>+SUMIFS('Input Data'!$AK:$AK,'Input Data'!$N:$N,$C26,'Input Data'!$V:$V,"FIID")</f>
        <v>0</v>
      </c>
      <c r="R26" s="21">
        <f>+SUMIFS('Input Data'!$AY:$AY,'Input Data'!$N:$N,$C26,'Input Data'!$V:$V,"FIID")</f>
        <v>0</v>
      </c>
      <c r="S26" s="21">
        <f>+SUMIFS('Input Data'!$AO:$AO,'Input Data'!$N:$N,$C26,'Input Data'!$V:$V,"FIID")</f>
        <v>0</v>
      </c>
      <c r="T26" s="21">
        <f>+SUMIFS('Input Data'!$BH:$BH,'Input Data'!$N:$N,$C26,'Input Data'!$V:$V,"FIID")</f>
        <v>0</v>
      </c>
      <c r="U26" s="21">
        <f t="shared" si="6"/>
        <v>0</v>
      </c>
      <c r="V26" s="21">
        <f t="shared" si="7"/>
        <v>0</v>
      </c>
      <c r="W26" s="191">
        <f t="shared" si="8"/>
        <v>0</v>
      </c>
      <c r="X26" s="48">
        <f>+SUMIFS('Input Data'!$AK:$AK,'Input Data'!$N:$N,$C26,'Input Data'!$V:$V,"FIBL")</f>
        <v>0</v>
      </c>
      <c r="Y26" s="21">
        <f>+SUMIFS('Input Data'!$AY:$AY,'Input Data'!$N:$N,$C26,'Input Data'!$V:$V,"FIBL")</f>
        <v>0</v>
      </c>
      <c r="Z26" s="21">
        <f>+SUMIFS('Input Data'!$AO:$AO,'Input Data'!$N:$N,$C26,'Input Data'!$V:$V,"FIID")</f>
        <v>0</v>
      </c>
      <c r="AA26" s="21">
        <v>0</v>
      </c>
      <c r="AB26" s="21">
        <f t="shared" si="9"/>
        <v>0</v>
      </c>
      <c r="AC26" s="21">
        <v>0</v>
      </c>
      <c r="AD26" s="191">
        <f t="shared" si="10"/>
        <v>0</v>
      </c>
      <c r="AE26" s="21"/>
      <c r="AF26" s="6"/>
      <c r="AG26" s="6"/>
      <c r="AH26" s="6"/>
      <c r="AI26" s="46">
        <f t="shared" si="2"/>
        <v>34042623.318762854</v>
      </c>
      <c r="AJ26" s="46">
        <f>+SUMIFS('Input Data'!$BE:$BE,'Input Data'!$N:$N,$C26)</f>
        <v>7974573.1914089266</v>
      </c>
      <c r="AK26" s="46">
        <f t="shared" si="3"/>
        <v>42017196.510171779</v>
      </c>
      <c r="AL26" s="4"/>
    </row>
    <row r="27" spans="1:38" x14ac:dyDescent="0.35">
      <c r="A27" s="4"/>
      <c r="B27" s="33"/>
      <c r="C27" t="str">
        <v>Airbus Defence and Space (Stevenage)</v>
      </c>
      <c r="D27" s="48">
        <f>+SUMIFS('Input Data'!$AK:$AK,'Input Data'!$N:$N,$C27)</f>
        <v>10003270.3710598</v>
      </c>
      <c r="E27" s="21">
        <f>+SUMIFS('Input Data'!$AH:$AH,'Input Data'!$N:$N,$C27)</f>
        <v>312602.19909561874</v>
      </c>
      <c r="F27" s="21">
        <f>+SUMIFS('Input Data'!$AY:$AY,'Input Data'!$N:$N,$C27)</f>
        <v>2000654.07421196</v>
      </c>
      <c r="G27" s="21">
        <f>+SUMIFS('Input Data'!AO:AO,'Input Data'!$N:$N,$C27)</f>
        <v>0</v>
      </c>
      <c r="H27" s="21">
        <v>0</v>
      </c>
      <c r="I27" s="191">
        <f>+SUMIFS('Input Data'!$BF:$BF,'Input Data'!$N:$N,$C27)</f>
        <v>8002616.2968478398</v>
      </c>
      <c r="J27" s="48">
        <f>+SUMIFS('Input Data'!$AK:$AK,'Input Data'!$N:$N,$C27,'Input Data'!$V:$V,"FUL")</f>
        <v>0</v>
      </c>
      <c r="K27" s="21">
        <f>+SUMIFS('Input Data'!$AY:$AY,'Input Data'!$N:$N,$C27,'Input Data'!$V:$V,"FUL")</f>
        <v>0</v>
      </c>
      <c r="L27" s="21">
        <f>+SUMIFS('Input Data'!$AO:$AO,'Input Data'!$N:$N,$C27,'Input Data'!$V:$V,"FUL")</f>
        <v>0</v>
      </c>
      <c r="M27" s="21">
        <f>+SUMIFS('Input Data'!$BH:$BH,'Input Data'!$N:$N,$C27,'Input Data'!$V:$V,"FUL")</f>
        <v>0</v>
      </c>
      <c r="N27" s="21">
        <f t="shared" si="4"/>
        <v>0</v>
      </c>
      <c r="O27" s="21">
        <f t="shared" si="1"/>
        <v>0</v>
      </c>
      <c r="P27" s="191">
        <f t="shared" si="5"/>
        <v>0</v>
      </c>
      <c r="Q27" s="48">
        <f>+SUMIFS('Input Data'!$AK:$AK,'Input Data'!$N:$N,$C27,'Input Data'!$V:$V,"FIID")</f>
        <v>10003270.3710598</v>
      </c>
      <c r="R27" s="21">
        <f>+SUMIFS('Input Data'!$AY:$AY,'Input Data'!$N:$N,$C27,'Input Data'!$V:$V,"FIID")</f>
        <v>2000654.07421196</v>
      </c>
      <c r="S27" s="21">
        <f>+SUMIFS('Input Data'!$AO:$AO,'Input Data'!$N:$N,$C27,'Input Data'!$V:$V,"FIID")</f>
        <v>0</v>
      </c>
      <c r="T27" s="21">
        <f>+SUMIFS('Input Data'!$BH:$BH,'Input Data'!$N:$N,$C27,'Input Data'!$V:$V,"FIID")</f>
        <v>6802223.8523206636</v>
      </c>
      <c r="U27" s="21">
        <f t="shared" si="6"/>
        <v>1200392.4445271762</v>
      </c>
      <c r="V27" s="21">
        <f t="shared" si="7"/>
        <v>0</v>
      </c>
      <c r="W27" s="191">
        <f t="shared" si="8"/>
        <v>1200392.4445271762</v>
      </c>
      <c r="X27" s="48">
        <f>+SUMIFS('Input Data'!$AK:$AK,'Input Data'!$N:$N,$C27,'Input Data'!$V:$V,"FIBL")</f>
        <v>0</v>
      </c>
      <c r="Y27" s="21">
        <f>+SUMIFS('Input Data'!$AY:$AY,'Input Data'!$N:$N,$C27,'Input Data'!$V:$V,"FIBL")</f>
        <v>0</v>
      </c>
      <c r="Z27" s="21">
        <f>+SUMIFS('Input Data'!$AO:$AO,'Input Data'!$N:$N,$C27,'Input Data'!$V:$V,"FIID")</f>
        <v>0</v>
      </c>
      <c r="AA27" s="21">
        <v>0</v>
      </c>
      <c r="AB27" s="21">
        <f t="shared" si="9"/>
        <v>0</v>
      </c>
      <c r="AC27" s="21">
        <v>0</v>
      </c>
      <c r="AD27" s="191">
        <f t="shared" si="10"/>
        <v>0</v>
      </c>
      <c r="AE27" s="21"/>
      <c r="AF27" s="6"/>
      <c r="AG27" s="6"/>
      <c r="AH27" s="6"/>
      <c r="AI27" s="46">
        <f t="shared" si="2"/>
        <v>6802223.8523206636</v>
      </c>
      <c r="AJ27" s="46">
        <f>+SUMIFS('Input Data'!$BE:$BE,'Input Data'!$N:$N,$C27)</f>
        <v>833605.86425498337</v>
      </c>
      <c r="AK27" s="46">
        <f t="shared" si="3"/>
        <v>7635829.7165756468</v>
      </c>
      <c r="AL27" s="4"/>
    </row>
    <row r="28" spans="1:38" x14ac:dyDescent="0.35">
      <c r="A28" s="4"/>
      <c r="B28" s="33"/>
      <c r="C28" t="str">
        <v>Thales Alenia Space France (Toulouse)</v>
      </c>
      <c r="D28" s="48">
        <f>+SUMIFS('Input Data'!$AK:$AK,'Input Data'!$N:$N,$C28)</f>
        <v>6529238.3396333996</v>
      </c>
      <c r="E28" s="21">
        <f>+SUMIFS('Input Data'!$AH:$AH,'Input Data'!$N:$N,$C28)</f>
        <v>204038.69811354374</v>
      </c>
      <c r="F28" s="21">
        <f>+SUMIFS('Input Data'!$AY:$AY,'Input Data'!$N:$N,$C28)</f>
        <v>1305847.6679266801</v>
      </c>
      <c r="G28" s="21">
        <f>+SUMIFS('Input Data'!AO:AO,'Input Data'!$N:$N,$C28)</f>
        <v>0</v>
      </c>
      <c r="H28" s="21">
        <v>0</v>
      </c>
      <c r="I28" s="191">
        <f>+SUMIFS('Input Data'!$BF:$BF,'Input Data'!$N:$N,$C28)</f>
        <v>5223390.6717067193</v>
      </c>
      <c r="J28" s="48">
        <f>+SUMIFS('Input Data'!$AK:$AK,'Input Data'!$N:$N,$C28,'Input Data'!$V:$V,"FUL")</f>
        <v>6529238.3396333996</v>
      </c>
      <c r="K28" s="21">
        <f>+SUMIFS('Input Data'!$AY:$AY,'Input Data'!$N:$N,$C28,'Input Data'!$V:$V,"FUL")</f>
        <v>1305847.6679266801</v>
      </c>
      <c r="L28" s="21">
        <f>+SUMIFS('Input Data'!$AO:$AO,'Input Data'!$N:$N,$C28,'Input Data'!$V:$V,"FUL")</f>
        <v>0</v>
      </c>
      <c r="M28" s="21">
        <f>+SUMIFS('Input Data'!$BH:$BH,'Input Data'!$N:$N,$C28,'Input Data'!$V:$V,"FUL")</f>
        <v>2611695.3358533597</v>
      </c>
      <c r="N28" s="21">
        <f t="shared" si="4"/>
        <v>2611695.3358533597</v>
      </c>
      <c r="O28" s="21">
        <f t="shared" si="1"/>
        <v>0</v>
      </c>
      <c r="P28" s="191">
        <f t="shared" si="5"/>
        <v>2611695.3358533597</v>
      </c>
      <c r="Q28" s="48">
        <f>+SUMIFS('Input Data'!$AK:$AK,'Input Data'!$N:$N,$C28,'Input Data'!$V:$V,"FIID")</f>
        <v>0</v>
      </c>
      <c r="R28" s="21">
        <f>+SUMIFS('Input Data'!$AY:$AY,'Input Data'!$N:$N,$C28,'Input Data'!$V:$V,"FIID")</f>
        <v>0</v>
      </c>
      <c r="S28" s="21">
        <f>+SUMIFS('Input Data'!$AO:$AO,'Input Data'!$N:$N,$C28,'Input Data'!$V:$V,"FIID")</f>
        <v>0</v>
      </c>
      <c r="T28" s="21">
        <f>+SUMIFS('Input Data'!$BH:$BH,'Input Data'!$N:$N,$C28,'Input Data'!$V:$V,"FIID")</f>
        <v>0</v>
      </c>
      <c r="U28" s="21">
        <f t="shared" si="6"/>
        <v>0</v>
      </c>
      <c r="V28" s="21">
        <f t="shared" si="7"/>
        <v>0</v>
      </c>
      <c r="W28" s="191">
        <f t="shared" si="8"/>
        <v>0</v>
      </c>
      <c r="X28" s="48">
        <f>+SUMIFS('Input Data'!$AK:$AK,'Input Data'!$N:$N,$C28,'Input Data'!$V:$V,"FIBL")</f>
        <v>0</v>
      </c>
      <c r="Y28" s="21">
        <f>+SUMIFS('Input Data'!$AY:$AY,'Input Data'!$N:$N,$C28,'Input Data'!$V:$V,"FIBL")</f>
        <v>0</v>
      </c>
      <c r="Z28" s="21">
        <f>+SUMIFS('Input Data'!$AO:$AO,'Input Data'!$N:$N,$C28,'Input Data'!$V:$V,"FIID")</f>
        <v>0</v>
      </c>
      <c r="AA28" s="21">
        <v>0</v>
      </c>
      <c r="AB28" s="21">
        <f t="shared" si="9"/>
        <v>0</v>
      </c>
      <c r="AC28" s="21">
        <v>0</v>
      </c>
      <c r="AD28" s="191">
        <f t="shared" si="10"/>
        <v>0</v>
      </c>
      <c r="AE28" s="21"/>
      <c r="AF28" s="6"/>
      <c r="AG28" s="6"/>
      <c r="AH28" s="6"/>
      <c r="AI28" s="46">
        <f t="shared" si="2"/>
        <v>2611695.3358533597</v>
      </c>
      <c r="AJ28" s="46">
        <f>+SUMIFS('Input Data'!$BE:$BE,'Input Data'!$N:$N,$C28)</f>
        <v>544103.19496945001</v>
      </c>
      <c r="AK28" s="46">
        <f t="shared" si="3"/>
        <v>3155798.5308228098</v>
      </c>
      <c r="AL28" s="4"/>
    </row>
    <row r="29" spans="1:38" x14ac:dyDescent="0.35">
      <c r="A29" s="4"/>
      <c r="B29" s="33"/>
      <c r="C29" t="str">
        <v>NGIS (Northrop Grumman Innovation Systems)</v>
      </c>
      <c r="D29" s="48">
        <f>+SUMIFS('Input Data'!$AK:$AK,'Input Data'!$N:$N,$C29)</f>
        <v>3092820.6134019899</v>
      </c>
      <c r="E29" s="21">
        <f>+SUMIFS('Input Data'!$AH:$AH,'Input Data'!$N:$N,$C29)</f>
        <v>96650.644168812185</v>
      </c>
      <c r="F29" s="21">
        <f>+SUMIFS('Input Data'!$AY:$AY,'Input Data'!$N:$N,$C29)</f>
        <v>618564.12268039805</v>
      </c>
      <c r="G29" s="21">
        <f>+SUMIFS('Input Data'!AO:AO,'Input Data'!$N:$N,$C29)</f>
        <v>0</v>
      </c>
      <c r="H29" s="21">
        <v>0</v>
      </c>
      <c r="I29" s="191">
        <f>+SUMIFS('Input Data'!$BF:$BF,'Input Data'!$N:$N,$C29)</f>
        <v>2474256.4907215917</v>
      </c>
      <c r="J29" s="48">
        <f>+SUMIFS('Input Data'!$AK:$AK,'Input Data'!$N:$N,$C29,'Input Data'!$V:$V,"FUL")</f>
        <v>0</v>
      </c>
      <c r="K29" s="21">
        <f>+SUMIFS('Input Data'!$AY:$AY,'Input Data'!$N:$N,$C29,'Input Data'!$V:$V,"FUL")</f>
        <v>0</v>
      </c>
      <c r="L29" s="21">
        <f>+SUMIFS('Input Data'!$AO:$AO,'Input Data'!$N:$N,$C29,'Input Data'!$V:$V,"FUL")</f>
        <v>0</v>
      </c>
      <c r="M29" s="21">
        <f>+SUMIFS('Input Data'!$BH:$BH,'Input Data'!$N:$N,$C29,'Input Data'!$V:$V,"FUL")</f>
        <v>0</v>
      </c>
      <c r="N29" s="21">
        <f t="shared" si="4"/>
        <v>0</v>
      </c>
      <c r="O29" s="21">
        <f t="shared" si="1"/>
        <v>0</v>
      </c>
      <c r="P29" s="191">
        <f t="shared" si="5"/>
        <v>0</v>
      </c>
      <c r="Q29" s="48">
        <f>+SUMIFS('Input Data'!$AK:$AK,'Input Data'!$N:$N,$C29,'Input Data'!$V:$V,"FIID")</f>
        <v>3092820.6134019899</v>
      </c>
      <c r="R29" s="21">
        <f>+SUMIFS('Input Data'!$AY:$AY,'Input Data'!$N:$N,$C29,'Input Data'!$V:$V,"FIID")</f>
        <v>618564.12268039805</v>
      </c>
      <c r="S29" s="21">
        <f>+SUMIFS('Input Data'!$AO:$AO,'Input Data'!$N:$N,$C29,'Input Data'!$V:$V,"FIID")</f>
        <v>0</v>
      </c>
      <c r="T29" s="21">
        <f>+SUMIFS('Input Data'!$BH:$BH,'Input Data'!$N:$N,$C29,'Input Data'!$V:$V,"FIID")</f>
        <v>2103118.0171133531</v>
      </c>
      <c r="U29" s="21">
        <f t="shared" si="6"/>
        <v>371138.47360823862</v>
      </c>
      <c r="V29" s="21">
        <f t="shared" si="7"/>
        <v>0</v>
      </c>
      <c r="W29" s="191">
        <f t="shared" si="8"/>
        <v>371138.47360823862</v>
      </c>
      <c r="X29" s="48">
        <f>+SUMIFS('Input Data'!$AK:$AK,'Input Data'!$N:$N,$C29,'Input Data'!$V:$V,"FIBL")</f>
        <v>0</v>
      </c>
      <c r="Y29" s="21">
        <f>+SUMIFS('Input Data'!$AY:$AY,'Input Data'!$N:$N,$C29,'Input Data'!$V:$V,"FIBL")</f>
        <v>0</v>
      </c>
      <c r="Z29" s="21">
        <f>+SUMIFS('Input Data'!$AO:$AO,'Input Data'!$N:$N,$C29,'Input Data'!$V:$V,"FIID")</f>
        <v>0</v>
      </c>
      <c r="AA29" s="21">
        <v>0</v>
      </c>
      <c r="AB29" s="21">
        <f t="shared" si="9"/>
        <v>0</v>
      </c>
      <c r="AC29" s="21">
        <v>0</v>
      </c>
      <c r="AD29" s="191">
        <f t="shared" si="10"/>
        <v>0</v>
      </c>
      <c r="AE29" s="21"/>
      <c r="AF29" s="6"/>
      <c r="AG29" s="6"/>
      <c r="AH29" s="6"/>
      <c r="AI29" s="46">
        <f t="shared" si="2"/>
        <v>2103118.0171133531</v>
      </c>
      <c r="AJ29" s="46">
        <f>+SUMIFS('Input Data'!$BE:$BE,'Input Data'!$N:$N,$C29)</f>
        <v>257735.05111683253</v>
      </c>
      <c r="AK29" s="46">
        <f t="shared" si="3"/>
        <v>2360853.0682301857</v>
      </c>
      <c r="AL29" s="4"/>
    </row>
    <row r="30" spans="1:38" x14ac:dyDescent="0.35">
      <c r="A30" s="4"/>
      <c r="B30" s="33"/>
      <c r="C30" t="str">
        <v>NULL</v>
      </c>
      <c r="D30" s="48">
        <f>+SUMIFS('Input Data'!$AK:$AK,'Input Data'!$N:$N,$C30)</f>
        <v>0</v>
      </c>
      <c r="E30" s="21">
        <f>+SUMIFS('Input Data'!$AH:$AH,'Input Data'!$N:$N,$C30)</f>
        <v>0</v>
      </c>
      <c r="F30" s="21">
        <f>+SUMIFS('Input Data'!$AY:$AY,'Input Data'!$N:$N,$C30)</f>
        <v>0</v>
      </c>
      <c r="G30" s="21">
        <f>+SUMIFS('Input Data'!AO:AO,'Input Data'!$N:$N,$C30)</f>
        <v>0</v>
      </c>
      <c r="H30" s="21">
        <v>0</v>
      </c>
      <c r="I30" s="191">
        <f>+SUMIFS('Input Data'!$BF:$BF,'Input Data'!$N:$N,$C30)</f>
        <v>0</v>
      </c>
      <c r="J30" s="48">
        <f>+SUMIFS('Input Data'!$AK:$AK,'Input Data'!$N:$N,$C30,'Input Data'!$V:$V,"FUL")</f>
        <v>0</v>
      </c>
      <c r="K30" s="21">
        <f>+SUMIFS('Input Data'!$AY:$AY,'Input Data'!$N:$N,$C30,'Input Data'!$V:$V,"FUL")</f>
        <v>0</v>
      </c>
      <c r="L30" s="21">
        <f>+SUMIFS('Input Data'!$AO:$AO,'Input Data'!$N:$N,$C30,'Input Data'!$V:$V,"FUL")</f>
        <v>0</v>
      </c>
      <c r="M30" s="21">
        <f>+SUMIFS('Input Data'!$BH:$BH,'Input Data'!$N:$N,$C30,'Input Data'!$V:$V,"FUL")</f>
        <v>0</v>
      </c>
      <c r="N30" s="21">
        <f t="shared" si="4"/>
        <v>0</v>
      </c>
      <c r="O30" s="21">
        <f t="shared" si="1"/>
        <v>0</v>
      </c>
      <c r="P30" s="191">
        <f t="shared" si="5"/>
        <v>0</v>
      </c>
      <c r="Q30" s="48">
        <f>+SUMIFS('Input Data'!$AK:$AK,'Input Data'!$N:$N,$C30,'Input Data'!$V:$V,"FIID")</f>
        <v>0</v>
      </c>
      <c r="R30" s="21">
        <f>+SUMIFS('Input Data'!$AY:$AY,'Input Data'!$N:$N,$C30,'Input Data'!$V:$V,"FIID")</f>
        <v>0</v>
      </c>
      <c r="S30" s="21">
        <f>+SUMIFS('Input Data'!$AO:$AO,'Input Data'!$N:$N,$C30,'Input Data'!$V:$V,"FIID")</f>
        <v>0</v>
      </c>
      <c r="T30" s="21">
        <f>+SUMIFS('Input Data'!$BH:$BH,'Input Data'!$N:$N,$C30,'Input Data'!$V:$V,"FIID")</f>
        <v>0</v>
      </c>
      <c r="U30" s="21">
        <f t="shared" si="6"/>
        <v>0</v>
      </c>
      <c r="V30" s="21">
        <f t="shared" si="7"/>
        <v>0</v>
      </c>
      <c r="W30" s="191">
        <f t="shared" si="8"/>
        <v>0</v>
      </c>
      <c r="X30" s="48">
        <f>+SUMIFS('Input Data'!$AK:$AK,'Input Data'!$N:$N,$C30,'Input Data'!$V:$V,"FIBL")</f>
        <v>0</v>
      </c>
      <c r="Y30" s="21">
        <f>+SUMIFS('Input Data'!$AY:$AY,'Input Data'!$N:$N,$C30,'Input Data'!$V:$V,"FIBL")</f>
        <v>0</v>
      </c>
      <c r="Z30" s="21">
        <f>+SUMIFS('Input Data'!$AO:$AO,'Input Data'!$N:$N,$C30,'Input Data'!$V:$V,"FIID")</f>
        <v>0</v>
      </c>
      <c r="AA30" s="21">
        <v>0</v>
      </c>
      <c r="AB30" s="21">
        <f t="shared" si="9"/>
        <v>0</v>
      </c>
      <c r="AC30" s="21">
        <v>0</v>
      </c>
      <c r="AD30" s="191">
        <f t="shared" si="10"/>
        <v>0</v>
      </c>
      <c r="AE30" s="21"/>
      <c r="AF30" s="6"/>
      <c r="AG30" s="6"/>
      <c r="AH30" s="6"/>
      <c r="AI30" s="46">
        <f t="shared" si="2"/>
        <v>0</v>
      </c>
      <c r="AJ30" s="46">
        <f>+SUMIFS('Input Data'!$BE:$BE,'Input Data'!$N:$N,$C30)</f>
        <v>0</v>
      </c>
      <c r="AK30" s="46">
        <f t="shared" si="3"/>
        <v>0</v>
      </c>
      <c r="AL30" s="4"/>
    </row>
    <row r="31" spans="1:38" x14ac:dyDescent="0.35">
      <c r="A31" s="4"/>
      <c r="B31" s="33"/>
      <c r="C31" t="str">
        <v>OHB-SYSTEM AG (HQ)</v>
      </c>
      <c r="D31" s="48">
        <f>+SUMIFS('Input Data'!$AK:$AK,'Input Data'!$N:$N,$C31)</f>
        <v>5257732.5685566999</v>
      </c>
      <c r="E31" s="21">
        <f>+SUMIFS('Input Data'!$AH:$AH,'Input Data'!$N:$N,$C31)</f>
        <v>164304.14276739687</v>
      </c>
      <c r="F31" s="21">
        <f>+SUMIFS('Input Data'!$AY:$AY,'Input Data'!$N:$N,$C31)</f>
        <v>1051546.51371134</v>
      </c>
      <c r="G31" s="21">
        <f>+SUMIFS('Input Data'!AO:AO,'Input Data'!$N:$N,$C31)</f>
        <v>0</v>
      </c>
      <c r="H31" s="21">
        <v>0</v>
      </c>
      <c r="I31" s="191">
        <f>+SUMIFS('Input Data'!$BF:$BF,'Input Data'!$N:$N,$C31)</f>
        <v>4206186.0548453601</v>
      </c>
      <c r="J31" s="48">
        <f>+SUMIFS('Input Data'!$AK:$AK,'Input Data'!$N:$N,$C31,'Input Data'!$V:$V,"FUL")</f>
        <v>5257732.5685566999</v>
      </c>
      <c r="K31" s="21">
        <f>+SUMIFS('Input Data'!$AY:$AY,'Input Data'!$N:$N,$C31,'Input Data'!$V:$V,"FUL")</f>
        <v>1051546.51371134</v>
      </c>
      <c r="L31" s="21">
        <f>+SUMIFS('Input Data'!$AO:$AO,'Input Data'!$N:$N,$C31,'Input Data'!$V:$V,"FUL")</f>
        <v>0</v>
      </c>
      <c r="M31" s="21">
        <f>+SUMIFS('Input Data'!$BH:$BH,'Input Data'!$N:$N,$C31,'Input Data'!$V:$V,"FUL")</f>
        <v>2103093.0274226801</v>
      </c>
      <c r="N31" s="21">
        <f t="shared" si="4"/>
        <v>2103093.0274226801</v>
      </c>
      <c r="O31" s="21">
        <f t="shared" si="1"/>
        <v>0</v>
      </c>
      <c r="P31" s="191">
        <f t="shared" si="5"/>
        <v>2103093.0274226801</v>
      </c>
      <c r="Q31" s="48">
        <f>+SUMIFS('Input Data'!$AK:$AK,'Input Data'!$N:$N,$C31,'Input Data'!$V:$V,"FIID")</f>
        <v>0</v>
      </c>
      <c r="R31" s="21">
        <f>+SUMIFS('Input Data'!$AY:$AY,'Input Data'!$N:$N,$C31,'Input Data'!$V:$V,"FIID")</f>
        <v>0</v>
      </c>
      <c r="S31" s="21">
        <f>+SUMIFS('Input Data'!$AO:$AO,'Input Data'!$N:$N,$C31,'Input Data'!$V:$V,"FIID")</f>
        <v>0</v>
      </c>
      <c r="T31" s="21">
        <f>+SUMIFS('Input Data'!$BH:$BH,'Input Data'!$N:$N,$C31,'Input Data'!$V:$V,"FIID")</f>
        <v>0</v>
      </c>
      <c r="U31" s="21">
        <f t="shared" si="6"/>
        <v>0</v>
      </c>
      <c r="V31" s="21">
        <f t="shared" si="7"/>
        <v>0</v>
      </c>
      <c r="W31" s="191">
        <f t="shared" si="8"/>
        <v>0</v>
      </c>
      <c r="X31" s="48">
        <f>+SUMIFS('Input Data'!$AK:$AK,'Input Data'!$N:$N,$C31,'Input Data'!$V:$V,"FIBL")</f>
        <v>0</v>
      </c>
      <c r="Y31" s="21">
        <f>+SUMIFS('Input Data'!$AY:$AY,'Input Data'!$N:$N,$C31,'Input Data'!$V:$V,"FIBL")</f>
        <v>0</v>
      </c>
      <c r="Z31" s="21">
        <f>+SUMIFS('Input Data'!$AO:$AO,'Input Data'!$N:$N,$C31,'Input Data'!$V:$V,"FIID")</f>
        <v>0</v>
      </c>
      <c r="AA31" s="21">
        <v>0</v>
      </c>
      <c r="AB31" s="21">
        <f t="shared" si="9"/>
        <v>0</v>
      </c>
      <c r="AC31" s="21">
        <v>0</v>
      </c>
      <c r="AD31" s="191">
        <f t="shared" si="10"/>
        <v>0</v>
      </c>
      <c r="AE31" s="21"/>
      <c r="AF31" s="6"/>
      <c r="AG31" s="6"/>
      <c r="AH31" s="6"/>
      <c r="AI31" s="46">
        <f t="shared" si="2"/>
        <v>2103093.0274226801</v>
      </c>
      <c r="AJ31" s="46">
        <f>+SUMIFS('Input Data'!$BE:$BE,'Input Data'!$N:$N,$C31)</f>
        <v>438144.38071305834</v>
      </c>
      <c r="AK31" s="46">
        <f t="shared" si="3"/>
        <v>2541237.4081357382</v>
      </c>
      <c r="AL31" s="4"/>
    </row>
    <row r="32" spans="1:38" x14ac:dyDescent="0.35">
      <c r="A32" s="4"/>
      <c r="B32" s="33"/>
      <c r="C32" t="str">
        <v>BALL AEROSPACE AND TECHNOLOGIES CORP (HQ)</v>
      </c>
      <c r="D32" s="48">
        <f>+SUMIFS('Input Data'!$AK:$AK,'Input Data'!$N:$N,$C32)</f>
        <v>16391748.838659801</v>
      </c>
      <c r="E32" s="21">
        <f>+SUMIFS('Input Data'!$AH:$AH,'Input Data'!$N:$N,$C32)</f>
        <v>512242.15120811877</v>
      </c>
      <c r="F32" s="21">
        <f>+SUMIFS('Input Data'!$AY:$AY,'Input Data'!$N:$N,$C32)</f>
        <v>3278349.7677319609</v>
      </c>
      <c r="G32" s="21">
        <f>+SUMIFS('Input Data'!AO:AO,'Input Data'!$N:$N,$C32)</f>
        <v>0</v>
      </c>
      <c r="H32" s="21">
        <v>0</v>
      </c>
      <c r="I32" s="191">
        <f>+SUMIFS('Input Data'!$BF:$BF,'Input Data'!$N:$N,$C32)</f>
        <v>13113399.070927838</v>
      </c>
      <c r="J32" s="48">
        <f>+SUMIFS('Input Data'!$AK:$AK,'Input Data'!$N:$N,$C32,'Input Data'!$V:$V,"FUL")</f>
        <v>16391748.838659801</v>
      </c>
      <c r="K32" s="21">
        <f>+SUMIFS('Input Data'!$AY:$AY,'Input Data'!$N:$N,$C32,'Input Data'!$V:$V,"FUL")</f>
        <v>3278349.7677319609</v>
      </c>
      <c r="L32" s="21">
        <f>+SUMIFS('Input Data'!$AO:$AO,'Input Data'!$N:$N,$C32,'Input Data'!$V:$V,"FUL")</f>
        <v>0</v>
      </c>
      <c r="M32" s="21">
        <f>+SUMIFS('Input Data'!$BH:$BH,'Input Data'!$N:$N,$C32,'Input Data'!$V:$V,"FUL")</f>
        <v>6556699.5354639189</v>
      </c>
      <c r="N32" s="21">
        <f t="shared" si="4"/>
        <v>6556699.5354639208</v>
      </c>
      <c r="O32" s="21">
        <f t="shared" si="1"/>
        <v>0</v>
      </c>
      <c r="P32" s="191">
        <f t="shared" si="5"/>
        <v>6556699.5354639208</v>
      </c>
      <c r="Q32" s="48">
        <f>+SUMIFS('Input Data'!$AK:$AK,'Input Data'!$N:$N,$C32,'Input Data'!$V:$V,"FIID")</f>
        <v>0</v>
      </c>
      <c r="R32" s="21">
        <f>+SUMIFS('Input Data'!$AY:$AY,'Input Data'!$N:$N,$C32,'Input Data'!$V:$V,"FIID")</f>
        <v>0</v>
      </c>
      <c r="S32" s="21">
        <f>+SUMIFS('Input Data'!$AO:$AO,'Input Data'!$N:$N,$C32,'Input Data'!$V:$V,"FIID")</f>
        <v>0</v>
      </c>
      <c r="T32" s="21">
        <f>+SUMIFS('Input Data'!$BH:$BH,'Input Data'!$N:$N,$C32,'Input Data'!$V:$V,"FIID")</f>
        <v>0</v>
      </c>
      <c r="U32" s="21">
        <f t="shared" si="6"/>
        <v>0</v>
      </c>
      <c r="V32" s="21">
        <f t="shared" si="7"/>
        <v>0</v>
      </c>
      <c r="W32" s="191">
        <f t="shared" si="8"/>
        <v>0</v>
      </c>
      <c r="X32" s="48">
        <f>+SUMIFS('Input Data'!$AK:$AK,'Input Data'!$N:$N,$C32,'Input Data'!$V:$V,"FIBL")</f>
        <v>0</v>
      </c>
      <c r="Y32" s="21">
        <f>+SUMIFS('Input Data'!$AY:$AY,'Input Data'!$N:$N,$C32,'Input Data'!$V:$V,"FIBL")</f>
        <v>0</v>
      </c>
      <c r="Z32" s="21">
        <f>+SUMIFS('Input Data'!$AO:$AO,'Input Data'!$N:$N,$C32,'Input Data'!$V:$V,"FIID")</f>
        <v>0</v>
      </c>
      <c r="AA32" s="21">
        <v>0</v>
      </c>
      <c r="AB32" s="21">
        <f t="shared" si="9"/>
        <v>0</v>
      </c>
      <c r="AC32" s="21">
        <v>0</v>
      </c>
      <c r="AD32" s="191">
        <f t="shared" si="10"/>
        <v>0</v>
      </c>
      <c r="AE32" s="21"/>
      <c r="AF32" s="6"/>
      <c r="AG32" s="6"/>
      <c r="AH32" s="6"/>
      <c r="AI32" s="46">
        <f t="shared" si="2"/>
        <v>6556699.5354639189</v>
      </c>
      <c r="AJ32" s="46">
        <f>+SUMIFS('Input Data'!$BE:$BE,'Input Data'!$N:$N,$C32)</f>
        <v>1365979.069888317</v>
      </c>
      <c r="AK32" s="46">
        <f t="shared" si="3"/>
        <v>7922678.605352236</v>
      </c>
      <c r="AL32" s="4"/>
    </row>
    <row r="33" spans="1:38" x14ac:dyDescent="0.35">
      <c r="A33" s="4"/>
      <c r="B33" s="33"/>
      <c r="C33" t="str">
        <v>Mitsubishi Electric Corp (MELCO)</v>
      </c>
      <c r="D33" s="48">
        <f>+SUMIFS('Input Data'!$AK:$AK,'Input Data'!$N:$N,$C33)</f>
        <v>20717130.893306468</v>
      </c>
      <c r="E33" s="21">
        <f>+SUMIFS('Input Data'!$AH:$AH,'Input Data'!$N:$N,$C33)</f>
        <v>647410.34041582712</v>
      </c>
      <c r="F33" s="21">
        <f>+SUMIFS('Input Data'!$AY:$AY,'Input Data'!$N:$N,$C33)</f>
        <v>4143426.1786612943</v>
      </c>
      <c r="G33" s="21">
        <f>+SUMIFS('Input Data'!AO:AO,'Input Data'!$N:$N,$C33)</f>
        <v>0</v>
      </c>
      <c r="H33" s="21">
        <v>0</v>
      </c>
      <c r="I33" s="191">
        <f>+SUMIFS('Input Data'!$BF:$BF,'Input Data'!$N:$N,$C33)</f>
        <v>16573704.714645177</v>
      </c>
      <c r="J33" s="48">
        <f>+SUMIFS('Input Data'!$AK:$AK,'Input Data'!$N:$N,$C33,'Input Data'!$V:$V,"FUL")</f>
        <v>20717130.893306468</v>
      </c>
      <c r="K33" s="21">
        <f>+SUMIFS('Input Data'!$AY:$AY,'Input Data'!$N:$N,$C33,'Input Data'!$V:$V,"FUL")</f>
        <v>4143426.1786612943</v>
      </c>
      <c r="L33" s="21">
        <f>+SUMIFS('Input Data'!$AO:$AO,'Input Data'!$N:$N,$C33,'Input Data'!$V:$V,"FUL")</f>
        <v>0</v>
      </c>
      <c r="M33" s="21">
        <f>+SUMIFS('Input Data'!$BH:$BH,'Input Data'!$N:$N,$C33,'Input Data'!$V:$V,"FUL")</f>
        <v>8286852.3573225886</v>
      </c>
      <c r="N33" s="21">
        <f t="shared" si="4"/>
        <v>8286852.3573225848</v>
      </c>
      <c r="O33" s="21">
        <f t="shared" si="1"/>
        <v>0</v>
      </c>
      <c r="P33" s="191">
        <f t="shared" si="5"/>
        <v>8286852.3573225848</v>
      </c>
      <c r="Q33" s="48">
        <f>+SUMIFS('Input Data'!$AK:$AK,'Input Data'!$N:$N,$C33,'Input Data'!$V:$V,"FIID")</f>
        <v>0</v>
      </c>
      <c r="R33" s="21">
        <f>+SUMIFS('Input Data'!$AY:$AY,'Input Data'!$N:$N,$C33,'Input Data'!$V:$V,"FIID")</f>
        <v>0</v>
      </c>
      <c r="S33" s="21">
        <f>+SUMIFS('Input Data'!$AO:$AO,'Input Data'!$N:$N,$C33,'Input Data'!$V:$V,"FIID")</f>
        <v>0</v>
      </c>
      <c r="T33" s="21">
        <f>+SUMIFS('Input Data'!$BH:$BH,'Input Data'!$N:$N,$C33,'Input Data'!$V:$V,"FIID")</f>
        <v>0</v>
      </c>
      <c r="U33" s="21">
        <f t="shared" si="6"/>
        <v>0</v>
      </c>
      <c r="V33" s="21">
        <f t="shared" si="7"/>
        <v>0</v>
      </c>
      <c r="W33" s="191">
        <f t="shared" si="8"/>
        <v>0</v>
      </c>
      <c r="X33" s="48">
        <f>+SUMIFS('Input Data'!$AK:$AK,'Input Data'!$N:$N,$C33,'Input Data'!$V:$V,"FIBL")</f>
        <v>0</v>
      </c>
      <c r="Y33" s="21">
        <f>+SUMIFS('Input Data'!$AY:$AY,'Input Data'!$N:$N,$C33,'Input Data'!$V:$V,"FIBL")</f>
        <v>0</v>
      </c>
      <c r="Z33" s="21">
        <f>+SUMIFS('Input Data'!$AO:$AO,'Input Data'!$N:$N,$C33,'Input Data'!$V:$V,"FIID")</f>
        <v>0</v>
      </c>
      <c r="AA33" s="21">
        <v>0</v>
      </c>
      <c r="AB33" s="21">
        <f t="shared" si="9"/>
        <v>0</v>
      </c>
      <c r="AC33" s="21">
        <v>0</v>
      </c>
      <c r="AD33" s="191">
        <f t="shared" si="10"/>
        <v>0</v>
      </c>
      <c r="AE33" s="21"/>
      <c r="AF33" s="6"/>
      <c r="AG33" s="6"/>
      <c r="AH33" s="6"/>
      <c r="AI33" s="46">
        <f t="shared" si="2"/>
        <v>8286852.3573225886</v>
      </c>
      <c r="AJ33" s="46">
        <f>+SUMIFS('Input Data'!$BE:$BE,'Input Data'!$N:$N,$C33)</f>
        <v>1726427.574442206</v>
      </c>
      <c r="AK33" s="46">
        <f t="shared" si="3"/>
        <v>10013279.931764795</v>
      </c>
      <c r="AL33" s="4"/>
    </row>
    <row r="34" spans="1:38" x14ac:dyDescent="0.35">
      <c r="C34" t="str">
        <v>KARI - Korea Aerospace Research Institute</v>
      </c>
      <c r="D34" s="48">
        <f>+SUMIFS('Input Data'!$AK:$AK,'Input Data'!$N:$N,$C34)</f>
        <v>2003355.3188081901</v>
      </c>
      <c r="E34" s="21">
        <f>+SUMIFS('Input Data'!$AH:$AH,'Input Data'!$N:$N,$C34)</f>
        <v>62604.853712755939</v>
      </c>
      <c r="F34" s="21">
        <f>+SUMIFS('Input Data'!$AY:$AY,'Input Data'!$N:$N,$C34)</f>
        <v>400671.06376163801</v>
      </c>
      <c r="G34" s="21">
        <f>+SUMIFS('Input Data'!AO:AO,'Input Data'!$N:$N,$C34)</f>
        <v>0</v>
      </c>
      <c r="H34" s="21">
        <v>0</v>
      </c>
      <c r="I34" s="191">
        <f>+SUMIFS('Input Data'!$BF:$BF,'Input Data'!$N:$N,$C34)</f>
        <v>1602684.255046552</v>
      </c>
      <c r="J34" s="48">
        <f>+SUMIFS('Input Data'!$AK:$AK,'Input Data'!$N:$N,$C34,'Input Data'!$V:$V,"FUL")</f>
        <v>2003355.3188081901</v>
      </c>
      <c r="K34" s="21">
        <f>+SUMIFS('Input Data'!$AY:$AY,'Input Data'!$N:$N,$C34,'Input Data'!$V:$V,"FUL")</f>
        <v>400671.06376163801</v>
      </c>
      <c r="L34" s="21">
        <f>+SUMIFS('Input Data'!$AO:$AO,'Input Data'!$N:$N,$C34,'Input Data'!$V:$V,"FUL")</f>
        <v>0</v>
      </c>
      <c r="M34" s="21">
        <f>+SUMIFS('Input Data'!$BH:$BH,'Input Data'!$N:$N,$C34,'Input Data'!$V:$V,"FUL")</f>
        <v>801342.12752327602</v>
      </c>
      <c r="N34" s="21">
        <f t="shared" si="4"/>
        <v>801342.12752327602</v>
      </c>
      <c r="O34" s="21">
        <f t="shared" si="1"/>
        <v>0</v>
      </c>
      <c r="P34" s="191">
        <f t="shared" si="5"/>
        <v>801342.12752327602</v>
      </c>
      <c r="Q34" s="48">
        <f>+SUMIFS('Input Data'!$AK:$AK,'Input Data'!$N:$N,$C34,'Input Data'!$V:$V,"FIID")</f>
        <v>0</v>
      </c>
      <c r="R34" s="21">
        <f>+SUMIFS('Input Data'!$AY:$AY,'Input Data'!$N:$N,$C34,'Input Data'!$V:$V,"FIID")</f>
        <v>0</v>
      </c>
      <c r="S34" s="21">
        <f>+SUMIFS('Input Data'!$AO:$AO,'Input Data'!$N:$N,$C34,'Input Data'!$V:$V,"FIID")</f>
        <v>0</v>
      </c>
      <c r="T34" s="21">
        <f>+SUMIFS('Input Data'!$BH:$BH,'Input Data'!$N:$N,$C34,'Input Data'!$V:$V,"FIID")</f>
        <v>0</v>
      </c>
      <c r="U34" s="21">
        <f t="shared" si="6"/>
        <v>0</v>
      </c>
      <c r="V34" s="21">
        <f t="shared" si="7"/>
        <v>0</v>
      </c>
      <c r="W34" s="191">
        <f t="shared" si="8"/>
        <v>0</v>
      </c>
      <c r="X34" s="48">
        <f>+SUMIFS('Input Data'!$AK:$AK,'Input Data'!$N:$N,$C34,'Input Data'!$V:$V,"FIBL")</f>
        <v>0</v>
      </c>
      <c r="Y34" s="21">
        <f>+SUMIFS('Input Data'!$AY:$AY,'Input Data'!$N:$N,$C34,'Input Data'!$V:$V,"FIBL")</f>
        <v>0</v>
      </c>
      <c r="Z34" s="21">
        <f>+SUMIFS('Input Data'!$AO:$AO,'Input Data'!$N:$N,$C34,'Input Data'!$V:$V,"FIID")</f>
        <v>0</v>
      </c>
      <c r="AA34" s="21">
        <v>0</v>
      </c>
      <c r="AB34" s="21">
        <f t="shared" si="9"/>
        <v>0</v>
      </c>
      <c r="AC34" s="21">
        <v>0</v>
      </c>
      <c r="AD34" s="191">
        <f t="shared" si="10"/>
        <v>0</v>
      </c>
      <c r="AE34" s="21"/>
      <c r="AF34" s="6"/>
      <c r="AG34" s="6"/>
      <c r="AH34" s="6"/>
      <c r="AI34" s="46">
        <f t="shared" si="2"/>
        <v>801342.12752327602</v>
      </c>
      <c r="AJ34" s="46">
        <f>+SUMIFS('Input Data'!$BE:$BE,'Input Data'!$N:$N,$C34)</f>
        <v>166946.27656734918</v>
      </c>
      <c r="AK34" s="46">
        <f t="shared" si="3"/>
        <v>968288.40409062523</v>
      </c>
      <c r="AL34" s="4"/>
    </row>
    <row r="35" spans="1:38" x14ac:dyDescent="0.35">
      <c r="C35" t="str">
        <v>Orbital Sciences Corporation</v>
      </c>
      <c r="D35" s="48">
        <f>+SUMIFS('Input Data'!$AK:$AK,'Input Data'!$N:$N,$C35)</f>
        <v>9918729.7988000009</v>
      </c>
      <c r="E35" s="21">
        <f>+SUMIFS('Input Data'!$AH:$AH,'Input Data'!$N:$N,$C35)</f>
        <v>365766.80045500002</v>
      </c>
      <c r="F35" s="21">
        <f>+SUMIFS('Input Data'!$AY:$AY,'Input Data'!$N:$N,$C35)</f>
        <v>1983745.95976</v>
      </c>
      <c r="G35" s="21">
        <f>+SUMIFS('Input Data'!AO:AO,'Input Data'!$N:$N,$C35)</f>
        <v>0</v>
      </c>
      <c r="H35" s="21">
        <v>0</v>
      </c>
      <c r="I35" s="191">
        <f>+SUMIFS('Input Data'!$BF:$BF,'Input Data'!$N:$N,$C35)</f>
        <v>7934983.83904</v>
      </c>
      <c r="J35" s="48">
        <f>+SUMIFS('Input Data'!$AK:$AK,'Input Data'!$N:$N,$C35,'Input Data'!$V:$V,"FUL")</f>
        <v>7565769.7988000009</v>
      </c>
      <c r="K35" s="21">
        <f>+SUMIFS('Input Data'!$AY:$AY,'Input Data'!$N:$N,$C35,'Input Data'!$V:$V,"FUL")</f>
        <v>1513153.95976</v>
      </c>
      <c r="L35" s="21">
        <f>+SUMIFS('Input Data'!$AO:$AO,'Input Data'!$N:$N,$C35,'Input Data'!$V:$V,"FUL")</f>
        <v>0</v>
      </c>
      <c r="M35" s="21">
        <f>+SUMIFS('Input Data'!$BH:$BH,'Input Data'!$N:$N,$C35,'Input Data'!$V:$V,"FUL")</f>
        <v>3026307.91952</v>
      </c>
      <c r="N35" s="21">
        <f t="shared" si="4"/>
        <v>3026307.9195200009</v>
      </c>
      <c r="O35" s="21">
        <f t="shared" si="1"/>
        <v>0</v>
      </c>
      <c r="P35" s="191">
        <f t="shared" si="5"/>
        <v>3026307.9195200009</v>
      </c>
      <c r="Q35" s="48">
        <f>+SUMIFS('Input Data'!$AK:$AK,'Input Data'!$N:$N,$C35,'Input Data'!$V:$V,"FIID")</f>
        <v>2352960</v>
      </c>
      <c r="R35" s="21">
        <f>+SUMIFS('Input Data'!$AY:$AY,'Input Data'!$N:$N,$C35,'Input Data'!$V:$V,"FIID")</f>
        <v>470592</v>
      </c>
      <c r="S35" s="21">
        <f>+SUMIFS('Input Data'!$AO:$AO,'Input Data'!$N:$N,$C35,'Input Data'!$V:$V,"FIID")</f>
        <v>0</v>
      </c>
      <c r="T35" s="21">
        <f>+SUMIFS('Input Data'!$BH:$BH,'Input Data'!$N:$N,$C35,'Input Data'!$V:$V,"FIID")</f>
        <v>1600012.8</v>
      </c>
      <c r="U35" s="21">
        <f t="shared" si="6"/>
        <v>282355.19999999995</v>
      </c>
      <c r="V35" s="21">
        <f t="shared" si="7"/>
        <v>0</v>
      </c>
      <c r="W35" s="191">
        <f t="shared" si="8"/>
        <v>282355.19999999995</v>
      </c>
      <c r="X35" s="48">
        <f>+SUMIFS('Input Data'!$AK:$AK,'Input Data'!$N:$N,$C35,'Input Data'!$V:$V,"FIBL")</f>
        <v>0</v>
      </c>
      <c r="Y35" s="21">
        <f>+SUMIFS('Input Data'!$AY:$AY,'Input Data'!$N:$N,$C35,'Input Data'!$V:$V,"FIBL")</f>
        <v>0</v>
      </c>
      <c r="Z35" s="21">
        <f>+SUMIFS('Input Data'!$AO:$AO,'Input Data'!$N:$N,$C35,'Input Data'!$V:$V,"FIID")</f>
        <v>0</v>
      </c>
      <c r="AA35" s="21">
        <v>0</v>
      </c>
      <c r="AB35" s="21">
        <f t="shared" si="9"/>
        <v>0</v>
      </c>
      <c r="AC35" s="21">
        <v>0</v>
      </c>
      <c r="AD35" s="191">
        <f t="shared" si="10"/>
        <v>0</v>
      </c>
      <c r="AE35" s="21"/>
      <c r="AF35" s="6"/>
      <c r="AG35" s="6"/>
      <c r="AH35" s="6"/>
      <c r="AI35" s="46">
        <f t="shared" si="2"/>
        <v>4626320.7195199998</v>
      </c>
      <c r="AJ35" s="46">
        <f>+SUMIFS('Input Data'!$BE:$BE,'Input Data'!$N:$N,$C35)</f>
        <v>975378.13454666664</v>
      </c>
      <c r="AK35" s="46">
        <f t="shared" si="3"/>
        <v>5601698.8540666662</v>
      </c>
      <c r="AL35" s="4"/>
    </row>
    <row r="36" spans="1:38" x14ac:dyDescent="0.35">
      <c r="C36" t="str">
        <v>Airbus Defence and Space/Thales Alenia Space JOINT</v>
      </c>
      <c r="D36" s="48">
        <f>+SUMIFS('Input Data'!$AK:$AK,'Input Data'!$N:$N,$C36)</f>
        <v>7891909.7200426897</v>
      </c>
      <c r="E36" s="21">
        <f>+SUMIFS('Input Data'!$AH:$AH,'Input Data'!$N:$N,$C36)</f>
        <v>246622.17875133405</v>
      </c>
      <c r="F36" s="21">
        <f>+SUMIFS('Input Data'!$AY:$AY,'Input Data'!$N:$N,$C36)</f>
        <v>1578381.944008538</v>
      </c>
      <c r="G36" s="21">
        <f>+SUMIFS('Input Data'!AO:AO,'Input Data'!$N:$N,$C36)</f>
        <v>0</v>
      </c>
      <c r="H36" s="21">
        <v>0</v>
      </c>
      <c r="I36" s="191">
        <f>+SUMIFS('Input Data'!$BF:$BF,'Input Data'!$N:$N,$C36)</f>
        <v>6313527.7760341521</v>
      </c>
      <c r="J36" s="48">
        <f>+SUMIFS('Input Data'!$AK:$AK,'Input Data'!$N:$N,$C36,'Input Data'!$V:$V,"FUL")</f>
        <v>7891909.7200426897</v>
      </c>
      <c r="K36" s="21">
        <f>+SUMIFS('Input Data'!$AY:$AY,'Input Data'!$N:$N,$C36,'Input Data'!$V:$V,"FUL")</f>
        <v>1578381.944008538</v>
      </c>
      <c r="L36" s="21">
        <f>+SUMIFS('Input Data'!$AO:$AO,'Input Data'!$N:$N,$C36,'Input Data'!$V:$V,"FUL")</f>
        <v>0</v>
      </c>
      <c r="M36" s="21">
        <f>+SUMIFS('Input Data'!$BH:$BH,'Input Data'!$N:$N,$C36,'Input Data'!$V:$V,"FUL")</f>
        <v>3156763.8880170761</v>
      </c>
      <c r="N36" s="21">
        <f t="shared" si="4"/>
        <v>3156763.8880170761</v>
      </c>
      <c r="O36" s="21">
        <f t="shared" si="1"/>
        <v>0</v>
      </c>
      <c r="P36" s="191">
        <f t="shared" si="5"/>
        <v>3156763.8880170761</v>
      </c>
      <c r="Q36" s="48">
        <f>+SUMIFS('Input Data'!$AK:$AK,'Input Data'!$N:$N,$C36,'Input Data'!$V:$V,"FIID")</f>
        <v>0</v>
      </c>
      <c r="R36" s="21">
        <f>+SUMIFS('Input Data'!$AY:$AY,'Input Data'!$N:$N,$C36,'Input Data'!$V:$V,"FIID")</f>
        <v>0</v>
      </c>
      <c r="S36" s="21">
        <f>+SUMIFS('Input Data'!$AO:$AO,'Input Data'!$N:$N,$C36,'Input Data'!$V:$V,"FIID")</f>
        <v>0</v>
      </c>
      <c r="T36" s="21">
        <f>+SUMIFS('Input Data'!$BH:$BH,'Input Data'!$N:$N,$C36,'Input Data'!$V:$V,"FIID")</f>
        <v>0</v>
      </c>
      <c r="U36" s="21">
        <f t="shared" si="6"/>
        <v>0</v>
      </c>
      <c r="V36" s="21">
        <f t="shared" si="7"/>
        <v>0</v>
      </c>
      <c r="W36" s="191">
        <f t="shared" si="8"/>
        <v>0</v>
      </c>
      <c r="X36" s="48">
        <f>+SUMIFS('Input Data'!$AK:$AK,'Input Data'!$N:$N,$C36,'Input Data'!$V:$V,"FIBL")</f>
        <v>0</v>
      </c>
      <c r="Y36" s="21">
        <f>+SUMIFS('Input Data'!$AY:$AY,'Input Data'!$N:$N,$C36,'Input Data'!$V:$V,"FIBL")</f>
        <v>0</v>
      </c>
      <c r="Z36" s="21">
        <f>+SUMIFS('Input Data'!$AO:$AO,'Input Data'!$N:$N,$C36,'Input Data'!$V:$V,"FIID")</f>
        <v>0</v>
      </c>
      <c r="AA36" s="21">
        <v>0</v>
      </c>
      <c r="AB36" s="21">
        <f t="shared" si="9"/>
        <v>0</v>
      </c>
      <c r="AC36" s="21">
        <v>0</v>
      </c>
      <c r="AD36" s="191">
        <f t="shared" si="10"/>
        <v>0</v>
      </c>
      <c r="AE36" s="21"/>
      <c r="AF36" s="6"/>
      <c r="AG36" s="6"/>
      <c r="AH36" s="6"/>
      <c r="AI36" s="46">
        <f t="shared" si="2"/>
        <v>3156763.8880170761</v>
      </c>
      <c r="AJ36" s="46">
        <f>+SUMIFS('Input Data'!$BE:$BE,'Input Data'!$N:$N,$C36)</f>
        <v>657659.14333689085</v>
      </c>
      <c r="AK36" s="46">
        <f t="shared" si="3"/>
        <v>3814423.0313539668</v>
      </c>
      <c r="AL36" s="4"/>
    </row>
    <row r="37" spans="1:38" x14ac:dyDescent="0.35">
      <c r="C37" t="str">
        <v>Astrium Limited - Stevenage (Part of EADS)</v>
      </c>
      <c r="D37" s="48">
        <f>+SUMIFS('Input Data'!$AK:$AK,'Input Data'!$N:$N,$C37)</f>
        <v>26769687.790435389</v>
      </c>
      <c r="E37" s="21">
        <f>+SUMIFS('Input Data'!$AH:$AH,'Input Data'!$N:$N,$C37)</f>
        <v>836552.7434511059</v>
      </c>
      <c r="F37" s="21">
        <f>+SUMIFS('Input Data'!$AY:$AY,'Input Data'!$N:$N,$C37)</f>
        <v>5353937.558087077</v>
      </c>
      <c r="G37" s="21">
        <f>+SUMIFS('Input Data'!AO:AO,'Input Data'!$N:$N,$C37)</f>
        <v>0</v>
      </c>
      <c r="H37" s="21">
        <v>0</v>
      </c>
      <c r="I37" s="191">
        <f>+SUMIFS('Input Data'!$BF:$BF,'Input Data'!$N:$N,$C37)</f>
        <v>21415750.232348308</v>
      </c>
      <c r="J37" s="48">
        <f>+SUMIFS('Input Data'!$AK:$AK,'Input Data'!$N:$N,$C37,'Input Data'!$V:$V,"FUL")</f>
        <v>26769687.790435389</v>
      </c>
      <c r="K37" s="21">
        <f>+SUMIFS('Input Data'!$AY:$AY,'Input Data'!$N:$N,$C37,'Input Data'!$V:$V,"FUL")</f>
        <v>5353937.558087077</v>
      </c>
      <c r="L37" s="21">
        <f>+SUMIFS('Input Data'!$AO:$AO,'Input Data'!$N:$N,$C37,'Input Data'!$V:$V,"FUL")</f>
        <v>0</v>
      </c>
      <c r="M37" s="21">
        <f>+SUMIFS('Input Data'!$BH:$BH,'Input Data'!$N:$N,$C37,'Input Data'!$V:$V,"FUL")</f>
        <v>10707875.116174154</v>
      </c>
      <c r="N37" s="21">
        <f t="shared" si="4"/>
        <v>10707875.116174158</v>
      </c>
      <c r="O37" s="21">
        <f t="shared" si="1"/>
        <v>0</v>
      </c>
      <c r="P37" s="191">
        <f t="shared" si="5"/>
        <v>10707875.116174158</v>
      </c>
      <c r="Q37" s="48">
        <f>+SUMIFS('Input Data'!$AK:$AK,'Input Data'!$N:$N,$C37,'Input Data'!$V:$V,"FIID")</f>
        <v>0</v>
      </c>
      <c r="R37" s="21">
        <f>+SUMIFS('Input Data'!$AY:$AY,'Input Data'!$N:$N,$C37,'Input Data'!$V:$V,"FIID")</f>
        <v>0</v>
      </c>
      <c r="S37" s="21">
        <f>+SUMIFS('Input Data'!$AO:$AO,'Input Data'!$N:$N,$C37,'Input Data'!$V:$V,"FIID")</f>
        <v>0</v>
      </c>
      <c r="T37" s="21">
        <f>+SUMIFS('Input Data'!$BH:$BH,'Input Data'!$N:$N,$C37,'Input Data'!$V:$V,"FIID")</f>
        <v>0</v>
      </c>
      <c r="U37" s="21">
        <f t="shared" si="6"/>
        <v>0</v>
      </c>
      <c r="V37" s="21">
        <f t="shared" si="7"/>
        <v>0</v>
      </c>
      <c r="W37" s="191">
        <f t="shared" si="8"/>
        <v>0</v>
      </c>
      <c r="X37" s="48">
        <f>+SUMIFS('Input Data'!$AK:$AK,'Input Data'!$N:$N,$C37,'Input Data'!$V:$V,"FIBL")</f>
        <v>0</v>
      </c>
      <c r="Y37" s="21">
        <f>+SUMIFS('Input Data'!$AY:$AY,'Input Data'!$N:$N,$C37,'Input Data'!$V:$V,"FIBL")</f>
        <v>0</v>
      </c>
      <c r="Z37" s="21">
        <f>+SUMIFS('Input Data'!$AO:$AO,'Input Data'!$N:$N,$C37,'Input Data'!$V:$V,"FIID")</f>
        <v>0</v>
      </c>
      <c r="AA37" s="21">
        <v>0</v>
      </c>
      <c r="AB37" s="21">
        <f t="shared" si="9"/>
        <v>0</v>
      </c>
      <c r="AC37" s="21">
        <v>0</v>
      </c>
      <c r="AD37" s="191">
        <f t="shared" si="10"/>
        <v>0</v>
      </c>
      <c r="AE37" s="21"/>
      <c r="AF37" s="6"/>
      <c r="AG37" s="6"/>
      <c r="AH37" s="6"/>
      <c r="AI37" s="46">
        <f t="shared" si="2"/>
        <v>10707875.116174154</v>
      </c>
      <c r="AJ37" s="46">
        <f>+SUMIFS('Input Data'!$BE:$BE,'Input Data'!$N:$N,$C37)</f>
        <v>2230807.3158696159</v>
      </c>
      <c r="AK37" s="46">
        <f t="shared" si="3"/>
        <v>12938682.43204377</v>
      </c>
      <c r="AL37" s="4"/>
    </row>
    <row r="38" spans="1:38" x14ac:dyDescent="0.35">
      <c r="C38" t="str">
        <v>ITS - Institute of Telecommunication Satellites (Part of CAST)</v>
      </c>
      <c r="D38" s="48">
        <f>+SUMIFS('Input Data'!$AK:$AK,'Input Data'!$N:$N,$C38)</f>
        <v>3092783.5</v>
      </c>
      <c r="E38" s="21">
        <f>+SUMIFS('Input Data'!$AH:$AH,'Input Data'!$N:$N,$C38)</f>
        <v>96649.484375</v>
      </c>
      <c r="F38" s="21">
        <f>+SUMIFS('Input Data'!$AY:$AY,'Input Data'!$N:$N,$C38)</f>
        <v>618556.70000000007</v>
      </c>
      <c r="G38" s="21">
        <f>+SUMIFS('Input Data'!AO:AO,'Input Data'!$N:$N,$C38)</f>
        <v>0</v>
      </c>
      <c r="H38" s="21">
        <v>0</v>
      </c>
      <c r="I38" s="191">
        <f>+SUMIFS('Input Data'!$BF:$BF,'Input Data'!$N:$N,$C38)</f>
        <v>2474226.7999999998</v>
      </c>
      <c r="J38" s="48">
        <f>+SUMIFS('Input Data'!$AK:$AK,'Input Data'!$N:$N,$C38,'Input Data'!$V:$V,"FUL")</f>
        <v>3092783.5</v>
      </c>
      <c r="K38" s="21">
        <f>+SUMIFS('Input Data'!$AY:$AY,'Input Data'!$N:$N,$C38,'Input Data'!$V:$V,"FUL")</f>
        <v>618556.70000000007</v>
      </c>
      <c r="L38" s="21">
        <f>+SUMIFS('Input Data'!$AO:$AO,'Input Data'!$N:$N,$C38,'Input Data'!$V:$V,"FUL")</f>
        <v>0</v>
      </c>
      <c r="M38" s="21">
        <f>+SUMIFS('Input Data'!$BH:$BH,'Input Data'!$N:$N,$C38,'Input Data'!$V:$V,"FUL")</f>
        <v>1237113.3999999999</v>
      </c>
      <c r="N38" s="21">
        <f t="shared" si="4"/>
        <v>1237113.3999999999</v>
      </c>
      <c r="O38" s="21">
        <f t="shared" si="1"/>
        <v>0</v>
      </c>
      <c r="P38" s="191">
        <f t="shared" si="5"/>
        <v>1237113.3999999999</v>
      </c>
      <c r="Q38" s="48">
        <f>+SUMIFS('Input Data'!$AK:$AK,'Input Data'!$N:$N,$C38,'Input Data'!$V:$V,"FIID")</f>
        <v>0</v>
      </c>
      <c r="R38" s="21">
        <f>+SUMIFS('Input Data'!$AY:$AY,'Input Data'!$N:$N,$C38,'Input Data'!$V:$V,"FIID")</f>
        <v>0</v>
      </c>
      <c r="S38" s="21">
        <f>+SUMIFS('Input Data'!$AO:$AO,'Input Data'!$N:$N,$C38,'Input Data'!$V:$V,"FIID")</f>
        <v>0</v>
      </c>
      <c r="T38" s="21">
        <f>+SUMIFS('Input Data'!$BH:$BH,'Input Data'!$N:$N,$C38,'Input Data'!$V:$V,"FIID")</f>
        <v>0</v>
      </c>
      <c r="U38" s="21">
        <f t="shared" si="6"/>
        <v>0</v>
      </c>
      <c r="V38" s="21">
        <f t="shared" si="7"/>
        <v>0</v>
      </c>
      <c r="W38" s="191">
        <f t="shared" si="8"/>
        <v>0</v>
      </c>
      <c r="X38" s="48">
        <f>+SUMIFS('Input Data'!$AK:$AK,'Input Data'!$N:$N,$C38,'Input Data'!$V:$V,"FIBL")</f>
        <v>0</v>
      </c>
      <c r="Y38" s="21">
        <f>+SUMIFS('Input Data'!$AY:$AY,'Input Data'!$N:$N,$C38,'Input Data'!$V:$V,"FIBL")</f>
        <v>0</v>
      </c>
      <c r="Z38" s="21">
        <f>+SUMIFS('Input Data'!$AO:$AO,'Input Data'!$N:$N,$C38,'Input Data'!$V:$V,"FIID")</f>
        <v>0</v>
      </c>
      <c r="AA38" s="21">
        <v>0</v>
      </c>
      <c r="AB38" s="21">
        <f t="shared" si="9"/>
        <v>0</v>
      </c>
      <c r="AC38" s="21">
        <v>0</v>
      </c>
      <c r="AD38" s="191">
        <f t="shared" si="10"/>
        <v>0</v>
      </c>
      <c r="AE38" s="21"/>
      <c r="AF38" s="6"/>
      <c r="AG38" s="6"/>
      <c r="AH38" s="6"/>
      <c r="AI38" s="46">
        <f t="shared" si="2"/>
        <v>1237113.3999999999</v>
      </c>
      <c r="AJ38" s="46">
        <f>+SUMIFS('Input Data'!$BE:$BE,'Input Data'!$N:$N,$C38)</f>
        <v>257731.95833333337</v>
      </c>
      <c r="AK38" s="46">
        <f t="shared" si="3"/>
        <v>1494845.3583333334</v>
      </c>
      <c r="AL38" s="4"/>
    </row>
    <row r="39" spans="1:38" x14ac:dyDescent="0.35">
      <c r="C39" t="str">
        <v>U. R. Rao Satellite Centre (URSC)</v>
      </c>
      <c r="D39" s="48">
        <f>+SUMIFS('Input Data'!$AK:$AK,'Input Data'!$N:$N,$C39)</f>
        <v>1352952</v>
      </c>
      <c r="E39" s="21">
        <f>+SUMIFS('Input Data'!$AH:$AH,'Input Data'!$N:$N,$C39)</f>
        <v>50735.7</v>
      </c>
      <c r="F39" s="21">
        <f>+SUMIFS('Input Data'!$AY:$AY,'Input Data'!$N:$N,$C39)</f>
        <v>270590.40000000002</v>
      </c>
      <c r="G39" s="21">
        <f>+SUMIFS('Input Data'!AO:AO,'Input Data'!$N:$N,$C39)</f>
        <v>0</v>
      </c>
      <c r="H39" s="21">
        <v>0</v>
      </c>
      <c r="I39" s="191">
        <f>+SUMIFS('Input Data'!$BF:$BF,'Input Data'!$N:$N,$C39)</f>
        <v>1082361.6000000001</v>
      </c>
      <c r="J39" s="48">
        <f>+SUMIFS('Input Data'!$AK:$AK,'Input Data'!$N:$N,$C39,'Input Data'!$V:$V,"FUL")</f>
        <v>1352952</v>
      </c>
      <c r="K39" s="21">
        <f>+SUMIFS('Input Data'!$AY:$AY,'Input Data'!$N:$N,$C39,'Input Data'!$V:$V,"FUL")</f>
        <v>270590.40000000002</v>
      </c>
      <c r="L39" s="21">
        <f>+SUMIFS('Input Data'!$AO:$AO,'Input Data'!$N:$N,$C39,'Input Data'!$V:$V,"FUL")</f>
        <v>0</v>
      </c>
      <c r="M39" s="21">
        <f>+SUMIFS('Input Data'!$BH:$BH,'Input Data'!$N:$N,$C39,'Input Data'!$V:$V,"FUL")</f>
        <v>541180.80000000005</v>
      </c>
      <c r="N39" s="21">
        <f t="shared" ref="N39" si="11">J39-K39-L39-M39</f>
        <v>541180.80000000005</v>
      </c>
      <c r="O39" s="21">
        <f t="shared" ref="O39" si="12">IF(N39&gt;FUL_Deductible,MIN(N39-FUL_Deductible,FUL_Limit),0)</f>
        <v>0</v>
      </c>
      <c r="P39" s="191">
        <f t="shared" ref="P39" si="13">J39-K39-L39-M39-O39</f>
        <v>541180.80000000005</v>
      </c>
      <c r="Q39" s="48">
        <f>+SUMIFS('Input Data'!$AK:$AK,'Input Data'!$N:$N,$C39,'Input Data'!$V:$V,"FIID")</f>
        <v>0</v>
      </c>
      <c r="R39" s="21">
        <f>+SUMIFS('Input Data'!$AY:$AY,'Input Data'!$N:$N,$C39,'Input Data'!$V:$V,"FIID")</f>
        <v>0</v>
      </c>
      <c r="S39" s="21">
        <f>+SUMIFS('Input Data'!$AO:$AO,'Input Data'!$N:$N,$C39,'Input Data'!$V:$V,"FIID")</f>
        <v>0</v>
      </c>
      <c r="T39" s="21">
        <f>+SUMIFS('Input Data'!$BH:$BH,'Input Data'!$N:$N,$C39,'Input Data'!$V:$V,"FIID")</f>
        <v>0</v>
      </c>
      <c r="U39" s="21">
        <f t="shared" ref="U39" si="14">Q39-R39-S39-T39</f>
        <v>0</v>
      </c>
      <c r="V39" s="21">
        <f t="shared" ref="V39" si="15">IF(U39&gt;FIID_Deductible,MIN(U39-FIID_Deductible,FIID_Limit),0)</f>
        <v>0</v>
      </c>
      <c r="W39" s="191">
        <f t="shared" ref="W39" si="16">Q39-R39-S39-T39-V39</f>
        <v>0</v>
      </c>
      <c r="X39" s="48">
        <f>+SUMIFS('Input Data'!$AK:$AK,'Input Data'!$N:$N,$C39,'Input Data'!$V:$V,"FIBL")</f>
        <v>0</v>
      </c>
      <c r="Y39" s="21">
        <f>+SUMIFS('Input Data'!$AY:$AY,'Input Data'!$N:$N,$C39,'Input Data'!$V:$V,"FIBL")</f>
        <v>0</v>
      </c>
      <c r="Z39" s="21">
        <f>+SUMIFS('Input Data'!$AO:$AO,'Input Data'!$N:$N,$C39,'Input Data'!$V:$V,"FIID")</f>
        <v>0</v>
      </c>
      <c r="AA39" s="21">
        <v>0</v>
      </c>
      <c r="AB39" s="21">
        <f t="shared" si="9"/>
        <v>0</v>
      </c>
      <c r="AC39" s="21">
        <v>0</v>
      </c>
      <c r="AD39" s="191">
        <f t="shared" si="10"/>
        <v>0</v>
      </c>
      <c r="AE39" s="21"/>
      <c r="AI39" s="46">
        <f t="shared" si="2"/>
        <v>541180.80000000005</v>
      </c>
      <c r="AJ39" s="46">
        <f>+SUMIFS('Input Data'!$BE:$BE,'Input Data'!$N:$N,$C39)</f>
        <v>135295.20000000001</v>
      </c>
      <c r="AK39" s="46">
        <f t="shared" si="3"/>
        <v>676476</v>
      </c>
    </row>
    <row r="40" spans="1:38" x14ac:dyDescent="0.35">
      <c r="C40" t="str">
        <v>Astranis</v>
      </c>
      <c r="D40" s="250">
        <f>+SUMIFS('Input Data'!$AK:$AK,'Input Data'!$N:$N,$C40)</f>
        <v>1799484.9840000002</v>
      </c>
      <c r="E40" s="251">
        <f>+SUMIFS('Input Data'!$AH:$AH,'Input Data'!$N:$N,$C40)</f>
        <v>67480.686900000001</v>
      </c>
      <c r="F40" s="251">
        <f>+SUMIFS('Input Data'!$AY:$AY,'Input Data'!$N:$N,$C40)</f>
        <v>359896.99680000002</v>
      </c>
      <c r="G40" s="251">
        <f>+SUMIFS('Input Data'!AO:AO,'Input Data'!$N:$N,$C40)</f>
        <v>0</v>
      </c>
      <c r="H40" s="251">
        <v>0</v>
      </c>
      <c r="I40" s="252">
        <f>+SUMIFS('Input Data'!$BF:$BF,'Input Data'!$N:$N,$C40)</f>
        <v>1439587.9871999999</v>
      </c>
      <c r="J40" s="250">
        <f>+SUMIFS('Input Data'!$AK:$AK,'Input Data'!$N:$N,$C40,'Input Data'!$V:$V,"FUL")</f>
        <v>1799484.9840000002</v>
      </c>
      <c r="K40" s="251">
        <f>+SUMIFS('Input Data'!$AY:$AY,'Input Data'!$N:$N,$C40,'Input Data'!$V:$V,"FUL")</f>
        <v>359896.99680000002</v>
      </c>
      <c r="L40" s="251">
        <f>+SUMIFS('Input Data'!$AO:$AO,'Input Data'!$N:$N,$C40,'Input Data'!$V:$V,"FUL")</f>
        <v>0</v>
      </c>
      <c r="M40" s="251">
        <f>+SUMIFS('Input Data'!$BH:$BH,'Input Data'!$N:$N,$C40,'Input Data'!$V:$V,"FUL")</f>
        <v>719793.99359999993</v>
      </c>
      <c r="N40" s="251">
        <f t="shared" ref="N40" si="17">J40-K40-L40-M40</f>
        <v>719793.99360000016</v>
      </c>
      <c r="O40" s="251">
        <f t="shared" ref="O40" si="18">IF(N40&gt;FUL_Deductible,MIN(N40-FUL_Deductible,FUL_Limit),0)</f>
        <v>0</v>
      </c>
      <c r="P40" s="252">
        <f t="shared" ref="P40" si="19">J40-K40-L40-M40-O40</f>
        <v>719793.99360000016</v>
      </c>
      <c r="Q40" s="250">
        <f>+SUMIFS('Input Data'!$AK:$AK,'Input Data'!$N:$N,$C40,'Input Data'!$V:$V,"FIID")</f>
        <v>0</v>
      </c>
      <c r="R40" s="251">
        <f>+SUMIFS('Input Data'!$AY:$AY,'Input Data'!$N:$N,$C40,'Input Data'!$V:$V,"FIID")</f>
        <v>0</v>
      </c>
      <c r="S40" s="251">
        <f>+SUMIFS('Input Data'!$AO:$AO,'Input Data'!$N:$N,$C40,'Input Data'!$V:$V,"FIID")</f>
        <v>0</v>
      </c>
      <c r="T40" s="251">
        <f>+SUMIFS('Input Data'!$BH:$BH,'Input Data'!$N:$N,$C40,'Input Data'!$V:$V,"FIID")</f>
        <v>0</v>
      </c>
      <c r="U40" s="251">
        <f t="shared" ref="U40" si="20">Q40-R40-S40-T40</f>
        <v>0</v>
      </c>
      <c r="V40" s="251">
        <f t="shared" ref="V40" si="21">IF(U40&gt;FIID_Deductible,MIN(U40-FIID_Deductible,FIID_Limit),0)</f>
        <v>0</v>
      </c>
      <c r="W40" s="252">
        <f t="shared" ref="W40" si="22">Q40-R40-S40-T40-V40</f>
        <v>0</v>
      </c>
      <c r="X40" s="250">
        <f>+SUMIFS('Input Data'!$AK:$AK,'Input Data'!$N:$N,$C40,'Input Data'!$V:$V,"FIBL")</f>
        <v>0</v>
      </c>
      <c r="Y40" s="251">
        <f>+SUMIFS('Input Data'!$AY:$AY,'Input Data'!$N:$N,$C40,'Input Data'!$V:$V,"FIBL")</f>
        <v>0</v>
      </c>
      <c r="Z40" s="251">
        <f>+SUMIFS('Input Data'!$AO:$AO,'Input Data'!$N:$N,$C40,'Input Data'!$V:$V,"FIID")</f>
        <v>0</v>
      </c>
      <c r="AA40" s="251">
        <v>0</v>
      </c>
      <c r="AB40" s="251">
        <f t="shared" si="9"/>
        <v>0</v>
      </c>
      <c r="AC40" s="251">
        <v>0</v>
      </c>
      <c r="AD40" s="252">
        <f t="shared" si="10"/>
        <v>0</v>
      </c>
      <c r="AE40" s="21"/>
      <c r="AI40" s="46">
        <f t="shared" si="2"/>
        <v>719793.99359999993</v>
      </c>
      <c r="AJ40" s="46">
        <f>+SUMIFS('Input Data'!$BE:$BE,'Input Data'!$N:$N,$C40)</f>
        <v>179948.49840000001</v>
      </c>
      <c r="AK40" s="46">
        <f t="shared" si="3"/>
        <v>899742.49199999997</v>
      </c>
    </row>
    <row r="42" spans="1:38" x14ac:dyDescent="0.35">
      <c r="Q42" s="33"/>
    </row>
    <row r="43" spans="1:38" x14ac:dyDescent="0.35">
      <c r="D43" s="4"/>
      <c r="E43" s="4"/>
      <c r="I43" s="4"/>
    </row>
    <row r="46" spans="1:38" x14ac:dyDescent="0.35">
      <c r="D46" s="4"/>
      <c r="E46" s="4"/>
    </row>
  </sheetData>
  <autoFilter ref="C12:W12" xr:uid="{BAAA12A1-7469-44D3-9156-8FD9D1C77D7A}"/>
  <mergeCells count="4">
    <mergeCell ref="D10:I10"/>
    <mergeCell ref="J10:P10"/>
    <mergeCell ref="Q10:W10"/>
    <mergeCell ref="X10:AD10"/>
  </mergeCells>
  <conditionalFormatting sqref="D13:H39">
    <cfRule type="colorScale" priority="32">
      <colorScale>
        <cfvo type="min"/>
        <cfvo type="percentile" val="50"/>
        <cfvo type="max"/>
        <color rgb="FF63BE7B"/>
        <color rgb="FFFFEB84"/>
        <color rgb="FFF8696B"/>
      </colorScale>
    </cfRule>
  </conditionalFormatting>
  <conditionalFormatting sqref="D40:H40">
    <cfRule type="colorScale" priority="5">
      <colorScale>
        <cfvo type="min"/>
        <cfvo type="percentile" val="50"/>
        <cfvo type="max"/>
        <color rgb="FF63BE7B"/>
        <color rgb="FFFFEB84"/>
        <color rgb="FFF8696B"/>
      </colorScale>
    </cfRule>
  </conditionalFormatting>
  <conditionalFormatting sqref="I13:I40">
    <cfRule type="colorScale" priority="33">
      <colorScale>
        <cfvo type="min"/>
        <cfvo type="percentile" val="50"/>
        <cfvo type="max"/>
        <color rgb="FF63BE7B"/>
        <color rgb="FFFFEB84"/>
        <color rgb="FFF8696B"/>
      </colorScale>
    </cfRule>
  </conditionalFormatting>
  <conditionalFormatting sqref="J13:L39">
    <cfRule type="colorScale" priority="34">
      <colorScale>
        <cfvo type="min"/>
        <cfvo type="percentile" val="50"/>
        <cfvo type="max"/>
        <color rgb="FF63BE7B"/>
        <color rgb="FFFFEB84"/>
        <color rgb="FFF8696B"/>
      </colorScale>
    </cfRule>
  </conditionalFormatting>
  <conditionalFormatting sqref="J40:L40">
    <cfRule type="colorScale" priority="6">
      <colorScale>
        <cfvo type="min"/>
        <cfvo type="percentile" val="50"/>
        <cfvo type="max"/>
        <color rgb="FF63BE7B"/>
        <color rgb="FFFFEB84"/>
        <color rgb="FFF8696B"/>
      </colorScale>
    </cfRule>
  </conditionalFormatting>
  <conditionalFormatting sqref="M13:O39">
    <cfRule type="colorScale" priority="35">
      <colorScale>
        <cfvo type="min"/>
        <cfvo type="percentile" val="50"/>
        <cfvo type="max"/>
        <color rgb="FF63BE7B"/>
        <color rgb="FFFFEB84"/>
        <color rgb="FFF8696B"/>
      </colorScale>
    </cfRule>
  </conditionalFormatting>
  <conditionalFormatting sqref="M40:O40">
    <cfRule type="colorScale" priority="7">
      <colorScale>
        <cfvo type="min"/>
        <cfvo type="percentile" val="50"/>
        <cfvo type="max"/>
        <color rgb="FF63BE7B"/>
        <color rgb="FFFFEB84"/>
        <color rgb="FFF8696B"/>
      </colorScale>
    </cfRule>
  </conditionalFormatting>
  <conditionalFormatting sqref="P13:P40">
    <cfRule type="colorScale" priority="36">
      <colorScale>
        <cfvo type="min"/>
        <cfvo type="percentile" val="50"/>
        <cfvo type="max"/>
        <color rgb="FF63BE7B"/>
        <color rgb="FFFFEB84"/>
        <color rgb="FFF8696B"/>
      </colorScale>
    </cfRule>
  </conditionalFormatting>
  <conditionalFormatting sqref="Q13:V39">
    <cfRule type="colorScale" priority="37">
      <colorScale>
        <cfvo type="min"/>
        <cfvo type="percentile" val="50"/>
        <cfvo type="max"/>
        <color rgb="FF63BE7B"/>
        <color rgb="FFFFEB84"/>
        <color rgb="FFF8696B"/>
      </colorScale>
    </cfRule>
  </conditionalFormatting>
  <conditionalFormatting sqref="Q40:V40">
    <cfRule type="colorScale" priority="8">
      <colorScale>
        <cfvo type="min"/>
        <cfvo type="percentile" val="50"/>
        <cfvo type="max"/>
        <color rgb="FF63BE7B"/>
        <color rgb="FFFFEB84"/>
        <color rgb="FFF8696B"/>
      </colorScale>
    </cfRule>
  </conditionalFormatting>
  <conditionalFormatting sqref="W14:AE40 W13 AD13:AE13 AD13:AD40">
    <cfRule type="colorScale" priority="38">
      <colorScale>
        <cfvo type="min"/>
        <cfvo type="percentile" val="50"/>
        <cfvo type="max"/>
        <color rgb="FF63BE7B"/>
        <color rgb="FFFFEB84"/>
        <color rgb="FFF8696B"/>
      </colorScale>
    </cfRule>
  </conditionalFormatting>
  <conditionalFormatting sqref="X13:AA40 AC13:AC40">
    <cfRule type="colorScale" priority="4">
      <colorScale>
        <cfvo type="min"/>
        <cfvo type="percentile" val="50"/>
        <cfvo type="max"/>
        <color rgb="FF63BE7B"/>
        <color rgb="FFFFEB84"/>
        <color rgb="FFF8696B"/>
      </colorScale>
    </cfRule>
  </conditionalFormatting>
  <conditionalFormatting sqref="AB13:AB40">
    <cfRule type="colorScale" priority="3">
      <colorScale>
        <cfvo type="min"/>
        <cfvo type="percentile" val="50"/>
        <cfvo type="max"/>
        <color rgb="FF63BE7B"/>
        <color rgb="FFFFEB84"/>
        <color rgb="FFF8696B"/>
      </colorScale>
    </cfRule>
  </conditionalFormatting>
  <conditionalFormatting sqref="AI13:AJ40">
    <cfRule type="colorScale" priority="40">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K13:AK40">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F8D1-6921-4DC0-88DB-4A86DF97D1E4}">
  <sheetPr codeName="Sheet26">
    <tabColor rgb="FFFF33CC"/>
  </sheetPr>
  <dimension ref="A1:AN127"/>
  <sheetViews>
    <sheetView zoomScaleNormal="100" workbookViewId="0">
      <selection activeCell="C7" sqref="C7:AF7"/>
    </sheetView>
  </sheetViews>
  <sheetFormatPr defaultRowHeight="14.5" x14ac:dyDescent="0.35"/>
  <cols>
    <col min="1" max="1" width="16.08984375" customWidth="1"/>
    <col min="2" max="2" width="17.453125" customWidth="1"/>
    <col min="3" max="3" width="53.90625" bestFit="1" customWidth="1"/>
    <col min="4" max="5" width="14.90625" customWidth="1"/>
    <col min="6" max="8" width="11.54296875" customWidth="1"/>
    <col min="9" max="10" width="14.54296875" customWidth="1"/>
    <col min="11" max="11" width="14.453125" customWidth="1"/>
    <col min="12" max="14" width="11.54296875" customWidth="1"/>
    <col min="15" max="15" width="13.453125" bestFit="1" customWidth="1"/>
    <col min="16" max="16" width="11.54296875" customWidth="1"/>
    <col min="17" max="17" width="11.54296875" bestFit="1" customWidth="1"/>
    <col min="18" max="18" width="12.90625" customWidth="1"/>
    <col min="19" max="20" width="11.54296875" customWidth="1"/>
    <col min="21" max="21" width="18.08984375" customWidth="1"/>
    <col min="22" max="23" width="11.54296875" customWidth="1"/>
    <col min="24" max="33" width="12.90625" customWidth="1"/>
    <col min="34" max="34" width="1.90625" customWidth="1"/>
    <col min="35" max="35" width="9.54296875" bestFit="1" customWidth="1"/>
    <col min="36" max="36" width="1.90625" customWidth="1"/>
    <col min="37" max="37" width="35.54296875" customWidth="1"/>
    <col min="38" max="38" width="50.90625" customWidth="1"/>
    <col min="39" max="39" width="53.54296875" customWidth="1"/>
    <col min="40" max="40" width="10.54296875" bestFit="1" customWidth="1"/>
  </cols>
  <sheetData>
    <row r="1" spans="1:40" x14ac:dyDescent="0.35">
      <c r="A1" s="33"/>
      <c r="C1" t="s">
        <v>623</v>
      </c>
      <c r="D1">
        <f>ROWS(_xlfn.ANCHORARRAY($C$13))</f>
        <v>115</v>
      </c>
    </row>
    <row r="2" spans="1:40" x14ac:dyDescent="0.35">
      <c r="C2" t="s">
        <v>85</v>
      </c>
      <c r="D2" t="b">
        <f ca="1">COUNTA(OFFSET($D$13:$AF$13,,,$D$1))=($D$1*COLUMNS($D$13:$AF$13))</f>
        <v>1</v>
      </c>
      <c r="H2" s="281" t="s">
        <v>546</v>
      </c>
    </row>
    <row r="3" spans="1:40" x14ac:dyDescent="0.35">
      <c r="C3" t="s">
        <v>84</v>
      </c>
      <c r="D3" s="4">
        <f>_xlfn.MAXIFS('Input Data'!AK:AK,'Input Data'!V:V,"FUL")</f>
        <v>27222223</v>
      </c>
      <c r="E3" s="4"/>
      <c r="F3">
        <f>+INDEX('Input Data'!$C:$C,MATCH($D3,'Input Data'!$AA:$AA,0))</f>
        <v>329405</v>
      </c>
      <c r="G3" t="str">
        <f>+INDEX('Input Data'!U:U,MATCH($F3,'Input Data'!$C:$C,0))</f>
        <v xml:space="preserve">PT Pasifik Satelit Nusantara Lima -   NUSANTARA LIMA - N5 </v>
      </c>
      <c r="Q3" s="4"/>
    </row>
    <row r="4" spans="1:40" x14ac:dyDescent="0.35">
      <c r="C4" t="s">
        <v>92</v>
      </c>
      <c r="D4" s="4">
        <f>_xlfn.MAXIFS('Input Data'!BL:BL,'Input Data'!V:V,"FUL")</f>
        <v>13066667.039999999</v>
      </c>
      <c r="E4" s="4"/>
      <c r="F4">
        <f>+INDEX('Input Data'!$C:$C,MATCH($D4,'Input Data'!$BL:$BL,0))</f>
        <v>329405</v>
      </c>
      <c r="G4" t="str">
        <f>+INDEX('Input Data'!U:U,MATCH($F4,'Input Data'!$C:$C,0))</f>
        <v xml:space="preserve">PT Pasifik Satelit Nusantara Lima -   NUSANTARA LIMA - N5 </v>
      </c>
    </row>
    <row r="5" spans="1:40" x14ac:dyDescent="0.35">
      <c r="N5" s="33"/>
      <c r="O5" s="33"/>
      <c r="P5" s="33"/>
    </row>
    <row r="7" spans="1:40" x14ac:dyDescent="0.35">
      <c r="C7" s="5" t="s">
        <v>648</v>
      </c>
      <c r="D7" s="5">
        <f ca="1">INDEX(_xlfn.ANCHORARRAY($C$13),MATCH($J$9,OFFSET($J$13,,,ROWS(_xlfn.ANCHORARRAY($C$13))),0))</f>
        <v>17163</v>
      </c>
      <c r="E7" s="5" t="str">
        <f ca="1">INDEX(_xlfn.ANCHORARRAY($B$13),MATCH(D7,_xlfn.ANCHORARRAY($C$13),0))</f>
        <v>SXM-10</v>
      </c>
      <c r="I7" t="s">
        <v>644</v>
      </c>
      <c r="J7" t="s">
        <v>645</v>
      </c>
      <c r="K7" s="5">
        <f ca="1">INDEX(_xlfn.ANCHORARRAY($C$13),MATCH($Q$9,OFFSET($Q$13,,,ROWS(_xlfn.ANCHORARRAY($C$13))),0))</f>
        <v>17163</v>
      </c>
      <c r="L7" s="5" t="str">
        <f ca="1">INDEX(_xlfn.ANCHORARRAY($B$13),MATCH(K7,_xlfn.ANCHORARRAY($C$13),0))</f>
        <v>SXM-10</v>
      </c>
      <c r="R7" s="5">
        <f ca="1">INDEX(_xlfn.ANCHORARRAY($C$13),MATCH($X$9,OFFSET($X$13,,,ROWS(_xlfn.ANCHORARRAY($C$13))),0))</f>
        <v>13257</v>
      </c>
      <c r="S7" s="5" t="str">
        <f ca="1">INDEX(_xlfn.ANCHORARRAY($B$13),MATCH(R7,_xlfn.ANCHORARRAY($C$13),0))</f>
        <v>SPAINSAT NG-1</v>
      </c>
      <c r="Y7">
        <f ca="1">AM8</f>
        <v>13258</v>
      </c>
      <c r="Z7" s="5" t="str">
        <f ca="1">INDEX(_xlfn.ANCHORARRAY($B$13),MATCH(Y7,_xlfn.ANCHORARRAY($C$13),0))</f>
        <v>SPAINSAT NG-2</v>
      </c>
      <c r="AA7" s="5"/>
      <c r="AF7" s="33"/>
    </row>
    <row r="8" spans="1:40" x14ac:dyDescent="0.35">
      <c r="D8" s="11" t="s">
        <v>89</v>
      </c>
      <c r="E8" s="11" t="s">
        <v>396</v>
      </c>
      <c r="F8" s="11" t="s">
        <v>174</v>
      </c>
      <c r="G8" s="11" t="s">
        <v>91</v>
      </c>
      <c r="H8" s="11" t="s">
        <v>68</v>
      </c>
      <c r="I8" s="11" t="s">
        <v>90</v>
      </c>
      <c r="J8" s="11" t="s">
        <v>643</v>
      </c>
      <c r="K8" s="11" t="s">
        <v>89</v>
      </c>
      <c r="L8" s="11" t="s">
        <v>174</v>
      </c>
      <c r="M8" s="11" t="s">
        <v>91</v>
      </c>
      <c r="N8" s="11" t="s">
        <v>68</v>
      </c>
      <c r="O8" s="11" t="s">
        <v>219</v>
      </c>
      <c r="P8" s="11" t="s">
        <v>218</v>
      </c>
      <c r="Q8" s="11" t="s">
        <v>90</v>
      </c>
      <c r="R8" s="11" t="s">
        <v>89</v>
      </c>
      <c r="S8" s="11" t="s">
        <v>174</v>
      </c>
      <c r="T8" s="11" t="s">
        <v>91</v>
      </c>
      <c r="U8" s="11" t="s">
        <v>68</v>
      </c>
      <c r="V8" s="11" t="s">
        <v>219</v>
      </c>
      <c r="W8" s="11" t="s">
        <v>218</v>
      </c>
      <c r="X8" s="11" t="s">
        <v>90</v>
      </c>
      <c r="Y8" s="11" t="s">
        <v>89</v>
      </c>
      <c r="Z8" s="11" t="s">
        <v>396</v>
      </c>
      <c r="AA8" s="11" t="s">
        <v>174</v>
      </c>
      <c r="AB8" s="11" t="s">
        <v>91</v>
      </c>
      <c r="AC8" s="11" t="s">
        <v>68</v>
      </c>
      <c r="AD8" s="11" t="s">
        <v>219</v>
      </c>
      <c r="AE8" s="11" t="s">
        <v>218</v>
      </c>
      <c r="AF8" s="11" t="s">
        <v>90</v>
      </c>
      <c r="AG8" s="11"/>
      <c r="AK8" s="5">
        <f ca="1">AM8</f>
        <v>13258</v>
      </c>
      <c r="AL8" s="5">
        <f ca="1">AM8</f>
        <v>13258</v>
      </c>
      <c r="AM8" s="5">
        <f ca="1">INDEX(_xlfn.ANCHORARRAY($C$13),MATCH($AM9,OFFSET($AM$13,,,ROWS(_xlfn.ANCHORARRAY($C$13))),0))</f>
        <v>13258</v>
      </c>
    </row>
    <row r="9" spans="1:40" x14ac:dyDescent="0.35">
      <c r="B9" s="3"/>
      <c r="C9" s="15" t="s">
        <v>93</v>
      </c>
      <c r="D9" s="50">
        <f ca="1">INDEX(OFFSET(D$13,,,$D$1),MATCH($I9,OFFSET(I$13,,,$D$1),0))</f>
        <v>39999960</v>
      </c>
      <c r="E9" s="50">
        <f ca="1">INDEX(OFFSET(E$13,,,$D$1),MATCH($I9,OFFSET(I$13,,,$D$1),0))</f>
        <v>0</v>
      </c>
      <c r="F9" s="50">
        <f ca="1">INDEX(OFFSET(F$13,,,$D$1),MATCH($I9,OFFSET(I$13,,,$D$1),0))</f>
        <v>7999992</v>
      </c>
      <c r="G9" s="50">
        <f ca="1">INDEX(OFFSET(G$13,,,$D$1),MATCH($I9,OFFSET(I$13,,,$D$1),0))</f>
        <v>0</v>
      </c>
      <c r="H9" s="50">
        <f ca="1">INDEX(OFFSET(H$13,,,$D$1),MATCH($I9,OFFSET(I$13,,,$D$1),0))</f>
        <v>0</v>
      </c>
      <c r="I9" s="50">
        <f ca="1">MAX(OFFSET(I$13,,,$D$1))</f>
        <v>31999968</v>
      </c>
      <c r="J9" s="50">
        <f ca="1">MAX(OFFSET(J$13,,,$D$1))</f>
        <v>31999968</v>
      </c>
      <c r="K9" s="50">
        <f ca="1">INDEX(OFFSET(K$13,,,$D$1),MATCH($Q9,OFFSET(Q$13,,,$D$1),0))</f>
        <v>39999960</v>
      </c>
      <c r="L9" s="50">
        <f ca="1">INDEX(OFFSET(L$13,,,$D$1),MATCH($Q9,OFFSET(Q$13,,,$D$1),0))</f>
        <v>7999992</v>
      </c>
      <c r="M9" s="50">
        <f ca="1">INDEX(OFFSET(M$13,,,$D$1),MATCH($Q9,OFFSET(Q$13,,,$D$1),0))</f>
        <v>0</v>
      </c>
      <c r="N9" s="50">
        <f ca="1">INDEX(OFFSET(N$13,,,$D$1),MATCH($Q9,OFFSET(Q$13,,,$D$1),0))</f>
        <v>12799987.200000001</v>
      </c>
      <c r="O9" s="50">
        <f ca="1">INDEX(OFFSET(O$13,,,$D$1),MATCH($Q9,OFFSET(Q$13,,,$D$1),0))</f>
        <v>19199980.799999997</v>
      </c>
      <c r="P9" s="50">
        <f ca="1">INDEX(OFFSET(P$13,,,$D$1),MATCH($Q9,OFFSET(Q$13,,,$D$1),0))</f>
        <v>0</v>
      </c>
      <c r="Q9" s="50">
        <f ca="1">MAX(OFFSET(Q$13,,,$D$1))</f>
        <v>19199980.799999997</v>
      </c>
      <c r="R9" s="50">
        <f ca="1">INDEX(OFFSET(R$13,,,$D$1),MATCH($X9,OFFSET(X$13,,,$D$1),0))</f>
        <v>28857627.37544075</v>
      </c>
      <c r="S9" s="50">
        <f ca="1">INDEX(OFFSET(S$13,,,$D$1),MATCH($X9,OFFSET(X$13,,,$D$1),0))</f>
        <v>5771525.4750881502</v>
      </c>
      <c r="T9" s="50">
        <f ca="1">INDEX(OFFSET(T$13,,,$D$1),MATCH($X9,OFFSET(X$13,,,$D$1),0))</f>
        <v>0</v>
      </c>
      <c r="U9" s="50">
        <f ca="1">INDEX(OFFSET(U$13,,,$D$1),MATCH($X9,OFFSET(X$13,,,$D$1),0))</f>
        <v>19623186.615299709</v>
      </c>
      <c r="V9" s="50">
        <f ca="1">INDEX(OFFSET(V$13,,,$D$1),MATCH($X9,OFFSET(X$13,,,$D$1),0))</f>
        <v>3462915.2850528918</v>
      </c>
      <c r="W9" s="50">
        <f ca="1">INDEX(OFFSET(W$13,,,$D$1),MATCH($X9,OFFSET(X$13,,,$D$1),0))</f>
        <v>0</v>
      </c>
      <c r="X9" s="50">
        <f ca="1">MAX(OFFSET(X$13,,,$D$1))</f>
        <v>3462915.2850528918</v>
      </c>
      <c r="Y9" s="50">
        <f ca="1">INDEX(OFFSET(Y$13,,,$D$1),MATCH($Y7,OFFSET(C$13,,,$D$1),0))</f>
        <v>0</v>
      </c>
      <c r="Z9" s="50">
        <f ca="1">INDEX(OFFSET(Z$13,,,$D$1),MATCH($Y7,OFFSET(C$13,,,$D$1),0))</f>
        <v>1097297.7667009959</v>
      </c>
      <c r="AA9" s="50">
        <f ca="1">INDEX(OFFSET(AA$13,,,$D$1),MATCH($Y7,OFFSET(C$13,,,$D$1),0))</f>
        <v>0</v>
      </c>
      <c r="AB9" s="50">
        <f ca="1">INDEX(OFFSET(AB$13,,,$D$1),MATCH($Y7,OFFSET(C$13,,,$D$1),0))</f>
        <v>0</v>
      </c>
      <c r="AC9" s="50">
        <f ca="1">INDEX(OFFSET(AC$13,,,$D$1),MATCH($Y7,OFFSET(C$13,,,$D$1),0))</f>
        <v>0</v>
      </c>
      <c r="AD9" s="50">
        <f ca="1">INDEX(OFFSET(AD$13,,,$D$1),MATCH($Y7,OFFSET(C$13,,,$D$1),0))</f>
        <v>0</v>
      </c>
      <c r="AE9" s="50">
        <f ca="1">INDEX(OFFSET(AE$13,,,$D$1),MATCH($Y7,OFFSET(C$13,,,$D$1),0))</f>
        <v>0</v>
      </c>
      <c r="AF9" s="50">
        <f ca="1">INDEX(OFFSET(AF$13,,,$D$1),MATCH($Y7,OFFSET(C$13,,,$D$1),0))</f>
        <v>0</v>
      </c>
      <c r="AG9" s="51"/>
      <c r="AK9" s="4">
        <f ca="1">INDEX(OFFSET($AK$13,,,ROWS(_xlfn.ANCHORARRAY($C$13))),MATCH($AM9,OFFSET($AM$13,,,ROWS(_xlfn.ANCHORARRAY($C$13))),0))</f>
        <v>18088787.426828537</v>
      </c>
      <c r="AL9" s="4">
        <f ca="1">MAX(OFFSET(AL13,,,ROWS(_xlfn.ANCHORARRAY($C$13))))</f>
        <v>2225861.7311193119</v>
      </c>
      <c r="AM9" s="4">
        <f ca="1">MAX(OFFSET(AM13,,,ROWS(_xlfn.ANCHORARRAY($C$13))))</f>
        <v>21402848.35858205</v>
      </c>
    </row>
    <row r="10" spans="1:40" x14ac:dyDescent="0.35">
      <c r="D10" s="460" t="s">
        <v>32</v>
      </c>
      <c r="E10" s="460"/>
      <c r="F10" s="460"/>
      <c r="G10" s="460"/>
      <c r="H10" s="460"/>
      <c r="I10" s="460"/>
      <c r="J10" s="12"/>
      <c r="K10" s="460" t="s">
        <v>29</v>
      </c>
      <c r="L10" s="460"/>
      <c r="M10" s="460"/>
      <c r="N10" s="460"/>
      <c r="O10" s="460"/>
      <c r="P10" s="460"/>
      <c r="Q10" s="460"/>
      <c r="R10" s="460" t="s">
        <v>31</v>
      </c>
      <c r="S10" s="460"/>
      <c r="T10" s="460"/>
      <c r="U10" s="460"/>
      <c r="V10" s="460"/>
      <c r="W10" s="460"/>
      <c r="X10" s="460"/>
      <c r="Y10" s="460" t="s">
        <v>33</v>
      </c>
      <c r="Z10" s="460"/>
      <c r="AA10" s="460"/>
      <c r="AB10" s="460"/>
      <c r="AC10" s="460"/>
      <c r="AD10" s="460"/>
      <c r="AE10" s="460"/>
      <c r="AF10" s="460"/>
      <c r="AG10" s="11"/>
      <c r="AK10" s="12" t="s">
        <v>34</v>
      </c>
      <c r="AL10" s="12" t="s">
        <v>638</v>
      </c>
      <c r="AM10" s="12" t="s">
        <v>622</v>
      </c>
    </row>
    <row r="11" spans="1:40" x14ac:dyDescent="0.35">
      <c r="G11" s="4"/>
      <c r="H11" s="339" t="s">
        <v>596</v>
      </c>
    </row>
    <row r="12" spans="1:40" x14ac:dyDescent="0.35">
      <c r="B12" t="s">
        <v>122</v>
      </c>
      <c r="C12" s="5" t="s">
        <v>642</v>
      </c>
      <c r="D12" s="11" t="s">
        <v>89</v>
      </c>
      <c r="E12" s="11" t="s">
        <v>396</v>
      </c>
      <c r="F12" s="11" t="s">
        <v>174</v>
      </c>
      <c r="G12" s="11" t="s">
        <v>91</v>
      </c>
      <c r="H12" s="11" t="s">
        <v>68</v>
      </c>
      <c r="I12" s="11" t="s">
        <v>90</v>
      </c>
      <c r="J12" s="11" t="s">
        <v>643</v>
      </c>
      <c r="K12" s="11" t="s">
        <v>89</v>
      </c>
      <c r="L12" s="11" t="s">
        <v>174</v>
      </c>
      <c r="M12" s="11" t="s">
        <v>91</v>
      </c>
      <c r="N12" s="11" t="s">
        <v>217</v>
      </c>
      <c r="O12" s="11" t="s">
        <v>219</v>
      </c>
      <c r="P12" s="11" t="s">
        <v>218</v>
      </c>
      <c r="Q12" s="11" t="s">
        <v>220</v>
      </c>
      <c r="R12" s="11" t="s">
        <v>89</v>
      </c>
      <c r="S12" s="11" t="s">
        <v>174</v>
      </c>
      <c r="T12" s="11" t="s">
        <v>91</v>
      </c>
      <c r="U12" s="11" t="s">
        <v>217</v>
      </c>
      <c r="V12" s="11" t="s">
        <v>219</v>
      </c>
      <c r="W12" s="11" t="s">
        <v>218</v>
      </c>
      <c r="X12" s="11" t="s">
        <v>220</v>
      </c>
      <c r="Y12" s="11" t="s">
        <v>89</v>
      </c>
      <c r="Z12" s="11" t="s">
        <v>396</v>
      </c>
      <c r="AA12" s="11" t="s">
        <v>174</v>
      </c>
      <c r="AB12" s="11" t="s">
        <v>91</v>
      </c>
      <c r="AC12" s="11" t="s">
        <v>217</v>
      </c>
      <c r="AD12" s="11" t="s">
        <v>219</v>
      </c>
      <c r="AE12" s="11" t="s">
        <v>218</v>
      </c>
      <c r="AF12" s="11" t="s">
        <v>220</v>
      </c>
      <c r="AG12" s="11"/>
    </row>
    <row r="13" spans="1:40" x14ac:dyDescent="0.35">
      <c r="A13" s="4"/>
      <c r="B13" s="33" t="str" cm="1">
        <f t="array" ref="B13:B127">INDEX('Input Data'!X20:X999,MATCH(_xlfn.ANCHORARRAY(C13),'Input Data'!G20:G999,0))</f>
        <v>Arabsat BADR 8</v>
      </c>
      <c r="C13" cm="1">
        <f t="array" ref="C13:C127">_xlfn.UNIQUE(_xlfn._xlws.FILTER('Input Data'!G20:G999, 'Input Data'!G20:G999 &lt;&gt; 0))</f>
        <v>15153</v>
      </c>
      <c r="D13" s="47">
        <f>+SUMIFS('Input Data'!$AK:$AK,'Input Data'!$G:$G,$C13)</f>
        <v>25242749.444031801</v>
      </c>
      <c r="E13" s="49">
        <f>+SUMIFS('Input Data'!$AH:$AH,'Input Data'!$G:$G,$C13)</f>
        <v>788835.92012599378</v>
      </c>
      <c r="F13" s="49">
        <f>+SUMIFS('Input Data'!$AY:$AY,'Input Data'!$G:$G,$C13)</f>
        <v>5048549.8888063608</v>
      </c>
      <c r="G13" s="49">
        <f>+SUMIFS('Input Data'!AO:AO,'Input Data'!$G:$G,$C13)</f>
        <v>0</v>
      </c>
      <c r="H13" s="49">
        <v>0</v>
      </c>
      <c r="I13" s="190">
        <f>+SUMIFS('Input Data'!$BF:$BF,'Input Data'!$G:$G,$C13)</f>
        <v>20194199.555225439</v>
      </c>
      <c r="J13" s="49">
        <f>I13+E13+AL13</f>
        <v>23086597.929020751</v>
      </c>
      <c r="K13" s="47">
        <f>+SUMIFS('Input Data'!$AK:$AK,'Input Data'!$G:$G,$C13,'Input Data'!$V:$V,"FUL")</f>
        <v>25242749.444031801</v>
      </c>
      <c r="L13" s="49">
        <f>+SUMIFS('Input Data'!$AY:$AY,'Input Data'!$G:$G,$C13,'Input Data'!$V:$V,"FUL")</f>
        <v>5048549.8888063608</v>
      </c>
      <c r="M13" s="49">
        <f>+SUMIFS('Input Data'!$AO:$AO,'Input Data'!$G:$G,$C13,'Input Data'!$V:$V,"FUL")</f>
        <v>0</v>
      </c>
      <c r="N13" s="49">
        <f>+SUMIFS('Input Data'!$BH:$BH,'Input Data'!$G:$G,$C13,'Input Data'!$V:$V,"FUL")</f>
        <v>10097099.77761272</v>
      </c>
      <c r="O13" s="49">
        <f>K13-L13-M13-N13</f>
        <v>10097099.77761272</v>
      </c>
      <c r="P13" s="49">
        <f t="shared" ref="P13:P39" si="0">IF(O13&gt;FUL_Deductible,MIN(O13-FUL_Deductible,FUL_Limit),0)</f>
        <v>0</v>
      </c>
      <c r="Q13" s="190">
        <f>K13-L13-M13-N13-P13</f>
        <v>10097099.77761272</v>
      </c>
      <c r="R13" s="47">
        <f>+SUMIFS('Input Data'!$AK:$AK,'Input Data'!$G:$G,$C13,'Input Data'!$V:$V,"FIID")</f>
        <v>0</v>
      </c>
      <c r="S13" s="49">
        <f>+SUMIFS('Input Data'!$AY:$AY,'Input Data'!$G:$G,$C13,'Input Data'!$V:$V,"FIID")</f>
        <v>0</v>
      </c>
      <c r="T13" s="49">
        <f>+SUMIFS('Input Data'!$AO:$AO,'Input Data'!$G:$G,$C13,'Input Data'!$V:$V,"FIID")</f>
        <v>0</v>
      </c>
      <c r="U13" s="49">
        <f>+SUMIFS('Input Data'!$BH:$BH,'Input Data'!$G:$G,$C13,'Input Data'!$V:$V,"FIID")</f>
        <v>0</v>
      </c>
      <c r="V13" s="49">
        <f>R13-S13-T13-U13</f>
        <v>0</v>
      </c>
      <c r="W13" s="49">
        <f>IF(V13&gt;FIID_Deductible,MIN(V13-FIID_Deductible,FIID_Limit),0)</f>
        <v>0</v>
      </c>
      <c r="X13" s="190">
        <f>R13-S13-T13-U13-W13</f>
        <v>0</v>
      </c>
      <c r="Y13" s="47">
        <f>+SUMIFS('Input Data'!$AK:$AK,'Input Data'!$G:$G,$C13,'Input Data'!$V:$V,"FIBL")</f>
        <v>0</v>
      </c>
      <c r="Z13" s="49">
        <f>+SUMIFS('Input Data'!$AH:$AH,'Input Data'!$G:$G,$C13)</f>
        <v>788835.92012599378</v>
      </c>
      <c r="AA13" s="49">
        <f>+SUMIFS('Input Data'!$AY:$AY,'Input Data'!$G:$G,$C13,'Input Data'!$V:$V,"FIBL")</f>
        <v>0</v>
      </c>
      <c r="AB13" s="439">
        <f>+SUMIFS('Input Data'!$AO:$AO,'Input Data'!$G:$G,$C13,'Input Data'!$V:$V,"FIBL")</f>
        <v>0</v>
      </c>
      <c r="AC13" s="49">
        <v>0</v>
      </c>
      <c r="AD13" s="49">
        <f t="shared" ref="AD13:AD39" si="1">Y13-AA13-AB13-AC13</f>
        <v>0</v>
      </c>
      <c r="AE13" s="49">
        <v>0</v>
      </c>
      <c r="AF13" s="190">
        <f t="shared" ref="AF13:AF39" si="2">Y13-AA13-AB13-AC13-AE13</f>
        <v>0</v>
      </c>
      <c r="AG13" s="21"/>
      <c r="AH13" s="6"/>
      <c r="AI13" s="6"/>
      <c r="AJ13" s="6"/>
      <c r="AK13" s="46">
        <f>N13+P13+U13+W13</f>
        <v>10097099.77761272</v>
      </c>
      <c r="AL13" s="46">
        <f>+SUMIFS('Input Data'!$BE:$BE,'Input Data'!$G:$G,$C13)</f>
        <v>2103562.4536693171</v>
      </c>
      <c r="AM13" s="46">
        <f>AK13+AF13+AL13+Z13</f>
        <v>12989498.15140803</v>
      </c>
      <c r="AN13" s="4"/>
    </row>
    <row r="14" spans="1:40" x14ac:dyDescent="0.35">
      <c r="A14" s="4"/>
      <c r="B14" s="33" t="str">
        <v>Arabsat 5A</v>
      </c>
      <c r="C14">
        <v>8249</v>
      </c>
      <c r="D14" s="48">
        <f>+SUMIFS('Input Data'!$AK:$AK,'Input Data'!$G:$G,$C14)</f>
        <v>102523.91331881699</v>
      </c>
      <c r="E14" s="21">
        <f>+SUMIFS('Input Data'!$AH:$AH,'Input Data'!$G:$G,$C14)</f>
        <v>3203.8722912130311</v>
      </c>
      <c r="F14" s="21">
        <f>+SUMIFS('Input Data'!$AY:$AY,'Input Data'!$G:$G,$C14)</f>
        <v>20504.782663763399</v>
      </c>
      <c r="G14" s="21">
        <f>+SUMIFS('Input Data'!AO:AO,'Input Data'!$G:$G,$C14)</f>
        <v>0</v>
      </c>
      <c r="H14" s="21">
        <v>0</v>
      </c>
      <c r="I14" s="191">
        <f>+SUMIFS('Input Data'!$BF:$BF,'Input Data'!$G:$G,$C14)</f>
        <v>82019.130655053596</v>
      </c>
      <c r="J14" s="21">
        <f t="shared" ref="J14:J77" si="3">I14+E14+AL14</f>
        <v>93766.662389501376</v>
      </c>
      <c r="K14" s="48">
        <f>+SUMIFS('Input Data'!$AK:$AK,'Input Data'!$G:$G,$C14,'Input Data'!$V:$V,"FUL")</f>
        <v>102523.91331881699</v>
      </c>
      <c r="L14" s="21">
        <f>+SUMIFS('Input Data'!$AY:$AY,'Input Data'!$G:$G,$C14,'Input Data'!$V:$V,"FUL")</f>
        <v>20504.782663763399</v>
      </c>
      <c r="M14" s="21">
        <f>+SUMIFS('Input Data'!$AO:$AO,'Input Data'!$G:$G,$C14,'Input Data'!$V:$V,"FUL")</f>
        <v>0</v>
      </c>
      <c r="N14" s="21">
        <f>+SUMIFS('Input Data'!$BH:$BH,'Input Data'!$G:$G,$C14,'Input Data'!$V:$V,"FUL")</f>
        <v>41009.565327526798</v>
      </c>
      <c r="O14" s="21">
        <f t="shared" ref="O14:O39" si="4">K14-L14-M14-N14</f>
        <v>41009.565327526798</v>
      </c>
      <c r="P14" s="21">
        <f t="shared" si="0"/>
        <v>0</v>
      </c>
      <c r="Q14" s="191">
        <f t="shared" ref="Q14:Q39" si="5">K14-L14-M14-N14-P14</f>
        <v>41009.565327526798</v>
      </c>
      <c r="R14" s="48">
        <f>+SUMIFS('Input Data'!$AK:$AK,'Input Data'!$G:$G,$C14,'Input Data'!$V:$V,"FIID")</f>
        <v>0</v>
      </c>
      <c r="S14" s="21">
        <f>+SUMIFS('Input Data'!$AY:$AY,'Input Data'!$G:$G,$C14,'Input Data'!$V:$V,"FIID")</f>
        <v>0</v>
      </c>
      <c r="T14" s="21">
        <f>+SUMIFS('Input Data'!$AO:$AO,'Input Data'!$G:$G,$C14,'Input Data'!$V:$V,"FIID")</f>
        <v>0</v>
      </c>
      <c r="U14" s="21">
        <f>+SUMIFS('Input Data'!$BH:$BH,'Input Data'!$G:$G,$C14,'Input Data'!$V:$V,"FIID")</f>
        <v>0</v>
      </c>
      <c r="V14" s="21">
        <f t="shared" ref="V14:V39" si="6">R14-S14-T14-U14</f>
        <v>0</v>
      </c>
      <c r="W14" s="21">
        <f t="shared" ref="W14:W39" si="7">IF(V14&gt;FIID_Deductible,MIN(V14-FIID_Deductible,FIID_Limit),0)</f>
        <v>0</v>
      </c>
      <c r="X14" s="191">
        <f t="shared" ref="X14:X39" si="8">R14-S14-T14-U14-W14</f>
        <v>0</v>
      </c>
      <c r="Y14" s="48">
        <f>+SUMIFS('Input Data'!$AK:$AK,'Input Data'!$G:$G,$C14,'Input Data'!$V:$V,"FIBL")</f>
        <v>0</v>
      </c>
      <c r="Z14" s="21">
        <f>+SUMIFS('Input Data'!$AH:$AH,'Input Data'!$G:$G,$C14)</f>
        <v>3203.8722912130311</v>
      </c>
      <c r="AA14" s="21">
        <f>+SUMIFS('Input Data'!$AY:$AY,'Input Data'!$G:$G,$C14,'Input Data'!$V:$V,"FIBL")</f>
        <v>0</v>
      </c>
      <c r="AB14" s="431">
        <f>+SUMIFS('Input Data'!$AO:$AO,'Input Data'!$G:$G,$C14,'Input Data'!$V:$V,"FIBL")</f>
        <v>0</v>
      </c>
      <c r="AC14" s="21">
        <v>0</v>
      </c>
      <c r="AD14" s="21">
        <f t="shared" si="1"/>
        <v>0</v>
      </c>
      <c r="AE14" s="21">
        <v>0</v>
      </c>
      <c r="AF14" s="191">
        <f t="shared" si="2"/>
        <v>0</v>
      </c>
      <c r="AG14" s="21"/>
      <c r="AH14" s="6"/>
      <c r="AI14" s="6">
        <f>36.4-25.6</f>
        <v>10.799999999999997</v>
      </c>
      <c r="AJ14" s="6"/>
      <c r="AK14" s="46">
        <f t="shared" ref="AK14:AK40" si="9">N14+P14+U14+W14</f>
        <v>41009.565327526798</v>
      </c>
      <c r="AL14" s="46">
        <f>+SUMIFS('Input Data'!$BE:$BE,'Input Data'!$G:$G,$C14)</f>
        <v>8543.6594432347501</v>
      </c>
      <c r="AM14" s="46">
        <f t="shared" ref="AM14:AM77" si="10">AK14+AF14+AL14+Z14</f>
        <v>52757.097061974579</v>
      </c>
      <c r="AN14" s="4"/>
    </row>
    <row r="15" spans="1:40" x14ac:dyDescent="0.35">
      <c r="A15" s="4"/>
      <c r="B15" s="33" t="str">
        <v>Arabsat 5B</v>
      </c>
      <c r="C15">
        <v>8250</v>
      </c>
      <c r="D15" s="48">
        <f>+SUMIFS('Input Data'!$AK:$AK,'Input Data'!$G:$G,$C15)</f>
        <v>5146207.4986625696</v>
      </c>
      <c r="E15" s="21">
        <f>+SUMIFS('Input Data'!$AH:$AH,'Input Data'!$G:$G,$C15)</f>
        <v>160818.9843332053</v>
      </c>
      <c r="F15" s="21">
        <f>+SUMIFS('Input Data'!$AY:$AY,'Input Data'!$G:$G,$C15)</f>
        <v>1029241.4997325139</v>
      </c>
      <c r="G15" s="21">
        <f>+SUMIFS('Input Data'!AO:AO,'Input Data'!$G:$G,$C15)</f>
        <v>0</v>
      </c>
      <c r="H15" s="21">
        <v>0</v>
      </c>
      <c r="I15" s="191">
        <f>+SUMIFS('Input Data'!$BF:$BF,'Input Data'!$G:$G,$C15)</f>
        <v>4116965.9989300556</v>
      </c>
      <c r="J15" s="21">
        <f t="shared" si="3"/>
        <v>4706635.6081518084</v>
      </c>
      <c r="K15" s="48">
        <f>+SUMIFS('Input Data'!$AK:$AK,'Input Data'!$G:$G,$C15,'Input Data'!$V:$V,"FUL")</f>
        <v>5146207.4986625696</v>
      </c>
      <c r="L15" s="21">
        <f>+SUMIFS('Input Data'!$AY:$AY,'Input Data'!$G:$G,$C15,'Input Data'!$V:$V,"FUL")</f>
        <v>1029241.4997325139</v>
      </c>
      <c r="M15" s="21">
        <f>+SUMIFS('Input Data'!$AO:$AO,'Input Data'!$G:$G,$C15,'Input Data'!$V:$V,"FUL")</f>
        <v>0</v>
      </c>
      <c r="N15" s="21">
        <f>+SUMIFS('Input Data'!$BH:$BH,'Input Data'!$G:$G,$C15,'Input Data'!$V:$V,"FUL")</f>
        <v>2058482.9994650278</v>
      </c>
      <c r="O15" s="21">
        <f t="shared" si="4"/>
        <v>2058482.9994650278</v>
      </c>
      <c r="P15" s="21">
        <f t="shared" si="0"/>
        <v>0</v>
      </c>
      <c r="Q15" s="191">
        <f t="shared" si="5"/>
        <v>2058482.9994650278</v>
      </c>
      <c r="R15" s="48">
        <f>+SUMIFS('Input Data'!$AK:$AK,'Input Data'!$G:$G,$C15,'Input Data'!$V:$V,"FIID")</f>
        <v>0</v>
      </c>
      <c r="S15" s="21">
        <f>+SUMIFS('Input Data'!$AY:$AY,'Input Data'!$G:$G,$C15,'Input Data'!$V:$V,"FIID")</f>
        <v>0</v>
      </c>
      <c r="T15" s="21">
        <f>+SUMIFS('Input Data'!$AO:$AO,'Input Data'!$G:$G,$C15,'Input Data'!$V:$V,"FIID")</f>
        <v>0</v>
      </c>
      <c r="U15" s="21">
        <f>+SUMIFS('Input Data'!$BH:$BH,'Input Data'!$G:$G,$C15,'Input Data'!$V:$V,"FIID")</f>
        <v>0</v>
      </c>
      <c r="V15" s="21">
        <f t="shared" si="6"/>
        <v>0</v>
      </c>
      <c r="W15" s="21">
        <f t="shared" si="7"/>
        <v>0</v>
      </c>
      <c r="X15" s="191">
        <f t="shared" si="8"/>
        <v>0</v>
      </c>
      <c r="Y15" s="48">
        <f>+SUMIFS('Input Data'!$AK:$AK,'Input Data'!$G:$G,$C15,'Input Data'!$V:$V,"FIBL")</f>
        <v>0</v>
      </c>
      <c r="Z15" s="21">
        <f>+SUMIFS('Input Data'!$AH:$AH,'Input Data'!$G:$G,$C15)</f>
        <v>160818.9843332053</v>
      </c>
      <c r="AA15" s="21">
        <f>+SUMIFS('Input Data'!$AY:$AY,'Input Data'!$G:$G,$C15,'Input Data'!$V:$V,"FIBL")</f>
        <v>0</v>
      </c>
      <c r="AB15" s="431">
        <f>+SUMIFS('Input Data'!$AO:$AO,'Input Data'!$G:$G,$C15,'Input Data'!$V:$V,"FIBL")</f>
        <v>0</v>
      </c>
      <c r="AC15" s="21">
        <v>0</v>
      </c>
      <c r="AD15" s="21">
        <f t="shared" si="1"/>
        <v>0</v>
      </c>
      <c r="AE15" s="21">
        <v>0</v>
      </c>
      <c r="AF15" s="191">
        <f t="shared" si="2"/>
        <v>0</v>
      </c>
      <c r="AG15" s="21"/>
      <c r="AH15" s="6"/>
      <c r="AI15" s="6"/>
      <c r="AJ15" s="6"/>
      <c r="AK15" s="46">
        <f t="shared" si="9"/>
        <v>2058482.9994650278</v>
      </c>
      <c r="AL15" s="46">
        <f>+SUMIFS('Input Data'!$BE:$BE,'Input Data'!$G:$G,$C15)</f>
        <v>428850.62488854746</v>
      </c>
      <c r="AM15" s="46">
        <f t="shared" si="10"/>
        <v>2648152.608686781</v>
      </c>
      <c r="AN15" s="4"/>
    </row>
    <row r="16" spans="1:40" x14ac:dyDescent="0.35">
      <c r="A16" s="4"/>
      <c r="B16" s="33" t="str">
        <v>Arabsat 5C</v>
      </c>
      <c r="C16">
        <v>8785</v>
      </c>
      <c r="D16" s="48">
        <f>+SUMIFS('Input Data'!$AK:$AK,'Input Data'!$G:$G,$C16)</f>
        <v>819140.00562610605</v>
      </c>
      <c r="E16" s="21">
        <f>+SUMIFS('Input Data'!$AH:$AH,'Input Data'!$G:$G,$C16)</f>
        <v>25598.125175815814</v>
      </c>
      <c r="F16" s="21">
        <f>+SUMIFS('Input Data'!$AY:$AY,'Input Data'!$G:$G,$C16)</f>
        <v>163828.00112522123</v>
      </c>
      <c r="G16" s="21">
        <f>+SUMIFS('Input Data'!AO:AO,'Input Data'!$G:$G,$C16)</f>
        <v>0</v>
      </c>
      <c r="H16" s="21">
        <v>0</v>
      </c>
      <c r="I16" s="191">
        <f>+SUMIFS('Input Data'!$BF:$BF,'Input Data'!$G:$G,$C16)</f>
        <v>655312.0045008848</v>
      </c>
      <c r="J16" s="21">
        <f t="shared" si="3"/>
        <v>749171.79681220942</v>
      </c>
      <c r="K16" s="48">
        <f>+SUMIFS('Input Data'!$AK:$AK,'Input Data'!$G:$G,$C16,'Input Data'!$V:$V,"FUL")</f>
        <v>819140.00562610605</v>
      </c>
      <c r="L16" s="21">
        <f>+SUMIFS('Input Data'!$AY:$AY,'Input Data'!$G:$G,$C16,'Input Data'!$V:$V,"FUL")</f>
        <v>163828.00112522123</v>
      </c>
      <c r="M16" s="21">
        <f>+SUMIFS('Input Data'!$AO:$AO,'Input Data'!$G:$G,$C16,'Input Data'!$V:$V,"FUL")</f>
        <v>0</v>
      </c>
      <c r="N16" s="21">
        <f>+SUMIFS('Input Data'!$BH:$BH,'Input Data'!$G:$G,$C16,'Input Data'!$V:$V,"FUL")</f>
        <v>327656.0022504424</v>
      </c>
      <c r="O16" s="21">
        <f t="shared" si="4"/>
        <v>327656.0022504424</v>
      </c>
      <c r="P16" s="21">
        <f t="shared" si="0"/>
        <v>0</v>
      </c>
      <c r="Q16" s="191">
        <f t="shared" si="5"/>
        <v>327656.0022504424</v>
      </c>
      <c r="R16" s="48">
        <f>+SUMIFS('Input Data'!$AK:$AK,'Input Data'!$G:$G,$C16,'Input Data'!$V:$V,"FIID")</f>
        <v>0</v>
      </c>
      <c r="S16" s="21">
        <f>+SUMIFS('Input Data'!$AY:$AY,'Input Data'!$G:$G,$C16,'Input Data'!$V:$V,"FIID")</f>
        <v>0</v>
      </c>
      <c r="T16" s="21">
        <f>+SUMIFS('Input Data'!$AO:$AO,'Input Data'!$G:$G,$C16,'Input Data'!$V:$V,"FIID")</f>
        <v>0</v>
      </c>
      <c r="U16" s="21">
        <f>+SUMIFS('Input Data'!$BH:$BH,'Input Data'!$G:$G,$C16,'Input Data'!$V:$V,"FIID")</f>
        <v>0</v>
      </c>
      <c r="V16" s="21">
        <f t="shared" si="6"/>
        <v>0</v>
      </c>
      <c r="W16" s="21">
        <f t="shared" si="7"/>
        <v>0</v>
      </c>
      <c r="X16" s="191">
        <f t="shared" si="8"/>
        <v>0</v>
      </c>
      <c r="Y16" s="48">
        <f>+SUMIFS('Input Data'!$AK:$AK,'Input Data'!$G:$G,$C16,'Input Data'!$V:$V,"FIBL")</f>
        <v>0</v>
      </c>
      <c r="Z16" s="21">
        <f>+SUMIFS('Input Data'!$AH:$AH,'Input Data'!$G:$G,$C16)</f>
        <v>25598.125175815814</v>
      </c>
      <c r="AA16" s="21">
        <f>+SUMIFS('Input Data'!$AY:$AY,'Input Data'!$G:$G,$C16,'Input Data'!$V:$V,"FIBL")</f>
        <v>0</v>
      </c>
      <c r="AB16" s="431">
        <f>+SUMIFS('Input Data'!$AO:$AO,'Input Data'!$G:$G,$C16,'Input Data'!$V:$V,"FIBL")</f>
        <v>0</v>
      </c>
      <c r="AC16" s="21">
        <v>0</v>
      </c>
      <c r="AD16" s="21">
        <f t="shared" si="1"/>
        <v>0</v>
      </c>
      <c r="AE16" s="21">
        <v>0</v>
      </c>
      <c r="AF16" s="191">
        <f t="shared" si="2"/>
        <v>0</v>
      </c>
      <c r="AG16" s="21"/>
      <c r="AH16" s="6"/>
      <c r="AI16" s="6"/>
      <c r="AJ16" s="6"/>
      <c r="AK16" s="46">
        <f t="shared" si="9"/>
        <v>327656.0022504424</v>
      </c>
      <c r="AL16" s="46">
        <f>+SUMIFS('Input Data'!$BE:$BE,'Input Data'!$G:$G,$C16)</f>
        <v>68261.667135508847</v>
      </c>
      <c r="AM16" s="46">
        <f t="shared" si="10"/>
        <v>421515.79456176708</v>
      </c>
      <c r="AN16" s="4"/>
    </row>
    <row r="17" spans="1:40" x14ac:dyDescent="0.35">
      <c r="A17" s="4"/>
      <c r="B17" s="33" t="str">
        <v>Arabsat BADR 7</v>
      </c>
      <c r="C17">
        <v>8786</v>
      </c>
      <c r="D17" s="48">
        <f>+SUMIFS('Input Data'!$AK:$AK,'Input Data'!$G:$G,$C17)</f>
        <v>9517167.3330825903</v>
      </c>
      <c r="E17" s="21">
        <f>+SUMIFS('Input Data'!$AH:$AH,'Input Data'!$G:$G,$C17)</f>
        <v>297411.47915883095</v>
      </c>
      <c r="F17" s="21">
        <f>+SUMIFS('Input Data'!$AY:$AY,'Input Data'!$G:$G,$C17)</f>
        <v>1903433.4666165181</v>
      </c>
      <c r="G17" s="21">
        <f>+SUMIFS('Input Data'!AO:AO,'Input Data'!$G:$G,$C17)</f>
        <v>0</v>
      </c>
      <c r="H17" s="21">
        <v>0</v>
      </c>
      <c r="I17" s="191">
        <f>+SUMIFS('Input Data'!$BF:$BF,'Input Data'!$G:$G,$C17)</f>
        <v>7613733.8664660724</v>
      </c>
      <c r="J17" s="21">
        <f t="shared" si="3"/>
        <v>8704242.623381786</v>
      </c>
      <c r="K17" s="48">
        <f>+SUMIFS('Input Data'!$AK:$AK,'Input Data'!$G:$G,$C17,'Input Data'!$V:$V,"FUL")</f>
        <v>9517167.3330825903</v>
      </c>
      <c r="L17" s="21">
        <f>+SUMIFS('Input Data'!$AY:$AY,'Input Data'!$G:$G,$C17,'Input Data'!$V:$V,"FUL")</f>
        <v>1903433.4666165181</v>
      </c>
      <c r="M17" s="21">
        <f>+SUMIFS('Input Data'!$AO:$AO,'Input Data'!$G:$G,$C17,'Input Data'!$V:$V,"FUL")</f>
        <v>0</v>
      </c>
      <c r="N17" s="21">
        <f>+SUMIFS('Input Data'!$BH:$BH,'Input Data'!$G:$G,$C17,'Input Data'!$V:$V,"FUL")</f>
        <v>3806866.9332330362</v>
      </c>
      <c r="O17" s="21">
        <f t="shared" si="4"/>
        <v>3806866.9332330362</v>
      </c>
      <c r="P17" s="21">
        <f t="shared" si="0"/>
        <v>0</v>
      </c>
      <c r="Q17" s="191">
        <f t="shared" si="5"/>
        <v>3806866.9332330362</v>
      </c>
      <c r="R17" s="48">
        <f>+SUMIFS('Input Data'!$AK:$AK,'Input Data'!$G:$G,$C17,'Input Data'!$V:$V,"FIID")</f>
        <v>0</v>
      </c>
      <c r="S17" s="21">
        <f>+SUMIFS('Input Data'!$AY:$AY,'Input Data'!$G:$G,$C17,'Input Data'!$V:$V,"FIID")</f>
        <v>0</v>
      </c>
      <c r="T17" s="21">
        <f>+SUMIFS('Input Data'!$AO:$AO,'Input Data'!$G:$G,$C17,'Input Data'!$V:$V,"FIID")</f>
        <v>0</v>
      </c>
      <c r="U17" s="21">
        <f>+SUMIFS('Input Data'!$BH:$BH,'Input Data'!$G:$G,$C17,'Input Data'!$V:$V,"FIID")</f>
        <v>0</v>
      </c>
      <c r="V17" s="21">
        <f t="shared" si="6"/>
        <v>0</v>
      </c>
      <c r="W17" s="21">
        <f t="shared" si="7"/>
        <v>0</v>
      </c>
      <c r="X17" s="191">
        <f t="shared" si="8"/>
        <v>0</v>
      </c>
      <c r="Y17" s="48">
        <f>+SUMIFS('Input Data'!$AK:$AK,'Input Data'!$G:$G,$C17,'Input Data'!$V:$V,"FIBL")</f>
        <v>0</v>
      </c>
      <c r="Z17" s="21">
        <f>+SUMIFS('Input Data'!$AH:$AH,'Input Data'!$G:$G,$C17)</f>
        <v>297411.47915883095</v>
      </c>
      <c r="AA17" s="21">
        <f>+SUMIFS('Input Data'!$AY:$AY,'Input Data'!$G:$G,$C17,'Input Data'!$V:$V,"FIBL")</f>
        <v>0</v>
      </c>
      <c r="AB17" s="431">
        <f>+SUMIFS('Input Data'!$AO:$AO,'Input Data'!$G:$G,$C17,'Input Data'!$V:$V,"FIBL")</f>
        <v>0</v>
      </c>
      <c r="AC17" s="21">
        <v>0</v>
      </c>
      <c r="AD17" s="21">
        <f t="shared" si="1"/>
        <v>0</v>
      </c>
      <c r="AE17" s="21">
        <v>0</v>
      </c>
      <c r="AF17" s="191">
        <f t="shared" si="2"/>
        <v>0</v>
      </c>
      <c r="AG17" s="21"/>
      <c r="AH17" s="6"/>
      <c r="AI17" s="6"/>
      <c r="AJ17" s="6"/>
      <c r="AK17" s="46">
        <f t="shared" si="9"/>
        <v>3806866.9332330362</v>
      </c>
      <c r="AL17" s="46">
        <f>+SUMIFS('Input Data'!$BE:$BE,'Input Data'!$G:$G,$C17)</f>
        <v>793097.2777568826</v>
      </c>
      <c r="AM17" s="46">
        <f t="shared" si="10"/>
        <v>4897375.6901487494</v>
      </c>
      <c r="AN17" s="4"/>
    </row>
    <row r="18" spans="1:40" x14ac:dyDescent="0.35">
      <c r="A18" s="4"/>
      <c r="B18" s="33" t="str">
        <v>Arabsat 6A</v>
      </c>
      <c r="C18">
        <v>9559</v>
      </c>
      <c r="D18" s="48">
        <f>+SUMIFS('Input Data'!$AK:$AK,'Input Data'!$G:$G,$C18)</f>
        <v>14528089.8904595</v>
      </c>
      <c r="E18" s="21">
        <f>+SUMIFS('Input Data'!$AH:$AH,'Input Data'!$G:$G,$C18)</f>
        <v>454002.80907685938</v>
      </c>
      <c r="F18" s="21">
        <f>+SUMIFS('Input Data'!$AY:$AY,'Input Data'!$G:$G,$C18)</f>
        <v>2905617.9780919002</v>
      </c>
      <c r="G18" s="21">
        <f>+SUMIFS('Input Data'!AO:AO,'Input Data'!$G:$G,$C18)</f>
        <v>0</v>
      </c>
      <c r="H18" s="21">
        <v>0</v>
      </c>
      <c r="I18" s="191">
        <f>+SUMIFS('Input Data'!$BF:$BF,'Input Data'!$G:$G,$C18)</f>
        <v>11622471.912367601</v>
      </c>
      <c r="J18" s="21">
        <f t="shared" si="3"/>
        <v>13287148.878982751</v>
      </c>
      <c r="K18" s="48">
        <f>+SUMIFS('Input Data'!$AK:$AK,'Input Data'!$G:$G,$C18,'Input Data'!$V:$V,"FUL")</f>
        <v>14528089.8904595</v>
      </c>
      <c r="L18" s="21">
        <f>+SUMIFS('Input Data'!$AY:$AY,'Input Data'!$G:$G,$C18,'Input Data'!$V:$V,"FUL")</f>
        <v>2905617.9780919002</v>
      </c>
      <c r="M18" s="21">
        <f>+SUMIFS('Input Data'!$AO:$AO,'Input Data'!$G:$G,$C18,'Input Data'!$V:$V,"FUL")</f>
        <v>0</v>
      </c>
      <c r="N18" s="21">
        <f>+SUMIFS('Input Data'!$BH:$BH,'Input Data'!$G:$G,$C18,'Input Data'!$V:$V,"FUL")</f>
        <v>5811235.9561838005</v>
      </c>
      <c r="O18" s="21">
        <f t="shared" si="4"/>
        <v>5811235.9561838005</v>
      </c>
      <c r="P18" s="21">
        <f t="shared" si="0"/>
        <v>0</v>
      </c>
      <c r="Q18" s="191">
        <f t="shared" si="5"/>
        <v>5811235.9561838005</v>
      </c>
      <c r="R18" s="48">
        <f>+SUMIFS('Input Data'!$AK:$AK,'Input Data'!$G:$G,$C18,'Input Data'!$V:$V,"FIID")</f>
        <v>0</v>
      </c>
      <c r="S18" s="21">
        <f>+SUMIFS('Input Data'!$AY:$AY,'Input Data'!$G:$G,$C18,'Input Data'!$V:$V,"FIID")</f>
        <v>0</v>
      </c>
      <c r="T18" s="21">
        <f>+SUMIFS('Input Data'!$AO:$AO,'Input Data'!$G:$G,$C18,'Input Data'!$V:$V,"FIID")</f>
        <v>0</v>
      </c>
      <c r="U18" s="21">
        <f>+SUMIFS('Input Data'!$BH:$BH,'Input Data'!$G:$G,$C18,'Input Data'!$V:$V,"FIID")</f>
        <v>0</v>
      </c>
      <c r="V18" s="21">
        <f t="shared" si="6"/>
        <v>0</v>
      </c>
      <c r="W18" s="21">
        <f t="shared" si="7"/>
        <v>0</v>
      </c>
      <c r="X18" s="191">
        <f t="shared" si="8"/>
        <v>0</v>
      </c>
      <c r="Y18" s="48">
        <f>+SUMIFS('Input Data'!$AK:$AK,'Input Data'!$G:$G,$C18,'Input Data'!$V:$V,"FIBL")</f>
        <v>0</v>
      </c>
      <c r="Z18" s="21">
        <f>+SUMIFS('Input Data'!$AH:$AH,'Input Data'!$G:$G,$C18)</f>
        <v>454002.80907685938</v>
      </c>
      <c r="AA18" s="21">
        <f>+SUMIFS('Input Data'!$AY:$AY,'Input Data'!$G:$G,$C18,'Input Data'!$V:$V,"FIBL")</f>
        <v>0</v>
      </c>
      <c r="AB18" s="431">
        <f>+SUMIFS('Input Data'!$AO:$AO,'Input Data'!$G:$G,$C18,'Input Data'!$V:$V,"FIBL")</f>
        <v>0</v>
      </c>
      <c r="AC18" s="21">
        <v>0</v>
      </c>
      <c r="AD18" s="21">
        <f t="shared" si="1"/>
        <v>0</v>
      </c>
      <c r="AE18" s="21">
        <v>0</v>
      </c>
      <c r="AF18" s="191">
        <f t="shared" si="2"/>
        <v>0</v>
      </c>
      <c r="AG18" s="21"/>
      <c r="AH18" s="6"/>
      <c r="AI18" s="6"/>
      <c r="AJ18" s="6"/>
      <c r="AK18" s="46">
        <f t="shared" si="9"/>
        <v>5811235.9561838005</v>
      </c>
      <c r="AL18" s="46">
        <f>+SUMIFS('Input Data'!$BE:$BE,'Input Data'!$G:$G,$C18)</f>
        <v>1210674.1575382918</v>
      </c>
      <c r="AM18" s="46">
        <f t="shared" si="10"/>
        <v>7475912.9227989521</v>
      </c>
      <c r="AN18" s="4"/>
    </row>
    <row r="19" spans="1:40" x14ac:dyDescent="0.35">
      <c r="A19" s="4"/>
      <c r="B19" s="33" t="str">
        <v>EUTELSAT 36D</v>
      </c>
      <c r="C19">
        <v>16310</v>
      </c>
      <c r="D19" s="48">
        <f>+SUMIFS('Input Data'!$AK:$AK,'Input Data'!$G:$G,$C19)</f>
        <v>19814782.423728701</v>
      </c>
      <c r="E19" s="21">
        <f>+SUMIFS('Input Data'!$AH:$AH,'Input Data'!$G:$G,$C19)</f>
        <v>619211.9507415219</v>
      </c>
      <c r="F19" s="21">
        <f>+SUMIFS('Input Data'!$AY:$AY,'Input Data'!$G:$G,$C19)</f>
        <v>3962956.4847457404</v>
      </c>
      <c r="G19" s="21">
        <f>+SUMIFS('Input Data'!AO:AO,'Input Data'!$G:$G,$C19)</f>
        <v>0</v>
      </c>
      <c r="H19" s="21">
        <v>0</v>
      </c>
      <c r="I19" s="191">
        <f>+SUMIFS('Input Data'!$BF:$BF,'Input Data'!$G:$G,$C19)</f>
        <v>15851825.93898296</v>
      </c>
      <c r="J19" s="21">
        <f t="shared" si="3"/>
        <v>18122269.758368541</v>
      </c>
      <c r="K19" s="48">
        <f>+SUMIFS('Input Data'!$AK:$AK,'Input Data'!$G:$G,$C19,'Input Data'!$V:$V,"FUL")</f>
        <v>0</v>
      </c>
      <c r="L19" s="21">
        <f>+SUMIFS('Input Data'!$AY:$AY,'Input Data'!$G:$G,$C19,'Input Data'!$V:$V,"FUL")</f>
        <v>0</v>
      </c>
      <c r="M19" s="21">
        <f>+SUMIFS('Input Data'!$AO:$AO,'Input Data'!$G:$G,$C19,'Input Data'!$V:$V,"FUL")</f>
        <v>0</v>
      </c>
      <c r="N19" s="21">
        <f>+SUMIFS('Input Data'!$BH:$BH,'Input Data'!$G:$G,$C19,'Input Data'!$V:$V,"FUL")</f>
        <v>0</v>
      </c>
      <c r="O19" s="21">
        <f t="shared" si="4"/>
        <v>0</v>
      </c>
      <c r="P19" s="21">
        <f t="shared" si="0"/>
        <v>0</v>
      </c>
      <c r="Q19" s="191">
        <f t="shared" si="5"/>
        <v>0</v>
      </c>
      <c r="R19" s="48">
        <f>+SUMIFS('Input Data'!$AK:$AK,'Input Data'!$G:$G,$C19,'Input Data'!$V:$V,"FIID")</f>
        <v>19814782.423728701</v>
      </c>
      <c r="S19" s="21">
        <f>+SUMIFS('Input Data'!$AY:$AY,'Input Data'!$G:$G,$C19,'Input Data'!$V:$V,"FIID")</f>
        <v>3962956.4847457404</v>
      </c>
      <c r="T19" s="21">
        <f>+SUMIFS('Input Data'!$AO:$AO,'Input Data'!$G:$G,$C19,'Input Data'!$V:$V,"FIID")</f>
        <v>0</v>
      </c>
      <c r="U19" s="21">
        <f>+SUMIFS('Input Data'!$BH:$BH,'Input Data'!$G:$G,$C19,'Input Data'!$V:$V,"FIID")</f>
        <v>13474052.048135515</v>
      </c>
      <c r="V19" s="21">
        <f t="shared" si="6"/>
        <v>2377773.8908474445</v>
      </c>
      <c r="W19" s="21">
        <f t="shared" si="7"/>
        <v>0</v>
      </c>
      <c r="X19" s="191">
        <f t="shared" si="8"/>
        <v>2377773.8908474445</v>
      </c>
      <c r="Y19" s="48">
        <f>+SUMIFS('Input Data'!$AK:$AK,'Input Data'!$G:$G,$C19,'Input Data'!$V:$V,"FIBL")</f>
        <v>0</v>
      </c>
      <c r="Z19" s="21">
        <f>+SUMIFS('Input Data'!$AH:$AH,'Input Data'!$G:$G,$C19)</f>
        <v>619211.9507415219</v>
      </c>
      <c r="AA19" s="21">
        <f>+SUMIFS('Input Data'!$AY:$AY,'Input Data'!$G:$G,$C19,'Input Data'!$V:$V,"FIBL")</f>
        <v>0</v>
      </c>
      <c r="AB19" s="431">
        <f>+SUMIFS('Input Data'!$AO:$AO,'Input Data'!$G:$G,$C19,'Input Data'!$V:$V,"FIBL")</f>
        <v>0</v>
      </c>
      <c r="AC19" s="21">
        <v>0</v>
      </c>
      <c r="AD19" s="21">
        <f t="shared" si="1"/>
        <v>0</v>
      </c>
      <c r="AE19" s="21">
        <v>0</v>
      </c>
      <c r="AF19" s="191">
        <f t="shared" si="2"/>
        <v>0</v>
      </c>
      <c r="AG19" s="21"/>
      <c r="AH19" s="6"/>
      <c r="AI19" s="6"/>
      <c r="AJ19" s="6"/>
      <c r="AK19" s="46">
        <f t="shared" si="9"/>
        <v>13474052.048135515</v>
      </c>
      <c r="AL19" s="46">
        <f>+SUMIFS('Input Data'!$BE:$BE,'Input Data'!$G:$G,$C19)</f>
        <v>1651231.8686440585</v>
      </c>
      <c r="AM19" s="46">
        <f t="shared" si="10"/>
        <v>15744495.867521096</v>
      </c>
      <c r="AN19" s="4"/>
    </row>
    <row r="20" spans="1:40" x14ac:dyDescent="0.35">
      <c r="A20" s="4"/>
      <c r="B20" s="33" t="str">
        <v>W7/E36B</v>
      </c>
      <c r="C20">
        <v>8137</v>
      </c>
      <c r="D20" s="48">
        <f>+SUMIFS('Input Data'!$AK:$AK,'Input Data'!$G:$G,$C20)</f>
        <v>3567555.5732371002</v>
      </c>
      <c r="E20" s="21">
        <f>+SUMIFS('Input Data'!$AH:$AH,'Input Data'!$G:$G,$C20)</f>
        <v>111486.11166365938</v>
      </c>
      <c r="F20" s="21">
        <f>+SUMIFS('Input Data'!$AY:$AY,'Input Data'!$G:$G,$C20)</f>
        <v>713511.11464742012</v>
      </c>
      <c r="G20" s="21">
        <f>+SUMIFS('Input Data'!AO:AO,'Input Data'!$G:$G,$C20)</f>
        <v>0</v>
      </c>
      <c r="H20" s="21">
        <v>0</v>
      </c>
      <c r="I20" s="191">
        <f>+SUMIFS('Input Data'!$BF:$BF,'Input Data'!$G:$G,$C20)</f>
        <v>2854044.45858968</v>
      </c>
      <c r="J20" s="21">
        <f t="shared" si="3"/>
        <v>3262826.868023098</v>
      </c>
      <c r="K20" s="48">
        <f>+SUMIFS('Input Data'!$AK:$AK,'Input Data'!$G:$G,$C20,'Input Data'!$V:$V,"FUL")</f>
        <v>0</v>
      </c>
      <c r="L20" s="21">
        <f>+SUMIFS('Input Data'!$AY:$AY,'Input Data'!$G:$G,$C20,'Input Data'!$V:$V,"FUL")</f>
        <v>0</v>
      </c>
      <c r="M20" s="21">
        <f>+SUMIFS('Input Data'!$AO:$AO,'Input Data'!$G:$G,$C20,'Input Data'!$V:$V,"FUL")</f>
        <v>0</v>
      </c>
      <c r="N20" s="21">
        <f>+SUMIFS('Input Data'!$BH:$BH,'Input Data'!$G:$G,$C20,'Input Data'!$V:$V,"FUL")</f>
        <v>0</v>
      </c>
      <c r="O20" s="21">
        <f t="shared" si="4"/>
        <v>0</v>
      </c>
      <c r="P20" s="21">
        <f t="shared" si="0"/>
        <v>0</v>
      </c>
      <c r="Q20" s="191">
        <f t="shared" si="5"/>
        <v>0</v>
      </c>
      <c r="R20" s="48">
        <f>+SUMIFS('Input Data'!$AK:$AK,'Input Data'!$G:$G,$C20,'Input Data'!$V:$V,"FIID")</f>
        <v>3567555.5732371002</v>
      </c>
      <c r="S20" s="21">
        <f>+SUMIFS('Input Data'!$AY:$AY,'Input Data'!$G:$G,$C20,'Input Data'!$V:$V,"FIID")</f>
        <v>713511.11464742012</v>
      </c>
      <c r="T20" s="21">
        <f>+SUMIFS('Input Data'!$AO:$AO,'Input Data'!$G:$G,$C20,'Input Data'!$V:$V,"FIID")</f>
        <v>0</v>
      </c>
      <c r="U20" s="21">
        <f>+SUMIFS('Input Data'!$BH:$BH,'Input Data'!$G:$G,$C20,'Input Data'!$V:$V,"FIID")</f>
        <v>2425937.7898012279</v>
      </c>
      <c r="V20" s="21">
        <f t="shared" si="6"/>
        <v>428106.66878845217</v>
      </c>
      <c r="W20" s="21">
        <f t="shared" si="7"/>
        <v>0</v>
      </c>
      <c r="X20" s="191">
        <f t="shared" si="8"/>
        <v>428106.66878845217</v>
      </c>
      <c r="Y20" s="48">
        <f>+SUMIFS('Input Data'!$AK:$AK,'Input Data'!$G:$G,$C20,'Input Data'!$V:$V,"FIBL")</f>
        <v>0</v>
      </c>
      <c r="Z20" s="21">
        <f>+SUMIFS('Input Data'!$AH:$AH,'Input Data'!$G:$G,$C20)</f>
        <v>111486.11166365938</v>
      </c>
      <c r="AA20" s="21">
        <f>+SUMIFS('Input Data'!$AY:$AY,'Input Data'!$G:$G,$C20,'Input Data'!$V:$V,"FIBL")</f>
        <v>0</v>
      </c>
      <c r="AB20" s="431">
        <f>+SUMIFS('Input Data'!$AO:$AO,'Input Data'!$G:$G,$C20,'Input Data'!$V:$V,"FIBL")</f>
        <v>0</v>
      </c>
      <c r="AC20" s="21">
        <v>0</v>
      </c>
      <c r="AD20" s="21">
        <f t="shared" si="1"/>
        <v>0</v>
      </c>
      <c r="AE20" s="21">
        <v>0</v>
      </c>
      <c r="AF20" s="191">
        <f t="shared" si="2"/>
        <v>0</v>
      </c>
      <c r="AG20" s="21"/>
      <c r="AH20" s="6"/>
      <c r="AI20" s="21"/>
      <c r="AJ20" s="6"/>
      <c r="AK20" s="46">
        <f t="shared" si="9"/>
        <v>2425937.7898012279</v>
      </c>
      <c r="AL20" s="46">
        <f>+SUMIFS('Input Data'!$BE:$BE,'Input Data'!$G:$G,$C20)</f>
        <v>297296.29776975838</v>
      </c>
      <c r="AM20" s="46">
        <f t="shared" si="10"/>
        <v>2834720.1992346458</v>
      </c>
      <c r="AN20" s="4"/>
    </row>
    <row r="21" spans="1:40" x14ac:dyDescent="0.35">
      <c r="A21" s="4"/>
      <c r="B21" s="33" t="str">
        <v>E115WB (S7)</v>
      </c>
      <c r="C21">
        <v>8692</v>
      </c>
      <c r="D21" s="48">
        <f>+SUMIFS('Input Data'!$AK:$AK,'Input Data'!$G:$G,$C21)</f>
        <v>3955653.7664769501</v>
      </c>
      <c r="E21" s="21">
        <f>+SUMIFS('Input Data'!$AH:$AH,'Input Data'!$G:$G,$C21)</f>
        <v>123614.18020240468</v>
      </c>
      <c r="F21" s="21">
        <f>+SUMIFS('Input Data'!$AY:$AY,'Input Data'!$G:$G,$C21)</f>
        <v>791130.75329539005</v>
      </c>
      <c r="G21" s="21">
        <f>+SUMIFS('Input Data'!AO:AO,'Input Data'!$G:$G,$C21)</f>
        <v>0</v>
      </c>
      <c r="H21" s="21">
        <v>0</v>
      </c>
      <c r="I21" s="191">
        <f>+SUMIFS('Input Data'!$BF:$BF,'Input Data'!$G:$G,$C21)</f>
        <v>3164523.0131815602</v>
      </c>
      <c r="J21" s="21">
        <f t="shared" si="3"/>
        <v>3617775.0072570438</v>
      </c>
      <c r="K21" s="48">
        <f>+SUMIFS('Input Data'!$AK:$AK,'Input Data'!$G:$G,$C21,'Input Data'!$V:$V,"FUL")</f>
        <v>0</v>
      </c>
      <c r="L21" s="21">
        <f>+SUMIFS('Input Data'!$AY:$AY,'Input Data'!$G:$G,$C21,'Input Data'!$V:$V,"FUL")</f>
        <v>0</v>
      </c>
      <c r="M21" s="21">
        <f>+SUMIFS('Input Data'!$AO:$AO,'Input Data'!$G:$G,$C21,'Input Data'!$V:$V,"FUL")</f>
        <v>0</v>
      </c>
      <c r="N21" s="21">
        <f>+SUMIFS('Input Data'!$BH:$BH,'Input Data'!$G:$G,$C21,'Input Data'!$V:$V,"FUL")</f>
        <v>0</v>
      </c>
      <c r="O21" s="21">
        <f t="shared" si="4"/>
        <v>0</v>
      </c>
      <c r="P21" s="21">
        <f t="shared" si="0"/>
        <v>0</v>
      </c>
      <c r="Q21" s="191">
        <f t="shared" si="5"/>
        <v>0</v>
      </c>
      <c r="R21" s="48">
        <f>+SUMIFS('Input Data'!$AK:$AK,'Input Data'!$G:$G,$C21,'Input Data'!$V:$V,"FIID")</f>
        <v>3955653.7664769501</v>
      </c>
      <c r="S21" s="21">
        <f>+SUMIFS('Input Data'!$AY:$AY,'Input Data'!$G:$G,$C21,'Input Data'!$V:$V,"FIID")</f>
        <v>791130.75329539005</v>
      </c>
      <c r="T21" s="21">
        <f>+SUMIFS('Input Data'!$AO:$AO,'Input Data'!$G:$G,$C21,'Input Data'!$V:$V,"FIID")</f>
        <v>0</v>
      </c>
      <c r="U21" s="21">
        <f>+SUMIFS('Input Data'!$BH:$BH,'Input Data'!$G:$G,$C21,'Input Data'!$V:$V,"FIID")</f>
        <v>2689844.5612043259</v>
      </c>
      <c r="V21" s="21">
        <f t="shared" si="6"/>
        <v>474678.45197723433</v>
      </c>
      <c r="W21" s="21">
        <f t="shared" si="7"/>
        <v>0</v>
      </c>
      <c r="X21" s="191">
        <f t="shared" si="8"/>
        <v>474678.45197723433</v>
      </c>
      <c r="Y21" s="48">
        <f>+SUMIFS('Input Data'!$AK:$AK,'Input Data'!$G:$G,$C21,'Input Data'!$V:$V,"FIBL")</f>
        <v>0</v>
      </c>
      <c r="Z21" s="21">
        <f>+SUMIFS('Input Data'!$AH:$AH,'Input Data'!$G:$G,$C21)</f>
        <v>123614.18020240468</v>
      </c>
      <c r="AA21" s="21">
        <f>+SUMIFS('Input Data'!$AY:$AY,'Input Data'!$G:$G,$C21,'Input Data'!$V:$V,"FIBL")</f>
        <v>0</v>
      </c>
      <c r="AB21" s="431">
        <f>+SUMIFS('Input Data'!$AO:$AO,'Input Data'!$G:$G,$C21,'Input Data'!$V:$V,"FIBL")</f>
        <v>0</v>
      </c>
      <c r="AC21" s="21">
        <v>0</v>
      </c>
      <c r="AD21" s="21">
        <f t="shared" si="1"/>
        <v>0</v>
      </c>
      <c r="AE21" s="21">
        <v>0</v>
      </c>
      <c r="AF21" s="191">
        <f t="shared" si="2"/>
        <v>0</v>
      </c>
      <c r="AG21" s="21"/>
      <c r="AH21" s="6"/>
      <c r="AI21" s="6"/>
      <c r="AJ21" s="6"/>
      <c r="AK21" s="46">
        <f t="shared" si="9"/>
        <v>2689844.5612043259</v>
      </c>
      <c r="AL21" s="46">
        <f>+SUMIFS('Input Data'!$BE:$BE,'Input Data'!$G:$G,$C21)</f>
        <v>329637.8138730792</v>
      </c>
      <c r="AM21" s="46">
        <f t="shared" si="10"/>
        <v>3143096.5552798095</v>
      </c>
      <c r="AN21" s="4"/>
    </row>
    <row r="22" spans="1:40" x14ac:dyDescent="0.35">
      <c r="A22" s="4"/>
      <c r="B22" s="33" t="str">
        <v>W3C/E16A</v>
      </c>
      <c r="C22">
        <v>8814</v>
      </c>
      <c r="D22" s="48">
        <f>+SUMIFS('Input Data'!$AK:$AK,'Input Data'!$G:$G,$C22)</f>
        <v>11679640.312677</v>
      </c>
      <c r="E22" s="21">
        <f>+SUMIFS('Input Data'!$AH:$AH,'Input Data'!$G:$G,$C22)</f>
        <v>364988.75977115624</v>
      </c>
      <c r="F22" s="21">
        <f>+SUMIFS('Input Data'!$AY:$AY,'Input Data'!$G:$G,$C22)</f>
        <v>2335928.0625354</v>
      </c>
      <c r="G22" s="21">
        <f>+SUMIFS('Input Data'!AO:AO,'Input Data'!$G:$G,$C22)</f>
        <v>0</v>
      </c>
      <c r="H22" s="21">
        <v>0</v>
      </c>
      <c r="I22" s="191">
        <f>+SUMIFS('Input Data'!$BF:$BF,'Input Data'!$G:$G,$C22)</f>
        <v>9343712.2501416001</v>
      </c>
      <c r="J22" s="21">
        <f t="shared" si="3"/>
        <v>10682004.369302507</v>
      </c>
      <c r="K22" s="48">
        <f>+SUMIFS('Input Data'!$AK:$AK,'Input Data'!$G:$G,$C22,'Input Data'!$V:$V,"FUL")</f>
        <v>0</v>
      </c>
      <c r="L22" s="21">
        <f>+SUMIFS('Input Data'!$AY:$AY,'Input Data'!$G:$G,$C22,'Input Data'!$V:$V,"FUL")</f>
        <v>0</v>
      </c>
      <c r="M22" s="21">
        <f>+SUMIFS('Input Data'!$AO:$AO,'Input Data'!$G:$G,$C22,'Input Data'!$V:$V,"FUL")</f>
        <v>0</v>
      </c>
      <c r="N22" s="21">
        <f>+SUMIFS('Input Data'!$BH:$BH,'Input Data'!$G:$G,$C22,'Input Data'!$V:$V,"FUL")</f>
        <v>0</v>
      </c>
      <c r="O22" s="21">
        <f t="shared" si="4"/>
        <v>0</v>
      </c>
      <c r="P22" s="21">
        <f t="shared" si="0"/>
        <v>0</v>
      </c>
      <c r="Q22" s="191">
        <f t="shared" si="5"/>
        <v>0</v>
      </c>
      <c r="R22" s="48">
        <f>+SUMIFS('Input Data'!$AK:$AK,'Input Data'!$G:$G,$C22,'Input Data'!$V:$V,"FIID")</f>
        <v>11679640.312677</v>
      </c>
      <c r="S22" s="21">
        <f>+SUMIFS('Input Data'!$AY:$AY,'Input Data'!$G:$G,$C22,'Input Data'!$V:$V,"FIID")</f>
        <v>2335928.0625354</v>
      </c>
      <c r="T22" s="21">
        <f>+SUMIFS('Input Data'!$AO:$AO,'Input Data'!$G:$G,$C22,'Input Data'!$V:$V,"FIID")</f>
        <v>0</v>
      </c>
      <c r="U22" s="21">
        <f>+SUMIFS('Input Data'!$BH:$BH,'Input Data'!$G:$G,$C22,'Input Data'!$V:$V,"FIID")</f>
        <v>7942155.41262036</v>
      </c>
      <c r="V22" s="21">
        <f t="shared" si="6"/>
        <v>1401556.8375212401</v>
      </c>
      <c r="W22" s="21">
        <f t="shared" si="7"/>
        <v>0</v>
      </c>
      <c r="X22" s="191">
        <f t="shared" si="8"/>
        <v>1401556.8375212401</v>
      </c>
      <c r="Y22" s="48">
        <f>+SUMIFS('Input Data'!$AK:$AK,'Input Data'!$G:$G,$C22,'Input Data'!$V:$V,"FIBL")</f>
        <v>0</v>
      </c>
      <c r="Z22" s="21">
        <f>+SUMIFS('Input Data'!$AH:$AH,'Input Data'!$G:$G,$C22)</f>
        <v>364988.75977115624</v>
      </c>
      <c r="AA22" s="21">
        <f>+SUMIFS('Input Data'!$AY:$AY,'Input Data'!$G:$G,$C22,'Input Data'!$V:$V,"FIBL")</f>
        <v>0</v>
      </c>
      <c r="AB22" s="431">
        <f>+SUMIFS('Input Data'!$AO:$AO,'Input Data'!$G:$G,$C22,'Input Data'!$V:$V,"FIBL")</f>
        <v>0</v>
      </c>
      <c r="AC22" s="21">
        <v>0</v>
      </c>
      <c r="AD22" s="21">
        <f t="shared" si="1"/>
        <v>0</v>
      </c>
      <c r="AE22" s="21">
        <v>0</v>
      </c>
      <c r="AF22" s="191">
        <f t="shared" si="2"/>
        <v>0</v>
      </c>
      <c r="AG22" s="21"/>
      <c r="AH22" s="6"/>
      <c r="AI22" s="6"/>
      <c r="AJ22" s="6"/>
      <c r="AK22" s="46">
        <f t="shared" si="9"/>
        <v>7942155.41262036</v>
      </c>
      <c r="AL22" s="46">
        <f>+SUMIFS('Input Data'!$BE:$BE,'Input Data'!$G:$G,$C22)</f>
        <v>973303.35938975005</v>
      </c>
      <c r="AM22" s="46">
        <f t="shared" si="10"/>
        <v>9280447.5317812674</v>
      </c>
      <c r="AN22" s="4"/>
    </row>
    <row r="23" spans="1:40" x14ac:dyDescent="0.35">
      <c r="A23" s="4"/>
      <c r="B23" s="33" t="str">
        <v>AB7/E7WA</v>
      </c>
      <c r="C23">
        <v>8837</v>
      </c>
      <c r="D23" s="48">
        <f>+SUMIFS('Input Data'!$AK:$AK,'Input Data'!$G:$G,$C23)</f>
        <v>11922926.160296399</v>
      </c>
      <c r="E23" s="21">
        <f>+SUMIFS('Input Data'!$AH:$AH,'Input Data'!$G:$G,$C23)</f>
        <v>372591.44250926247</v>
      </c>
      <c r="F23" s="21">
        <f>+SUMIFS('Input Data'!$AY:$AY,'Input Data'!$G:$G,$C23)</f>
        <v>2384585.2320592799</v>
      </c>
      <c r="G23" s="21">
        <f>+SUMIFS('Input Data'!AO:AO,'Input Data'!$G:$G,$C23)</f>
        <v>0</v>
      </c>
      <c r="H23" s="21">
        <v>0</v>
      </c>
      <c r="I23" s="191">
        <f>+SUMIFS('Input Data'!$BF:$BF,'Input Data'!$G:$G,$C23)</f>
        <v>9538340.9282371197</v>
      </c>
      <c r="J23" s="21">
        <f t="shared" si="3"/>
        <v>10904509.550771082</v>
      </c>
      <c r="K23" s="48">
        <f>+SUMIFS('Input Data'!$AK:$AK,'Input Data'!$G:$G,$C23,'Input Data'!$V:$V,"FUL")</f>
        <v>0</v>
      </c>
      <c r="L23" s="21">
        <f>+SUMIFS('Input Data'!$AY:$AY,'Input Data'!$G:$G,$C23,'Input Data'!$V:$V,"FUL")</f>
        <v>0</v>
      </c>
      <c r="M23" s="21">
        <f>+SUMIFS('Input Data'!$AO:$AO,'Input Data'!$G:$G,$C23,'Input Data'!$V:$V,"FUL")</f>
        <v>0</v>
      </c>
      <c r="N23" s="21">
        <f>+SUMIFS('Input Data'!$BH:$BH,'Input Data'!$G:$G,$C23,'Input Data'!$V:$V,"FUL")</f>
        <v>0</v>
      </c>
      <c r="O23" s="21">
        <f t="shared" si="4"/>
        <v>0</v>
      </c>
      <c r="P23" s="21">
        <f t="shared" si="0"/>
        <v>0</v>
      </c>
      <c r="Q23" s="191">
        <f t="shared" si="5"/>
        <v>0</v>
      </c>
      <c r="R23" s="48">
        <f>+SUMIFS('Input Data'!$AK:$AK,'Input Data'!$G:$G,$C23,'Input Data'!$V:$V,"FIID")</f>
        <v>11922926.160296399</v>
      </c>
      <c r="S23" s="21">
        <f>+SUMIFS('Input Data'!$AY:$AY,'Input Data'!$G:$G,$C23,'Input Data'!$V:$V,"FIID")</f>
        <v>2384585.2320592799</v>
      </c>
      <c r="T23" s="21">
        <f>+SUMIFS('Input Data'!$AO:$AO,'Input Data'!$G:$G,$C23,'Input Data'!$V:$V,"FIID")</f>
        <v>0</v>
      </c>
      <c r="U23" s="21">
        <f>+SUMIFS('Input Data'!$BH:$BH,'Input Data'!$G:$G,$C23,'Input Data'!$V:$V,"FIID")</f>
        <v>8107589.7890015515</v>
      </c>
      <c r="V23" s="21">
        <f t="shared" si="6"/>
        <v>1430751.1392355682</v>
      </c>
      <c r="W23" s="21">
        <f t="shared" si="7"/>
        <v>0</v>
      </c>
      <c r="X23" s="191">
        <f t="shared" si="8"/>
        <v>1430751.1392355682</v>
      </c>
      <c r="Y23" s="48">
        <f>+SUMIFS('Input Data'!$AK:$AK,'Input Data'!$G:$G,$C23,'Input Data'!$V:$V,"FIBL")</f>
        <v>0</v>
      </c>
      <c r="Z23" s="21">
        <f>+SUMIFS('Input Data'!$AH:$AH,'Input Data'!$G:$G,$C23)</f>
        <v>372591.44250926247</v>
      </c>
      <c r="AA23" s="21">
        <f>+SUMIFS('Input Data'!$AY:$AY,'Input Data'!$G:$G,$C23,'Input Data'!$V:$V,"FIBL")</f>
        <v>0</v>
      </c>
      <c r="AB23" s="431">
        <f>+SUMIFS('Input Data'!$AO:$AO,'Input Data'!$G:$G,$C23,'Input Data'!$V:$V,"FIBL")</f>
        <v>0</v>
      </c>
      <c r="AC23" s="21">
        <v>0</v>
      </c>
      <c r="AD23" s="21">
        <f t="shared" si="1"/>
        <v>0</v>
      </c>
      <c r="AE23" s="21">
        <v>0</v>
      </c>
      <c r="AF23" s="191">
        <f t="shared" si="2"/>
        <v>0</v>
      </c>
      <c r="AG23" s="21"/>
      <c r="AH23" s="6"/>
      <c r="AI23" s="6"/>
      <c r="AJ23" s="6"/>
      <c r="AK23" s="46">
        <f t="shared" si="9"/>
        <v>8107589.7890015515</v>
      </c>
      <c r="AL23" s="46">
        <f>+SUMIFS('Input Data'!$BE:$BE,'Input Data'!$G:$G,$C23)</f>
        <v>993577.18002470001</v>
      </c>
      <c r="AM23" s="46">
        <f t="shared" si="10"/>
        <v>9473758.4115355127</v>
      </c>
      <c r="AN23" s="4"/>
    </row>
    <row r="24" spans="1:40" x14ac:dyDescent="0.35">
      <c r="A24" s="4"/>
      <c r="B24" s="33" t="str">
        <v>E117WA (S8)</v>
      </c>
      <c r="C24">
        <v>8977</v>
      </c>
      <c r="D24" s="48">
        <f>+SUMIFS('Input Data'!$AK:$AK,'Input Data'!$G:$G,$C24)</f>
        <v>6390959.0361546203</v>
      </c>
      <c r="E24" s="21">
        <f>+SUMIFS('Input Data'!$AH:$AH,'Input Data'!$G:$G,$C24)</f>
        <v>199717.46987983189</v>
      </c>
      <c r="F24" s="21">
        <f>+SUMIFS('Input Data'!$AY:$AY,'Input Data'!$G:$G,$C24)</f>
        <v>1278191.8072309243</v>
      </c>
      <c r="G24" s="21">
        <f>+SUMIFS('Input Data'!AO:AO,'Input Data'!$G:$G,$C24)</f>
        <v>0</v>
      </c>
      <c r="H24" s="21">
        <v>0</v>
      </c>
      <c r="I24" s="191">
        <f>+SUMIFS('Input Data'!$BF:$BF,'Input Data'!$G:$G,$C24)</f>
        <v>5112767.2289236961</v>
      </c>
      <c r="J24" s="21">
        <f t="shared" si="3"/>
        <v>5845064.6184830796</v>
      </c>
      <c r="K24" s="48">
        <f>+SUMIFS('Input Data'!$AK:$AK,'Input Data'!$G:$G,$C24,'Input Data'!$V:$V,"FUL")</f>
        <v>0</v>
      </c>
      <c r="L24" s="21">
        <f>+SUMIFS('Input Data'!$AY:$AY,'Input Data'!$G:$G,$C24,'Input Data'!$V:$V,"FUL")</f>
        <v>0</v>
      </c>
      <c r="M24" s="21">
        <f>+SUMIFS('Input Data'!$AO:$AO,'Input Data'!$G:$G,$C24,'Input Data'!$V:$V,"FUL")</f>
        <v>0</v>
      </c>
      <c r="N24" s="21">
        <f>+SUMIFS('Input Data'!$BH:$BH,'Input Data'!$G:$G,$C24,'Input Data'!$V:$V,"FUL")</f>
        <v>0</v>
      </c>
      <c r="O24" s="21">
        <f t="shared" si="4"/>
        <v>0</v>
      </c>
      <c r="P24" s="21">
        <f t="shared" si="0"/>
        <v>0</v>
      </c>
      <c r="Q24" s="191">
        <f t="shared" si="5"/>
        <v>0</v>
      </c>
      <c r="R24" s="48">
        <f>+SUMIFS('Input Data'!$AK:$AK,'Input Data'!$G:$G,$C24,'Input Data'!$V:$V,"FIID")</f>
        <v>6390959.0361546203</v>
      </c>
      <c r="S24" s="21">
        <f>+SUMIFS('Input Data'!$AY:$AY,'Input Data'!$G:$G,$C24,'Input Data'!$V:$V,"FIID")</f>
        <v>1278191.8072309243</v>
      </c>
      <c r="T24" s="21">
        <f>+SUMIFS('Input Data'!$AO:$AO,'Input Data'!$G:$G,$C24,'Input Data'!$V:$V,"FIID")</f>
        <v>0</v>
      </c>
      <c r="U24" s="21">
        <f>+SUMIFS('Input Data'!$BH:$BH,'Input Data'!$G:$G,$C24,'Input Data'!$V:$V,"FIID")</f>
        <v>4345852.1445851419</v>
      </c>
      <c r="V24" s="21">
        <f t="shared" si="6"/>
        <v>766915.08433855418</v>
      </c>
      <c r="W24" s="21">
        <f t="shared" si="7"/>
        <v>0</v>
      </c>
      <c r="X24" s="191">
        <f t="shared" si="8"/>
        <v>766915.08433855418</v>
      </c>
      <c r="Y24" s="48">
        <f>+SUMIFS('Input Data'!$AK:$AK,'Input Data'!$G:$G,$C24,'Input Data'!$V:$V,"FIBL")</f>
        <v>0</v>
      </c>
      <c r="Z24" s="21">
        <f>+SUMIFS('Input Data'!$AH:$AH,'Input Data'!$G:$G,$C24)</f>
        <v>199717.46987983189</v>
      </c>
      <c r="AA24" s="21">
        <f>+SUMIFS('Input Data'!$AY:$AY,'Input Data'!$G:$G,$C24,'Input Data'!$V:$V,"FIBL")</f>
        <v>0</v>
      </c>
      <c r="AB24" s="431">
        <f>+SUMIFS('Input Data'!$AO:$AO,'Input Data'!$G:$G,$C24,'Input Data'!$V:$V,"FIBL")</f>
        <v>0</v>
      </c>
      <c r="AC24" s="21">
        <v>0</v>
      </c>
      <c r="AD24" s="21">
        <f t="shared" si="1"/>
        <v>0</v>
      </c>
      <c r="AE24" s="21">
        <v>0</v>
      </c>
      <c r="AF24" s="191">
        <f t="shared" si="2"/>
        <v>0</v>
      </c>
      <c r="AG24" s="21"/>
      <c r="AH24" s="6"/>
      <c r="AI24" s="6"/>
      <c r="AJ24" s="6"/>
      <c r="AK24" s="46">
        <f t="shared" si="9"/>
        <v>4345852.1445851419</v>
      </c>
      <c r="AL24" s="46">
        <f>+SUMIFS('Input Data'!$BE:$BE,'Input Data'!$G:$G,$C24)</f>
        <v>532579.91967955185</v>
      </c>
      <c r="AM24" s="46">
        <f t="shared" si="10"/>
        <v>5078149.5341445263</v>
      </c>
      <c r="AN24" s="4"/>
    </row>
    <row r="25" spans="1:40" x14ac:dyDescent="0.35">
      <c r="A25" s="4"/>
      <c r="B25" s="33" t="str">
        <v>W6A/E21B</v>
      </c>
      <c r="C25">
        <v>9000</v>
      </c>
      <c r="D25" s="48">
        <f>+SUMIFS('Input Data'!$AK:$AK,'Input Data'!$G:$G,$C25)</f>
        <v>8472635.0218910407</v>
      </c>
      <c r="E25" s="21">
        <f>+SUMIFS('Input Data'!$AH:$AH,'Input Data'!$G:$G,$C25)</f>
        <v>264769.84443409502</v>
      </c>
      <c r="F25" s="21">
        <f>+SUMIFS('Input Data'!$AY:$AY,'Input Data'!$G:$G,$C25)</f>
        <v>1694527.0043782082</v>
      </c>
      <c r="G25" s="21">
        <f>+SUMIFS('Input Data'!AO:AO,'Input Data'!$G:$G,$C25)</f>
        <v>0</v>
      </c>
      <c r="H25" s="21">
        <v>0</v>
      </c>
      <c r="I25" s="191">
        <f>+SUMIFS('Input Data'!$BF:$BF,'Input Data'!$G:$G,$C25)</f>
        <v>6778108.0175128328</v>
      </c>
      <c r="J25" s="21">
        <f t="shared" si="3"/>
        <v>7748930.7804378476</v>
      </c>
      <c r="K25" s="48">
        <f>+SUMIFS('Input Data'!$AK:$AK,'Input Data'!$G:$G,$C25,'Input Data'!$V:$V,"FUL")</f>
        <v>0</v>
      </c>
      <c r="L25" s="21">
        <f>+SUMIFS('Input Data'!$AY:$AY,'Input Data'!$G:$G,$C25,'Input Data'!$V:$V,"FUL")</f>
        <v>0</v>
      </c>
      <c r="M25" s="21">
        <f>+SUMIFS('Input Data'!$AO:$AO,'Input Data'!$G:$G,$C25,'Input Data'!$V:$V,"FUL")</f>
        <v>0</v>
      </c>
      <c r="N25" s="21">
        <f>+SUMIFS('Input Data'!$BH:$BH,'Input Data'!$G:$G,$C25,'Input Data'!$V:$V,"FUL")</f>
        <v>0</v>
      </c>
      <c r="O25" s="21">
        <f t="shared" si="4"/>
        <v>0</v>
      </c>
      <c r="P25" s="21">
        <f t="shared" si="0"/>
        <v>0</v>
      </c>
      <c r="Q25" s="191">
        <f t="shared" si="5"/>
        <v>0</v>
      </c>
      <c r="R25" s="48">
        <f>+SUMIFS('Input Data'!$AK:$AK,'Input Data'!$G:$G,$C25,'Input Data'!$V:$V,"FIID")</f>
        <v>8472635.0218910407</v>
      </c>
      <c r="S25" s="21">
        <f>+SUMIFS('Input Data'!$AY:$AY,'Input Data'!$G:$G,$C25,'Input Data'!$V:$V,"FIID")</f>
        <v>1694527.0043782082</v>
      </c>
      <c r="T25" s="21">
        <f>+SUMIFS('Input Data'!$AO:$AO,'Input Data'!$G:$G,$C25,'Input Data'!$V:$V,"FIID")</f>
        <v>0</v>
      </c>
      <c r="U25" s="21">
        <f>+SUMIFS('Input Data'!$BH:$BH,'Input Data'!$G:$G,$C25,'Input Data'!$V:$V,"FIID")</f>
        <v>5761391.8148859078</v>
      </c>
      <c r="V25" s="21">
        <f t="shared" si="6"/>
        <v>1016716.202626925</v>
      </c>
      <c r="W25" s="21">
        <f t="shared" si="7"/>
        <v>0</v>
      </c>
      <c r="X25" s="191">
        <f t="shared" si="8"/>
        <v>1016716.202626925</v>
      </c>
      <c r="Y25" s="48">
        <f>+SUMIFS('Input Data'!$AK:$AK,'Input Data'!$G:$G,$C25,'Input Data'!$V:$V,"FIBL")</f>
        <v>0</v>
      </c>
      <c r="Z25" s="21">
        <f>+SUMIFS('Input Data'!$AH:$AH,'Input Data'!$G:$G,$C25)</f>
        <v>264769.84443409502</v>
      </c>
      <c r="AA25" s="21">
        <f>+SUMIFS('Input Data'!$AY:$AY,'Input Data'!$G:$G,$C25,'Input Data'!$V:$V,"FIBL")</f>
        <v>0</v>
      </c>
      <c r="AB25" s="431">
        <f>+SUMIFS('Input Data'!$AO:$AO,'Input Data'!$G:$G,$C25,'Input Data'!$V:$V,"FIBL")</f>
        <v>0</v>
      </c>
      <c r="AC25" s="21">
        <v>0</v>
      </c>
      <c r="AD25" s="21">
        <f t="shared" si="1"/>
        <v>0</v>
      </c>
      <c r="AE25" s="21">
        <v>0</v>
      </c>
      <c r="AF25" s="191">
        <f t="shared" si="2"/>
        <v>0</v>
      </c>
      <c r="AG25" s="21"/>
      <c r="AH25" s="6"/>
      <c r="AI25" s="6"/>
      <c r="AJ25" s="6"/>
      <c r="AK25" s="46">
        <f t="shared" si="9"/>
        <v>5761391.8148859078</v>
      </c>
      <c r="AL25" s="46">
        <f>+SUMIFS('Input Data'!$BE:$BE,'Input Data'!$G:$G,$C25)</f>
        <v>706052.9184909201</v>
      </c>
      <c r="AM25" s="46">
        <f t="shared" si="10"/>
        <v>6732214.5778109226</v>
      </c>
      <c r="AN25" s="4"/>
    </row>
    <row r="26" spans="1:40" x14ac:dyDescent="0.35">
      <c r="A26" s="4"/>
      <c r="B26" s="33" t="str">
        <v>W5A/E70B</v>
      </c>
      <c r="C26">
        <v>9004</v>
      </c>
      <c r="D26" s="48">
        <f>+SUMIFS('Input Data'!$AK:$AK,'Input Data'!$G:$G,$C26)</f>
        <v>8104725.6319345096</v>
      </c>
      <c r="E26" s="21">
        <f>+SUMIFS('Input Data'!$AH:$AH,'Input Data'!$G:$G,$C26)</f>
        <v>253272.67599795345</v>
      </c>
      <c r="F26" s="21">
        <f>+SUMIFS('Input Data'!$AY:$AY,'Input Data'!$G:$G,$C26)</f>
        <v>1620945.1263869021</v>
      </c>
      <c r="G26" s="21">
        <f>+SUMIFS('Input Data'!AO:AO,'Input Data'!$G:$G,$C26)</f>
        <v>0</v>
      </c>
      <c r="H26" s="21">
        <v>0</v>
      </c>
      <c r="I26" s="191">
        <f>+SUMIFS('Input Data'!$BF:$BF,'Input Data'!$G:$G,$C26)</f>
        <v>6483780.5055476073</v>
      </c>
      <c r="J26" s="21">
        <f t="shared" si="3"/>
        <v>7412446.9842067705</v>
      </c>
      <c r="K26" s="48">
        <f>+SUMIFS('Input Data'!$AK:$AK,'Input Data'!$G:$G,$C26,'Input Data'!$V:$V,"FUL")</f>
        <v>0</v>
      </c>
      <c r="L26" s="21">
        <f>+SUMIFS('Input Data'!$AY:$AY,'Input Data'!$G:$G,$C26,'Input Data'!$V:$V,"FUL")</f>
        <v>0</v>
      </c>
      <c r="M26" s="21">
        <f>+SUMIFS('Input Data'!$AO:$AO,'Input Data'!$G:$G,$C26,'Input Data'!$V:$V,"FUL")</f>
        <v>0</v>
      </c>
      <c r="N26" s="21">
        <f>+SUMIFS('Input Data'!$BH:$BH,'Input Data'!$G:$G,$C26,'Input Data'!$V:$V,"FUL")</f>
        <v>0</v>
      </c>
      <c r="O26" s="21">
        <f t="shared" si="4"/>
        <v>0</v>
      </c>
      <c r="P26" s="21">
        <f t="shared" si="0"/>
        <v>0</v>
      </c>
      <c r="Q26" s="191">
        <f t="shared" si="5"/>
        <v>0</v>
      </c>
      <c r="R26" s="48">
        <f>+SUMIFS('Input Data'!$AK:$AK,'Input Data'!$G:$G,$C26,'Input Data'!$V:$V,"FIID")</f>
        <v>8104725.6319345096</v>
      </c>
      <c r="S26" s="21">
        <f>+SUMIFS('Input Data'!$AY:$AY,'Input Data'!$G:$G,$C26,'Input Data'!$V:$V,"FIID")</f>
        <v>1620945.1263869021</v>
      </c>
      <c r="T26" s="21">
        <f>+SUMIFS('Input Data'!$AO:$AO,'Input Data'!$G:$G,$C26,'Input Data'!$V:$V,"FIID")</f>
        <v>0</v>
      </c>
      <c r="U26" s="21">
        <f>+SUMIFS('Input Data'!$BH:$BH,'Input Data'!$G:$G,$C26,'Input Data'!$V:$V,"FIID")</f>
        <v>5511213.4297154658</v>
      </c>
      <c r="V26" s="21">
        <f t="shared" si="6"/>
        <v>972567.07583214156</v>
      </c>
      <c r="W26" s="21">
        <f t="shared" si="7"/>
        <v>0</v>
      </c>
      <c r="X26" s="191">
        <f t="shared" si="8"/>
        <v>972567.07583214156</v>
      </c>
      <c r="Y26" s="48">
        <f>+SUMIFS('Input Data'!$AK:$AK,'Input Data'!$G:$G,$C26,'Input Data'!$V:$V,"FIBL")</f>
        <v>0</v>
      </c>
      <c r="Z26" s="21">
        <f>+SUMIFS('Input Data'!$AH:$AH,'Input Data'!$G:$G,$C26)</f>
        <v>253272.67599795345</v>
      </c>
      <c r="AA26" s="21">
        <f>+SUMIFS('Input Data'!$AY:$AY,'Input Data'!$G:$G,$C26,'Input Data'!$V:$V,"FIBL")</f>
        <v>0</v>
      </c>
      <c r="AB26" s="431">
        <f>+SUMIFS('Input Data'!$AO:$AO,'Input Data'!$G:$G,$C26,'Input Data'!$V:$V,"FIBL")</f>
        <v>0</v>
      </c>
      <c r="AC26" s="21">
        <v>0</v>
      </c>
      <c r="AD26" s="21">
        <f t="shared" si="1"/>
        <v>0</v>
      </c>
      <c r="AE26" s="21">
        <v>0</v>
      </c>
      <c r="AF26" s="191">
        <f t="shared" si="2"/>
        <v>0</v>
      </c>
      <c r="AG26" s="21"/>
      <c r="AH26" s="6"/>
      <c r="AI26" s="6"/>
      <c r="AJ26" s="6"/>
      <c r="AK26" s="46">
        <f t="shared" si="9"/>
        <v>5511213.4297154658</v>
      </c>
      <c r="AL26" s="46">
        <f>+SUMIFS('Input Data'!$BE:$BE,'Input Data'!$G:$G,$C26)</f>
        <v>675393.80266120925</v>
      </c>
      <c r="AM26" s="46">
        <f t="shared" si="10"/>
        <v>6439879.908374629</v>
      </c>
      <c r="AN26" s="4"/>
    </row>
    <row r="27" spans="1:40" x14ac:dyDescent="0.35">
      <c r="A27" s="4"/>
      <c r="B27" s="33" t="str">
        <v>W3D/E3D</v>
      </c>
      <c r="C27">
        <v>9054</v>
      </c>
      <c r="D27" s="48">
        <f>+SUMIFS('Input Data'!$AK:$AK,'Input Data'!$G:$G,$C27)</f>
        <v>4138792.8983068601</v>
      </c>
      <c r="E27" s="21">
        <f>+SUMIFS('Input Data'!$AH:$AH,'Input Data'!$G:$G,$C27)</f>
        <v>129337.27807208938</v>
      </c>
      <c r="F27" s="21">
        <f>+SUMIFS('Input Data'!$AY:$AY,'Input Data'!$G:$G,$C27)</f>
        <v>827758.57966137212</v>
      </c>
      <c r="G27" s="21">
        <f>+SUMIFS('Input Data'!AO:AO,'Input Data'!$G:$G,$C27)</f>
        <v>0</v>
      </c>
      <c r="H27" s="21">
        <v>0</v>
      </c>
      <c r="I27" s="191">
        <f>+SUMIFS('Input Data'!$BF:$BF,'Input Data'!$G:$G,$C27)</f>
        <v>3311034.318645488</v>
      </c>
      <c r="J27" s="21">
        <f t="shared" si="3"/>
        <v>3785271.0049098157</v>
      </c>
      <c r="K27" s="48">
        <f>+SUMIFS('Input Data'!$AK:$AK,'Input Data'!$G:$G,$C27,'Input Data'!$V:$V,"FUL")</f>
        <v>0</v>
      </c>
      <c r="L27" s="21">
        <f>+SUMIFS('Input Data'!$AY:$AY,'Input Data'!$G:$G,$C27,'Input Data'!$V:$V,"FUL")</f>
        <v>0</v>
      </c>
      <c r="M27" s="21">
        <f>+SUMIFS('Input Data'!$AO:$AO,'Input Data'!$G:$G,$C27,'Input Data'!$V:$V,"FUL")</f>
        <v>0</v>
      </c>
      <c r="N27" s="21">
        <f>+SUMIFS('Input Data'!$BH:$BH,'Input Data'!$G:$G,$C27,'Input Data'!$V:$V,"FUL")</f>
        <v>0</v>
      </c>
      <c r="O27" s="21">
        <f t="shared" si="4"/>
        <v>0</v>
      </c>
      <c r="P27" s="21">
        <f t="shared" si="0"/>
        <v>0</v>
      </c>
      <c r="Q27" s="191">
        <f t="shared" si="5"/>
        <v>0</v>
      </c>
      <c r="R27" s="48">
        <f>+SUMIFS('Input Data'!$AK:$AK,'Input Data'!$G:$G,$C27,'Input Data'!$V:$V,"FIID")</f>
        <v>4138792.8983068601</v>
      </c>
      <c r="S27" s="21">
        <f>+SUMIFS('Input Data'!$AY:$AY,'Input Data'!$G:$G,$C27,'Input Data'!$V:$V,"FIID")</f>
        <v>827758.57966137212</v>
      </c>
      <c r="T27" s="21">
        <f>+SUMIFS('Input Data'!$AO:$AO,'Input Data'!$G:$G,$C27,'Input Data'!$V:$V,"FIID")</f>
        <v>0</v>
      </c>
      <c r="U27" s="21">
        <f>+SUMIFS('Input Data'!$BH:$BH,'Input Data'!$G:$G,$C27,'Input Data'!$V:$V,"FIID")</f>
        <v>2814379.1708486648</v>
      </c>
      <c r="V27" s="21">
        <f t="shared" si="6"/>
        <v>496655.14779682318</v>
      </c>
      <c r="W27" s="21">
        <f t="shared" si="7"/>
        <v>0</v>
      </c>
      <c r="X27" s="191">
        <f t="shared" si="8"/>
        <v>496655.14779682318</v>
      </c>
      <c r="Y27" s="48">
        <f>+SUMIFS('Input Data'!$AK:$AK,'Input Data'!$G:$G,$C27,'Input Data'!$V:$V,"FIBL")</f>
        <v>0</v>
      </c>
      <c r="Z27" s="21">
        <f>+SUMIFS('Input Data'!$AH:$AH,'Input Data'!$G:$G,$C27)</f>
        <v>129337.27807208938</v>
      </c>
      <c r="AA27" s="21">
        <f>+SUMIFS('Input Data'!$AY:$AY,'Input Data'!$G:$G,$C27,'Input Data'!$V:$V,"FIBL")</f>
        <v>0</v>
      </c>
      <c r="AB27" s="431">
        <f>+SUMIFS('Input Data'!$AO:$AO,'Input Data'!$G:$G,$C27,'Input Data'!$V:$V,"FIBL")</f>
        <v>0</v>
      </c>
      <c r="AC27" s="21">
        <v>0</v>
      </c>
      <c r="AD27" s="21">
        <f t="shared" si="1"/>
        <v>0</v>
      </c>
      <c r="AE27" s="21">
        <v>0</v>
      </c>
      <c r="AF27" s="191">
        <f t="shared" si="2"/>
        <v>0</v>
      </c>
      <c r="AG27" s="21"/>
      <c r="AH27" s="6"/>
      <c r="AI27" s="6"/>
      <c r="AJ27" s="6"/>
      <c r="AK27" s="46">
        <f t="shared" si="9"/>
        <v>2814379.1708486648</v>
      </c>
      <c r="AL27" s="46">
        <f>+SUMIFS('Input Data'!$BE:$BE,'Input Data'!$G:$G,$C27)</f>
        <v>344899.40819223842</v>
      </c>
      <c r="AM27" s="46">
        <f t="shared" si="10"/>
        <v>3288615.8571129926</v>
      </c>
      <c r="AN27" s="4"/>
    </row>
    <row r="28" spans="1:40" x14ac:dyDescent="0.35">
      <c r="A28" s="4"/>
      <c r="B28" s="33" t="str">
        <v>E3B</v>
      </c>
      <c r="C28">
        <v>9203</v>
      </c>
      <c r="D28" s="48">
        <f>+SUMIFS('Input Data'!$AK:$AK,'Input Data'!$G:$G,$C28)</f>
        <v>8995750.7919540908</v>
      </c>
      <c r="E28" s="21">
        <f>+SUMIFS('Input Data'!$AH:$AH,'Input Data'!$G:$G,$C28)</f>
        <v>281117.21224856534</v>
      </c>
      <c r="F28" s="21">
        <f>+SUMIFS('Input Data'!$AY:$AY,'Input Data'!$G:$G,$C28)</f>
        <v>1799150.1583908182</v>
      </c>
      <c r="G28" s="21">
        <f>+SUMIFS('Input Data'!AO:AO,'Input Data'!$G:$G,$C28)</f>
        <v>0</v>
      </c>
      <c r="H28" s="21">
        <v>0</v>
      </c>
      <c r="I28" s="191">
        <f>+SUMIFS('Input Data'!$BF:$BF,'Input Data'!$G:$G,$C28)</f>
        <v>7196600.6335632727</v>
      </c>
      <c r="J28" s="21">
        <f t="shared" si="3"/>
        <v>8227363.745141346</v>
      </c>
      <c r="K28" s="48">
        <f>+SUMIFS('Input Data'!$AK:$AK,'Input Data'!$G:$G,$C28,'Input Data'!$V:$V,"FUL")</f>
        <v>0</v>
      </c>
      <c r="L28" s="21">
        <f>+SUMIFS('Input Data'!$AY:$AY,'Input Data'!$G:$G,$C28,'Input Data'!$V:$V,"FUL")</f>
        <v>0</v>
      </c>
      <c r="M28" s="21">
        <f>+SUMIFS('Input Data'!$AO:$AO,'Input Data'!$G:$G,$C28,'Input Data'!$V:$V,"FUL")</f>
        <v>0</v>
      </c>
      <c r="N28" s="21">
        <f>+SUMIFS('Input Data'!$BH:$BH,'Input Data'!$G:$G,$C28,'Input Data'!$V:$V,"FUL")</f>
        <v>0</v>
      </c>
      <c r="O28" s="21">
        <f t="shared" si="4"/>
        <v>0</v>
      </c>
      <c r="P28" s="21">
        <f t="shared" si="0"/>
        <v>0</v>
      </c>
      <c r="Q28" s="191">
        <f t="shared" si="5"/>
        <v>0</v>
      </c>
      <c r="R28" s="48">
        <f>+SUMIFS('Input Data'!$AK:$AK,'Input Data'!$G:$G,$C28,'Input Data'!$V:$V,"FIID")</f>
        <v>8995750.7919540908</v>
      </c>
      <c r="S28" s="21">
        <f>+SUMIFS('Input Data'!$AY:$AY,'Input Data'!$G:$G,$C28,'Input Data'!$V:$V,"FIID")</f>
        <v>1799150.1583908182</v>
      </c>
      <c r="T28" s="21">
        <f>+SUMIFS('Input Data'!$AO:$AO,'Input Data'!$G:$G,$C28,'Input Data'!$V:$V,"FIID")</f>
        <v>0</v>
      </c>
      <c r="U28" s="21">
        <f>+SUMIFS('Input Data'!$BH:$BH,'Input Data'!$G:$G,$C28,'Input Data'!$V:$V,"FIID")</f>
        <v>6117110.5385287814</v>
      </c>
      <c r="V28" s="21">
        <f t="shared" si="6"/>
        <v>1079490.0950344913</v>
      </c>
      <c r="W28" s="21">
        <f t="shared" si="7"/>
        <v>0</v>
      </c>
      <c r="X28" s="191">
        <f t="shared" si="8"/>
        <v>1079490.0950344913</v>
      </c>
      <c r="Y28" s="48">
        <f>+SUMIFS('Input Data'!$AK:$AK,'Input Data'!$G:$G,$C28,'Input Data'!$V:$V,"FIBL")</f>
        <v>0</v>
      </c>
      <c r="Z28" s="21">
        <f>+SUMIFS('Input Data'!$AH:$AH,'Input Data'!$G:$G,$C28)</f>
        <v>281117.21224856534</v>
      </c>
      <c r="AA28" s="21">
        <f>+SUMIFS('Input Data'!$AY:$AY,'Input Data'!$G:$G,$C28,'Input Data'!$V:$V,"FIBL")</f>
        <v>0</v>
      </c>
      <c r="AB28" s="431">
        <f>+SUMIFS('Input Data'!$AO:$AO,'Input Data'!$G:$G,$C28,'Input Data'!$V:$V,"FIBL")</f>
        <v>0</v>
      </c>
      <c r="AC28" s="21">
        <v>0</v>
      </c>
      <c r="AD28" s="21">
        <f t="shared" si="1"/>
        <v>0</v>
      </c>
      <c r="AE28" s="21">
        <v>0</v>
      </c>
      <c r="AF28" s="191">
        <f t="shared" si="2"/>
        <v>0</v>
      </c>
      <c r="AG28" s="21"/>
      <c r="AH28" s="6"/>
      <c r="AI28" s="6"/>
      <c r="AJ28" s="6"/>
      <c r="AK28" s="46">
        <f t="shared" si="9"/>
        <v>6117110.5385287814</v>
      </c>
      <c r="AL28" s="46">
        <f>+SUMIFS('Input Data'!$BE:$BE,'Input Data'!$G:$G,$C28)</f>
        <v>749645.89932950761</v>
      </c>
      <c r="AM28" s="46">
        <f t="shared" si="10"/>
        <v>7147873.6501068547</v>
      </c>
      <c r="AN28" s="4"/>
    </row>
    <row r="29" spans="1:40" x14ac:dyDescent="0.35">
      <c r="A29" s="4"/>
      <c r="B29" s="33" t="str">
        <v>E9B</v>
      </c>
      <c r="C29">
        <v>9242</v>
      </c>
      <c r="D29" s="48">
        <f>+SUMIFS('Input Data'!$AK:$AK,'Input Data'!$G:$G,$C29)</f>
        <v>6455847.12958916</v>
      </c>
      <c r="E29" s="21">
        <f>+SUMIFS('Input Data'!$AH:$AH,'Input Data'!$G:$G,$C29)</f>
        <v>201745.22279966125</v>
      </c>
      <c r="F29" s="21">
        <f>+SUMIFS('Input Data'!$AY:$AY,'Input Data'!$G:$G,$C29)</f>
        <v>1291169.4259178322</v>
      </c>
      <c r="G29" s="21">
        <f>+SUMIFS('Input Data'!AO:AO,'Input Data'!$G:$G,$C29)</f>
        <v>0</v>
      </c>
      <c r="H29" s="21">
        <v>0</v>
      </c>
      <c r="I29" s="191">
        <f>+SUMIFS('Input Data'!$BF:$BF,'Input Data'!$G:$G,$C29)</f>
        <v>5164677.7036713278</v>
      </c>
      <c r="J29" s="21">
        <f t="shared" si="3"/>
        <v>5904410.1872700863</v>
      </c>
      <c r="K29" s="48">
        <f>+SUMIFS('Input Data'!$AK:$AK,'Input Data'!$G:$G,$C29,'Input Data'!$V:$V,"FUL")</f>
        <v>0</v>
      </c>
      <c r="L29" s="21">
        <f>+SUMIFS('Input Data'!$AY:$AY,'Input Data'!$G:$G,$C29,'Input Data'!$V:$V,"FUL")</f>
        <v>0</v>
      </c>
      <c r="M29" s="21">
        <f>+SUMIFS('Input Data'!$AO:$AO,'Input Data'!$G:$G,$C29,'Input Data'!$V:$V,"FUL")</f>
        <v>0</v>
      </c>
      <c r="N29" s="21">
        <f>+SUMIFS('Input Data'!$BH:$BH,'Input Data'!$G:$G,$C29,'Input Data'!$V:$V,"FUL")</f>
        <v>0</v>
      </c>
      <c r="O29" s="21">
        <f t="shared" si="4"/>
        <v>0</v>
      </c>
      <c r="P29" s="21">
        <f t="shared" si="0"/>
        <v>0</v>
      </c>
      <c r="Q29" s="191">
        <f t="shared" si="5"/>
        <v>0</v>
      </c>
      <c r="R29" s="48">
        <f>+SUMIFS('Input Data'!$AK:$AK,'Input Data'!$G:$G,$C29,'Input Data'!$V:$V,"FIID")</f>
        <v>6455847.12958916</v>
      </c>
      <c r="S29" s="21">
        <f>+SUMIFS('Input Data'!$AY:$AY,'Input Data'!$G:$G,$C29,'Input Data'!$V:$V,"FIID")</f>
        <v>1291169.4259178322</v>
      </c>
      <c r="T29" s="21">
        <f>+SUMIFS('Input Data'!$AO:$AO,'Input Data'!$G:$G,$C29,'Input Data'!$V:$V,"FIID")</f>
        <v>0</v>
      </c>
      <c r="U29" s="21">
        <f>+SUMIFS('Input Data'!$BH:$BH,'Input Data'!$G:$G,$C29,'Input Data'!$V:$V,"FIID")</f>
        <v>4389976.0481206281</v>
      </c>
      <c r="V29" s="21">
        <f t="shared" si="6"/>
        <v>774701.65555069968</v>
      </c>
      <c r="W29" s="21">
        <f t="shared" si="7"/>
        <v>0</v>
      </c>
      <c r="X29" s="191">
        <f t="shared" si="8"/>
        <v>774701.65555069968</v>
      </c>
      <c r="Y29" s="48">
        <f>+SUMIFS('Input Data'!$AK:$AK,'Input Data'!$G:$G,$C29,'Input Data'!$V:$V,"FIBL")</f>
        <v>0</v>
      </c>
      <c r="Z29" s="21">
        <f>+SUMIFS('Input Data'!$AH:$AH,'Input Data'!$G:$G,$C29)</f>
        <v>201745.22279966125</v>
      </c>
      <c r="AA29" s="21">
        <f>+SUMIFS('Input Data'!$AY:$AY,'Input Data'!$G:$G,$C29,'Input Data'!$V:$V,"FIBL")</f>
        <v>0</v>
      </c>
      <c r="AB29" s="431">
        <f>+SUMIFS('Input Data'!$AO:$AO,'Input Data'!$G:$G,$C29,'Input Data'!$V:$V,"FIBL")</f>
        <v>0</v>
      </c>
      <c r="AC29" s="21">
        <v>0</v>
      </c>
      <c r="AD29" s="21">
        <f t="shared" si="1"/>
        <v>0</v>
      </c>
      <c r="AE29" s="21">
        <v>0</v>
      </c>
      <c r="AF29" s="191">
        <f t="shared" si="2"/>
        <v>0</v>
      </c>
      <c r="AG29" s="21"/>
      <c r="AH29" s="6"/>
      <c r="AI29" s="6"/>
      <c r="AJ29" s="6"/>
      <c r="AK29" s="46">
        <f t="shared" si="9"/>
        <v>4389976.0481206281</v>
      </c>
      <c r="AL29" s="46">
        <f>+SUMIFS('Input Data'!$BE:$BE,'Input Data'!$G:$G,$C29)</f>
        <v>537987.26079909678</v>
      </c>
      <c r="AM29" s="46">
        <f t="shared" si="10"/>
        <v>5129708.5317193866</v>
      </c>
      <c r="AN29" s="4"/>
    </row>
    <row r="30" spans="1:40" x14ac:dyDescent="0.35">
      <c r="A30" s="4"/>
      <c r="B30" s="33" t="str">
        <v>E117WB (S9)</v>
      </c>
      <c r="C30">
        <v>9344</v>
      </c>
      <c r="D30" s="48">
        <f>+SUMIFS('Input Data'!$AK:$AK,'Input Data'!$G:$G,$C30)</f>
        <v>4388314.4383435603</v>
      </c>
      <c r="E30" s="21">
        <f>+SUMIFS('Input Data'!$AH:$AH,'Input Data'!$G:$G,$C30)</f>
        <v>137134.82619823626</v>
      </c>
      <c r="F30" s="21">
        <f>+SUMIFS('Input Data'!$AY:$AY,'Input Data'!$G:$G,$C30)</f>
        <v>877662.88766871206</v>
      </c>
      <c r="G30" s="21">
        <f>+SUMIFS('Input Data'!AO:AO,'Input Data'!$G:$G,$C30)</f>
        <v>0</v>
      </c>
      <c r="H30" s="21">
        <v>0</v>
      </c>
      <c r="I30" s="191">
        <f>+SUMIFS('Input Data'!$BF:$BF,'Input Data'!$G:$G,$C30)</f>
        <v>3510651.5506748483</v>
      </c>
      <c r="J30" s="21">
        <f t="shared" si="3"/>
        <v>4013479.2467350475</v>
      </c>
      <c r="K30" s="48">
        <f>+SUMIFS('Input Data'!$AK:$AK,'Input Data'!$G:$G,$C30,'Input Data'!$V:$V,"FUL")</f>
        <v>0</v>
      </c>
      <c r="L30" s="21">
        <f>+SUMIFS('Input Data'!$AY:$AY,'Input Data'!$G:$G,$C30,'Input Data'!$V:$V,"FUL")</f>
        <v>0</v>
      </c>
      <c r="M30" s="21">
        <f>+SUMIFS('Input Data'!$AO:$AO,'Input Data'!$G:$G,$C30,'Input Data'!$V:$V,"FUL")</f>
        <v>0</v>
      </c>
      <c r="N30" s="21">
        <f>+SUMIFS('Input Data'!$BH:$BH,'Input Data'!$G:$G,$C30,'Input Data'!$V:$V,"FUL")</f>
        <v>0</v>
      </c>
      <c r="O30" s="21">
        <f t="shared" si="4"/>
        <v>0</v>
      </c>
      <c r="P30" s="21">
        <f t="shared" si="0"/>
        <v>0</v>
      </c>
      <c r="Q30" s="191">
        <f t="shared" si="5"/>
        <v>0</v>
      </c>
      <c r="R30" s="48">
        <f>+SUMIFS('Input Data'!$AK:$AK,'Input Data'!$G:$G,$C30,'Input Data'!$V:$V,"FIID")</f>
        <v>4388314.4383435603</v>
      </c>
      <c r="S30" s="21">
        <f>+SUMIFS('Input Data'!$AY:$AY,'Input Data'!$G:$G,$C30,'Input Data'!$V:$V,"FIID")</f>
        <v>877662.88766871206</v>
      </c>
      <c r="T30" s="21">
        <f>+SUMIFS('Input Data'!$AO:$AO,'Input Data'!$G:$G,$C30,'Input Data'!$V:$V,"FIID")</f>
        <v>0</v>
      </c>
      <c r="U30" s="21">
        <f>+SUMIFS('Input Data'!$BH:$BH,'Input Data'!$G:$G,$C30,'Input Data'!$V:$V,"FIID")</f>
        <v>2984053.818073621</v>
      </c>
      <c r="V30" s="21">
        <f t="shared" si="6"/>
        <v>526597.73260122724</v>
      </c>
      <c r="W30" s="21">
        <f t="shared" si="7"/>
        <v>0</v>
      </c>
      <c r="X30" s="191">
        <f t="shared" si="8"/>
        <v>526597.73260122724</v>
      </c>
      <c r="Y30" s="48">
        <f>+SUMIFS('Input Data'!$AK:$AK,'Input Data'!$G:$G,$C30,'Input Data'!$V:$V,"FIBL")</f>
        <v>0</v>
      </c>
      <c r="Z30" s="21">
        <f>+SUMIFS('Input Data'!$AH:$AH,'Input Data'!$G:$G,$C30)</f>
        <v>137134.82619823626</v>
      </c>
      <c r="AA30" s="21">
        <f>+SUMIFS('Input Data'!$AY:$AY,'Input Data'!$G:$G,$C30,'Input Data'!$V:$V,"FIBL")</f>
        <v>0</v>
      </c>
      <c r="AB30" s="431">
        <f>+SUMIFS('Input Data'!$AO:$AO,'Input Data'!$G:$G,$C30,'Input Data'!$V:$V,"FIBL")</f>
        <v>0</v>
      </c>
      <c r="AC30" s="21">
        <v>0</v>
      </c>
      <c r="AD30" s="21">
        <f t="shared" si="1"/>
        <v>0</v>
      </c>
      <c r="AE30" s="21">
        <v>0</v>
      </c>
      <c r="AF30" s="191">
        <f t="shared" si="2"/>
        <v>0</v>
      </c>
      <c r="AG30" s="21"/>
      <c r="AH30" s="6"/>
      <c r="AI30" s="6"/>
      <c r="AJ30" s="6"/>
      <c r="AK30" s="46">
        <f t="shared" si="9"/>
        <v>2984053.818073621</v>
      </c>
      <c r="AL30" s="46">
        <f>+SUMIFS('Input Data'!$BE:$BE,'Input Data'!$G:$G,$C30)</f>
        <v>365692.86986196338</v>
      </c>
      <c r="AM30" s="46">
        <f t="shared" si="10"/>
        <v>3486881.5141338203</v>
      </c>
      <c r="AN30" s="4"/>
    </row>
    <row r="31" spans="1:40" x14ac:dyDescent="0.35">
      <c r="A31" s="4"/>
      <c r="B31" s="33" t="str">
        <v>E8WB</v>
      </c>
      <c r="C31">
        <v>9501</v>
      </c>
      <c r="D31" s="48">
        <f>+SUMIFS('Input Data'!$AK:$AK,'Input Data'!$G:$G,$C31)</f>
        <v>18484934.5591661</v>
      </c>
      <c r="E31" s="21">
        <f>+SUMIFS('Input Data'!$AH:$AH,'Input Data'!$G:$G,$C31)</f>
        <v>577654.20497394062</v>
      </c>
      <c r="F31" s="21">
        <f>+SUMIFS('Input Data'!$AY:$AY,'Input Data'!$G:$G,$C31)</f>
        <v>3696986.9118332202</v>
      </c>
      <c r="G31" s="21">
        <f>+SUMIFS('Input Data'!AO:AO,'Input Data'!$G:$G,$C31)</f>
        <v>0</v>
      </c>
      <c r="H31" s="21">
        <v>0</v>
      </c>
      <c r="I31" s="191">
        <f>+SUMIFS('Input Data'!$BF:$BF,'Input Data'!$G:$G,$C31)</f>
        <v>14787947.647332881</v>
      </c>
      <c r="J31" s="21">
        <f t="shared" si="3"/>
        <v>16906013.065570664</v>
      </c>
      <c r="K31" s="48">
        <f>+SUMIFS('Input Data'!$AK:$AK,'Input Data'!$G:$G,$C31,'Input Data'!$V:$V,"FUL")</f>
        <v>0</v>
      </c>
      <c r="L31" s="21">
        <f>+SUMIFS('Input Data'!$AY:$AY,'Input Data'!$G:$G,$C31,'Input Data'!$V:$V,"FUL")</f>
        <v>0</v>
      </c>
      <c r="M31" s="21">
        <f>+SUMIFS('Input Data'!$AO:$AO,'Input Data'!$G:$G,$C31,'Input Data'!$V:$V,"FUL")</f>
        <v>0</v>
      </c>
      <c r="N31" s="21">
        <f>+SUMIFS('Input Data'!$BH:$BH,'Input Data'!$G:$G,$C31,'Input Data'!$V:$V,"FUL")</f>
        <v>0</v>
      </c>
      <c r="O31" s="21">
        <f t="shared" si="4"/>
        <v>0</v>
      </c>
      <c r="P31" s="21">
        <f t="shared" si="0"/>
        <v>0</v>
      </c>
      <c r="Q31" s="191">
        <f t="shared" si="5"/>
        <v>0</v>
      </c>
      <c r="R31" s="48">
        <f>+SUMIFS('Input Data'!$AK:$AK,'Input Data'!$G:$G,$C31,'Input Data'!$V:$V,"FIID")</f>
        <v>18484934.5591661</v>
      </c>
      <c r="S31" s="21">
        <f>+SUMIFS('Input Data'!$AY:$AY,'Input Data'!$G:$G,$C31,'Input Data'!$V:$V,"FIID")</f>
        <v>3696986.9118332202</v>
      </c>
      <c r="T31" s="21">
        <f>+SUMIFS('Input Data'!$AO:$AO,'Input Data'!$G:$G,$C31,'Input Data'!$V:$V,"FIID")</f>
        <v>0</v>
      </c>
      <c r="U31" s="21">
        <f>+SUMIFS('Input Data'!$BH:$BH,'Input Data'!$G:$G,$C31,'Input Data'!$V:$V,"FIID")</f>
        <v>12569755.500232948</v>
      </c>
      <c r="V31" s="21">
        <f t="shared" si="6"/>
        <v>2218192.1470999327</v>
      </c>
      <c r="W31" s="21">
        <f t="shared" si="7"/>
        <v>0</v>
      </c>
      <c r="X31" s="191">
        <f t="shared" si="8"/>
        <v>2218192.1470999327</v>
      </c>
      <c r="Y31" s="48">
        <f>+SUMIFS('Input Data'!$AK:$AK,'Input Data'!$G:$G,$C31,'Input Data'!$V:$V,"FIBL")</f>
        <v>0</v>
      </c>
      <c r="Z31" s="21">
        <f>+SUMIFS('Input Data'!$AH:$AH,'Input Data'!$G:$G,$C31)</f>
        <v>577654.20497394062</v>
      </c>
      <c r="AA31" s="21">
        <f>+SUMIFS('Input Data'!$AY:$AY,'Input Data'!$G:$G,$C31,'Input Data'!$V:$V,"FIBL")</f>
        <v>0</v>
      </c>
      <c r="AB31" s="431">
        <f>+SUMIFS('Input Data'!$AO:$AO,'Input Data'!$G:$G,$C31,'Input Data'!$V:$V,"FIBL")</f>
        <v>0</v>
      </c>
      <c r="AC31" s="21">
        <v>0</v>
      </c>
      <c r="AD31" s="21">
        <f t="shared" si="1"/>
        <v>0</v>
      </c>
      <c r="AE31" s="21">
        <v>0</v>
      </c>
      <c r="AF31" s="191">
        <f t="shared" si="2"/>
        <v>0</v>
      </c>
      <c r="AG31" s="21"/>
      <c r="AH31" s="6"/>
      <c r="AI31" s="6"/>
      <c r="AJ31" s="6"/>
      <c r="AK31" s="46">
        <f t="shared" si="9"/>
        <v>12569755.500232948</v>
      </c>
      <c r="AL31" s="46">
        <f>+SUMIFS('Input Data'!$BE:$BE,'Input Data'!$G:$G,$C31)</f>
        <v>1540411.2132638418</v>
      </c>
      <c r="AM31" s="46">
        <f t="shared" si="10"/>
        <v>14687820.918470729</v>
      </c>
      <c r="AN31" s="4"/>
    </row>
    <row r="32" spans="1:40" x14ac:dyDescent="0.35">
      <c r="A32" s="4"/>
      <c r="B32" s="33" t="str">
        <v>E36C</v>
      </c>
      <c r="C32">
        <v>9534</v>
      </c>
      <c r="D32" s="48">
        <f>+SUMIFS('Input Data'!$AK:$AK,'Input Data'!$G:$G,$C32)</f>
        <v>11617716.6076576</v>
      </c>
      <c r="E32" s="21">
        <f>+SUMIFS('Input Data'!$AH:$AH,'Input Data'!$G:$G,$C32)</f>
        <v>363053.64398930001</v>
      </c>
      <c r="F32" s="21">
        <f>+SUMIFS('Input Data'!$AY:$AY,'Input Data'!$G:$G,$C32)</f>
        <v>2323543.3215315202</v>
      </c>
      <c r="G32" s="21">
        <f>+SUMIFS('Input Data'!AO:AO,'Input Data'!$G:$G,$C32)</f>
        <v>0</v>
      </c>
      <c r="H32" s="21">
        <v>0</v>
      </c>
      <c r="I32" s="191">
        <f>+SUMIFS('Input Data'!$BF:$BF,'Input Data'!$G:$G,$C32)</f>
        <v>9294173.2861260809</v>
      </c>
      <c r="J32" s="21">
        <f t="shared" si="3"/>
        <v>10625369.980753515</v>
      </c>
      <c r="K32" s="48">
        <f>+SUMIFS('Input Data'!$AK:$AK,'Input Data'!$G:$G,$C32,'Input Data'!$V:$V,"FUL")</f>
        <v>0</v>
      </c>
      <c r="L32" s="21">
        <f>+SUMIFS('Input Data'!$AY:$AY,'Input Data'!$G:$G,$C32,'Input Data'!$V:$V,"FUL")</f>
        <v>0</v>
      </c>
      <c r="M32" s="21">
        <f>+SUMIFS('Input Data'!$AO:$AO,'Input Data'!$G:$G,$C32,'Input Data'!$V:$V,"FUL")</f>
        <v>0</v>
      </c>
      <c r="N32" s="21">
        <f>+SUMIFS('Input Data'!$BH:$BH,'Input Data'!$G:$G,$C32,'Input Data'!$V:$V,"FUL")</f>
        <v>0</v>
      </c>
      <c r="O32" s="21">
        <f t="shared" si="4"/>
        <v>0</v>
      </c>
      <c r="P32" s="21">
        <f t="shared" si="0"/>
        <v>0</v>
      </c>
      <c r="Q32" s="191">
        <f t="shared" si="5"/>
        <v>0</v>
      </c>
      <c r="R32" s="48">
        <f>+SUMIFS('Input Data'!$AK:$AK,'Input Data'!$G:$G,$C32,'Input Data'!$V:$V,"FIID")</f>
        <v>11617716.6076576</v>
      </c>
      <c r="S32" s="21">
        <f>+SUMIFS('Input Data'!$AY:$AY,'Input Data'!$G:$G,$C32,'Input Data'!$V:$V,"FIID")</f>
        <v>2323543.3215315202</v>
      </c>
      <c r="T32" s="21">
        <f>+SUMIFS('Input Data'!$AO:$AO,'Input Data'!$G:$G,$C32,'Input Data'!$V:$V,"FIID")</f>
        <v>0</v>
      </c>
      <c r="U32" s="21">
        <f>+SUMIFS('Input Data'!$BH:$BH,'Input Data'!$G:$G,$C32,'Input Data'!$V:$V,"FIID")</f>
        <v>7900047.2932071686</v>
      </c>
      <c r="V32" s="21">
        <f t="shared" si="6"/>
        <v>1394125.9929189123</v>
      </c>
      <c r="W32" s="21">
        <f t="shared" si="7"/>
        <v>0</v>
      </c>
      <c r="X32" s="191">
        <f t="shared" si="8"/>
        <v>1394125.9929189123</v>
      </c>
      <c r="Y32" s="48">
        <f>+SUMIFS('Input Data'!$AK:$AK,'Input Data'!$G:$G,$C32,'Input Data'!$V:$V,"FIBL")</f>
        <v>0</v>
      </c>
      <c r="Z32" s="21">
        <f>+SUMIFS('Input Data'!$AH:$AH,'Input Data'!$G:$G,$C32)</f>
        <v>363053.64398930001</v>
      </c>
      <c r="AA32" s="21">
        <f>+SUMIFS('Input Data'!$AY:$AY,'Input Data'!$G:$G,$C32,'Input Data'!$V:$V,"FIBL")</f>
        <v>0</v>
      </c>
      <c r="AB32" s="431">
        <f>+SUMIFS('Input Data'!$AO:$AO,'Input Data'!$G:$G,$C32,'Input Data'!$V:$V,"FIBL")</f>
        <v>0</v>
      </c>
      <c r="AC32" s="21">
        <v>0</v>
      </c>
      <c r="AD32" s="21">
        <f t="shared" si="1"/>
        <v>0</v>
      </c>
      <c r="AE32" s="21">
        <v>0</v>
      </c>
      <c r="AF32" s="191">
        <f t="shared" si="2"/>
        <v>0</v>
      </c>
      <c r="AG32" s="21"/>
      <c r="AH32" s="6"/>
      <c r="AI32" s="6"/>
      <c r="AJ32" s="6"/>
      <c r="AK32" s="46">
        <f t="shared" si="9"/>
        <v>7900047.2932071686</v>
      </c>
      <c r="AL32" s="46">
        <f>+SUMIFS('Input Data'!$BE:$BE,'Input Data'!$G:$G,$C32)</f>
        <v>968143.05063813343</v>
      </c>
      <c r="AM32" s="46">
        <f t="shared" si="10"/>
        <v>9231243.9878346026</v>
      </c>
      <c r="AN32" s="4"/>
    </row>
    <row r="33" spans="1:40" x14ac:dyDescent="0.35">
      <c r="A33" s="4"/>
      <c r="B33" s="33" t="str">
        <v>E65WA</v>
      </c>
      <c r="C33">
        <v>9710</v>
      </c>
      <c r="D33" s="48">
        <f>+SUMIFS('Input Data'!$AK:$AK,'Input Data'!$G:$G,$C33)</f>
        <v>5533750.3557227198</v>
      </c>
      <c r="E33" s="21">
        <f>+SUMIFS('Input Data'!$AH:$AH,'Input Data'!$G:$G,$C33)</f>
        <v>172929.69861633499</v>
      </c>
      <c r="F33" s="21">
        <f>+SUMIFS('Input Data'!$AY:$AY,'Input Data'!$G:$G,$C33)</f>
        <v>1106750.0711445441</v>
      </c>
      <c r="G33" s="21">
        <f>+SUMIFS('Input Data'!AO:AO,'Input Data'!$G:$G,$C33)</f>
        <v>0</v>
      </c>
      <c r="H33" s="21">
        <v>0</v>
      </c>
      <c r="I33" s="191">
        <f>+SUMIFS('Input Data'!$BF:$BF,'Input Data'!$G:$G,$C33)</f>
        <v>4427000.2845781762</v>
      </c>
      <c r="J33" s="21">
        <f t="shared" si="3"/>
        <v>5061075.8461714052</v>
      </c>
      <c r="K33" s="48">
        <f>+SUMIFS('Input Data'!$AK:$AK,'Input Data'!$G:$G,$C33,'Input Data'!$V:$V,"FUL")</f>
        <v>0</v>
      </c>
      <c r="L33" s="21">
        <f>+SUMIFS('Input Data'!$AY:$AY,'Input Data'!$G:$G,$C33,'Input Data'!$V:$V,"FUL")</f>
        <v>0</v>
      </c>
      <c r="M33" s="21">
        <f>+SUMIFS('Input Data'!$AO:$AO,'Input Data'!$G:$G,$C33,'Input Data'!$V:$V,"FUL")</f>
        <v>0</v>
      </c>
      <c r="N33" s="21">
        <f>+SUMIFS('Input Data'!$BH:$BH,'Input Data'!$G:$G,$C33,'Input Data'!$V:$V,"FUL")</f>
        <v>0</v>
      </c>
      <c r="O33" s="21">
        <f t="shared" si="4"/>
        <v>0</v>
      </c>
      <c r="P33" s="21">
        <f t="shared" si="0"/>
        <v>0</v>
      </c>
      <c r="Q33" s="191">
        <f t="shared" si="5"/>
        <v>0</v>
      </c>
      <c r="R33" s="48">
        <f>+SUMIFS('Input Data'!$AK:$AK,'Input Data'!$G:$G,$C33,'Input Data'!$V:$V,"FIID")</f>
        <v>5533750.3557227198</v>
      </c>
      <c r="S33" s="21">
        <f>+SUMIFS('Input Data'!$AY:$AY,'Input Data'!$G:$G,$C33,'Input Data'!$V:$V,"FIID")</f>
        <v>1106750.0711445441</v>
      </c>
      <c r="T33" s="21">
        <f>+SUMIFS('Input Data'!$AO:$AO,'Input Data'!$G:$G,$C33,'Input Data'!$V:$V,"FIID")</f>
        <v>0</v>
      </c>
      <c r="U33" s="21">
        <f>+SUMIFS('Input Data'!$BH:$BH,'Input Data'!$G:$G,$C33,'Input Data'!$V:$V,"FIID")</f>
        <v>3762950.2418914498</v>
      </c>
      <c r="V33" s="21">
        <f t="shared" si="6"/>
        <v>664050.04268672643</v>
      </c>
      <c r="W33" s="21">
        <f t="shared" si="7"/>
        <v>0</v>
      </c>
      <c r="X33" s="191">
        <f t="shared" si="8"/>
        <v>664050.04268672643</v>
      </c>
      <c r="Y33" s="48">
        <f>+SUMIFS('Input Data'!$AK:$AK,'Input Data'!$G:$G,$C33,'Input Data'!$V:$V,"FIBL")</f>
        <v>0</v>
      </c>
      <c r="Z33" s="21">
        <f>+SUMIFS('Input Data'!$AH:$AH,'Input Data'!$G:$G,$C33)</f>
        <v>172929.69861633499</v>
      </c>
      <c r="AA33" s="21">
        <f>+SUMIFS('Input Data'!$AY:$AY,'Input Data'!$G:$G,$C33,'Input Data'!$V:$V,"FIBL")</f>
        <v>0</v>
      </c>
      <c r="AB33" s="431">
        <f>+SUMIFS('Input Data'!$AO:$AO,'Input Data'!$G:$G,$C33,'Input Data'!$V:$V,"FIBL")</f>
        <v>0</v>
      </c>
      <c r="AC33" s="21">
        <v>0</v>
      </c>
      <c r="AD33" s="21">
        <f t="shared" si="1"/>
        <v>0</v>
      </c>
      <c r="AE33" s="21">
        <v>0</v>
      </c>
      <c r="AF33" s="191">
        <f t="shared" si="2"/>
        <v>0</v>
      </c>
      <c r="AG33" s="21"/>
      <c r="AH33" s="6"/>
      <c r="AI33" s="6"/>
      <c r="AJ33" s="6"/>
      <c r="AK33" s="46">
        <f t="shared" si="9"/>
        <v>3762950.2418914498</v>
      </c>
      <c r="AL33" s="46">
        <f>+SUMIFS('Input Data'!$BE:$BE,'Input Data'!$G:$G,$C33)</f>
        <v>461145.86297689338</v>
      </c>
      <c r="AM33" s="46">
        <f t="shared" si="10"/>
        <v>4397025.8034846783</v>
      </c>
      <c r="AN33" s="4"/>
    </row>
    <row r="34" spans="1:40" x14ac:dyDescent="0.35">
      <c r="B34" t="str">
        <v>E172B</v>
      </c>
      <c r="C34">
        <v>10173</v>
      </c>
      <c r="D34" s="48">
        <f>+SUMIFS('Input Data'!$AK:$AK,'Input Data'!$G:$G,$C34)</f>
        <v>10746231.046425199</v>
      </c>
      <c r="E34" s="21">
        <f>+SUMIFS('Input Data'!$AH:$AH,'Input Data'!$G:$G,$C34)</f>
        <v>335819.72020078747</v>
      </c>
      <c r="F34" s="21">
        <f>+SUMIFS('Input Data'!$AY:$AY,'Input Data'!$G:$G,$C34)</f>
        <v>2149246.2092850399</v>
      </c>
      <c r="G34" s="21">
        <f>+SUMIFS('Input Data'!AO:AO,'Input Data'!$G:$G,$C34)</f>
        <v>0</v>
      </c>
      <c r="H34" s="21">
        <v>0</v>
      </c>
      <c r="I34" s="191">
        <f>+SUMIFS('Input Data'!$BF:$BF,'Input Data'!$G:$G,$C34)</f>
        <v>8596984.8371401597</v>
      </c>
      <c r="J34" s="21">
        <f t="shared" si="3"/>
        <v>9828323.811209714</v>
      </c>
      <c r="K34" s="48">
        <f>+SUMIFS('Input Data'!$AK:$AK,'Input Data'!$G:$G,$C34,'Input Data'!$V:$V,"FUL")</f>
        <v>0</v>
      </c>
      <c r="L34" s="21">
        <f>+SUMIFS('Input Data'!$AY:$AY,'Input Data'!$G:$G,$C34,'Input Data'!$V:$V,"FUL")</f>
        <v>0</v>
      </c>
      <c r="M34" s="21">
        <f>+SUMIFS('Input Data'!$AO:$AO,'Input Data'!$G:$G,$C34,'Input Data'!$V:$V,"FUL")</f>
        <v>0</v>
      </c>
      <c r="N34" s="21">
        <f>+SUMIFS('Input Data'!$BH:$BH,'Input Data'!$G:$G,$C34,'Input Data'!$V:$V,"FUL")</f>
        <v>0</v>
      </c>
      <c r="O34" s="21">
        <f t="shared" si="4"/>
        <v>0</v>
      </c>
      <c r="P34" s="21">
        <f t="shared" si="0"/>
        <v>0</v>
      </c>
      <c r="Q34" s="191">
        <f t="shared" si="5"/>
        <v>0</v>
      </c>
      <c r="R34" s="48">
        <f>+SUMIFS('Input Data'!$AK:$AK,'Input Data'!$G:$G,$C34,'Input Data'!$V:$V,"FIID")</f>
        <v>10746231.046425199</v>
      </c>
      <c r="S34" s="21">
        <f>+SUMIFS('Input Data'!$AY:$AY,'Input Data'!$G:$G,$C34,'Input Data'!$V:$V,"FIID")</f>
        <v>2149246.2092850399</v>
      </c>
      <c r="T34" s="21">
        <f>+SUMIFS('Input Data'!$AO:$AO,'Input Data'!$G:$G,$C34,'Input Data'!$V:$V,"FIID")</f>
        <v>0</v>
      </c>
      <c r="U34" s="21">
        <f>+SUMIFS('Input Data'!$BH:$BH,'Input Data'!$G:$G,$C34,'Input Data'!$V:$V,"FIID")</f>
        <v>7307437.1115691354</v>
      </c>
      <c r="V34" s="21">
        <f t="shared" si="6"/>
        <v>1289547.7255710242</v>
      </c>
      <c r="W34" s="21">
        <f t="shared" si="7"/>
        <v>0</v>
      </c>
      <c r="X34" s="191">
        <f t="shared" si="8"/>
        <v>1289547.7255710242</v>
      </c>
      <c r="Y34" s="48">
        <f>+SUMIFS('Input Data'!$AK:$AK,'Input Data'!$G:$G,$C34,'Input Data'!$V:$V,"FIBL")</f>
        <v>0</v>
      </c>
      <c r="Z34" s="21">
        <f>+SUMIFS('Input Data'!$AH:$AH,'Input Data'!$G:$G,$C34)</f>
        <v>335819.72020078747</v>
      </c>
      <c r="AA34" s="21">
        <f>+SUMIFS('Input Data'!$AY:$AY,'Input Data'!$G:$G,$C34,'Input Data'!$V:$V,"FIBL")</f>
        <v>0</v>
      </c>
      <c r="AB34" s="431">
        <f>+SUMIFS('Input Data'!$AO:$AO,'Input Data'!$G:$G,$C34,'Input Data'!$V:$V,"FIBL")</f>
        <v>0</v>
      </c>
      <c r="AC34" s="21">
        <v>0</v>
      </c>
      <c r="AD34" s="21">
        <f t="shared" si="1"/>
        <v>0</v>
      </c>
      <c r="AE34" s="21">
        <v>0</v>
      </c>
      <c r="AF34" s="191">
        <f t="shared" si="2"/>
        <v>0</v>
      </c>
      <c r="AG34" s="21"/>
      <c r="AH34" s="6"/>
      <c r="AI34" s="6"/>
      <c r="AJ34" s="6"/>
      <c r="AK34" s="46">
        <f t="shared" si="9"/>
        <v>7307437.1115691354</v>
      </c>
      <c r="AL34" s="46">
        <f>+SUMIFS('Input Data'!$BE:$BE,'Input Data'!$G:$G,$C34)</f>
        <v>895519.25386876671</v>
      </c>
      <c r="AM34" s="46">
        <f t="shared" si="10"/>
        <v>8538776.0856386907</v>
      </c>
      <c r="AN34" s="4"/>
    </row>
    <row r="35" spans="1:40" x14ac:dyDescent="0.35">
      <c r="B35" t="str">
        <v>Quantum</v>
      </c>
      <c r="C35">
        <v>10281</v>
      </c>
      <c r="D35" s="48">
        <f>+SUMIFS('Input Data'!$AK:$AK,'Input Data'!$G:$G,$C35)</f>
        <v>11189100.5630337</v>
      </c>
      <c r="E35" s="21">
        <f>+SUMIFS('Input Data'!$AH:$AH,'Input Data'!$G:$G,$C35)</f>
        <v>349659.39259480312</v>
      </c>
      <c r="F35" s="21">
        <f>+SUMIFS('Input Data'!$AY:$AY,'Input Data'!$G:$G,$C35)</f>
        <v>2237820.1126067401</v>
      </c>
      <c r="G35" s="21">
        <f>+SUMIFS('Input Data'!AO:AO,'Input Data'!$G:$G,$C35)</f>
        <v>0</v>
      </c>
      <c r="H35" s="21">
        <v>0</v>
      </c>
      <c r="I35" s="191">
        <f>+SUMIFS('Input Data'!$BF:$BF,'Input Data'!$G:$G,$C35)</f>
        <v>8951280.4504269604</v>
      </c>
      <c r="J35" s="21">
        <f t="shared" si="3"/>
        <v>10233364.889941238</v>
      </c>
      <c r="K35" s="48">
        <f>+SUMIFS('Input Data'!$AK:$AK,'Input Data'!$G:$G,$C35,'Input Data'!$V:$V,"FUL")</f>
        <v>0</v>
      </c>
      <c r="L35" s="21">
        <f>+SUMIFS('Input Data'!$AY:$AY,'Input Data'!$G:$G,$C35,'Input Data'!$V:$V,"FUL")</f>
        <v>0</v>
      </c>
      <c r="M35" s="21">
        <f>+SUMIFS('Input Data'!$AO:$AO,'Input Data'!$G:$G,$C35,'Input Data'!$V:$V,"FUL")</f>
        <v>0</v>
      </c>
      <c r="N35" s="21">
        <f>+SUMIFS('Input Data'!$BH:$BH,'Input Data'!$G:$G,$C35,'Input Data'!$V:$V,"FUL")</f>
        <v>0</v>
      </c>
      <c r="O35" s="21">
        <f t="shared" si="4"/>
        <v>0</v>
      </c>
      <c r="P35" s="21">
        <f t="shared" si="0"/>
        <v>0</v>
      </c>
      <c r="Q35" s="191">
        <f t="shared" si="5"/>
        <v>0</v>
      </c>
      <c r="R35" s="48">
        <f>+SUMIFS('Input Data'!$AK:$AK,'Input Data'!$G:$G,$C35,'Input Data'!$V:$V,"FIID")</f>
        <v>11189100.5630337</v>
      </c>
      <c r="S35" s="21">
        <f>+SUMIFS('Input Data'!$AY:$AY,'Input Data'!$G:$G,$C35,'Input Data'!$V:$V,"FIID")</f>
        <v>2237820.1126067401</v>
      </c>
      <c r="T35" s="21">
        <f>+SUMIFS('Input Data'!$AO:$AO,'Input Data'!$G:$G,$C35,'Input Data'!$V:$V,"FIID")</f>
        <v>0</v>
      </c>
      <c r="U35" s="21">
        <f>+SUMIFS('Input Data'!$BH:$BH,'Input Data'!$G:$G,$C35,'Input Data'!$V:$V,"FIID")</f>
        <v>7608588.3828629162</v>
      </c>
      <c r="V35" s="21">
        <f t="shared" si="6"/>
        <v>1342692.0675640441</v>
      </c>
      <c r="W35" s="21">
        <f t="shared" si="7"/>
        <v>0</v>
      </c>
      <c r="X35" s="191">
        <f t="shared" si="8"/>
        <v>1342692.0675640441</v>
      </c>
      <c r="Y35" s="48">
        <f>+SUMIFS('Input Data'!$AK:$AK,'Input Data'!$G:$G,$C35,'Input Data'!$V:$V,"FIBL")</f>
        <v>0</v>
      </c>
      <c r="Z35" s="21">
        <f>+SUMIFS('Input Data'!$AH:$AH,'Input Data'!$G:$G,$C35)</f>
        <v>349659.39259480312</v>
      </c>
      <c r="AA35" s="21">
        <f>+SUMIFS('Input Data'!$AY:$AY,'Input Data'!$G:$G,$C35,'Input Data'!$V:$V,"FIBL")</f>
        <v>0</v>
      </c>
      <c r="AB35" s="431">
        <f>+SUMIFS('Input Data'!$AO:$AO,'Input Data'!$G:$G,$C35,'Input Data'!$V:$V,"FIBL")</f>
        <v>0</v>
      </c>
      <c r="AC35" s="21">
        <v>0</v>
      </c>
      <c r="AD35" s="21">
        <f t="shared" si="1"/>
        <v>0</v>
      </c>
      <c r="AE35" s="21">
        <v>0</v>
      </c>
      <c r="AF35" s="191">
        <f t="shared" si="2"/>
        <v>0</v>
      </c>
      <c r="AG35" s="21"/>
      <c r="AH35" s="6"/>
      <c r="AI35" s="6"/>
      <c r="AJ35" s="6"/>
      <c r="AK35" s="46">
        <f t="shared" si="9"/>
        <v>7608588.3828629162</v>
      </c>
      <c r="AL35" s="46">
        <f>+SUMIFS('Input Data'!$BE:$BE,'Input Data'!$G:$G,$C35)</f>
        <v>932425.04691947508</v>
      </c>
      <c r="AM35" s="46">
        <f t="shared" si="10"/>
        <v>8890672.8223771937</v>
      </c>
      <c r="AN35" s="4"/>
    </row>
    <row r="36" spans="1:40" x14ac:dyDescent="0.35">
      <c r="B36" t="str">
        <v>CO3D 1</v>
      </c>
      <c r="C36">
        <v>13879</v>
      </c>
      <c r="D36" s="48">
        <f>+SUMIFS('Input Data'!$AK:$AK,'Input Data'!$G:$G,$C36)</f>
        <v>2196138.3852966102</v>
      </c>
      <c r="E36" s="21">
        <f>+SUMIFS('Input Data'!$AH:$AH,'Input Data'!$G:$G,$C36)</f>
        <v>68629.324540519068</v>
      </c>
      <c r="F36" s="21">
        <f>+SUMIFS('Input Data'!$AY:$AY,'Input Data'!$G:$G,$C36)</f>
        <v>439227.67705932207</v>
      </c>
      <c r="G36" s="21">
        <f>+SUMIFS('Input Data'!AO:AO,'Input Data'!$G:$G,$C36)</f>
        <v>0</v>
      </c>
      <c r="H36" s="21">
        <v>0</v>
      </c>
      <c r="I36" s="191">
        <f>+SUMIFS('Input Data'!$BF:$BF,'Input Data'!$G:$G,$C36)</f>
        <v>1756910.7082372881</v>
      </c>
      <c r="J36" s="21">
        <f t="shared" si="3"/>
        <v>2008551.564885858</v>
      </c>
      <c r="K36" s="48">
        <f>+SUMIFS('Input Data'!$AK:$AK,'Input Data'!$G:$G,$C36,'Input Data'!$V:$V,"FUL")</f>
        <v>0</v>
      </c>
      <c r="L36" s="21">
        <f>+SUMIFS('Input Data'!$AY:$AY,'Input Data'!$G:$G,$C36,'Input Data'!$V:$V,"FUL")</f>
        <v>0</v>
      </c>
      <c r="M36" s="21">
        <f>+SUMIFS('Input Data'!$AO:$AO,'Input Data'!$G:$G,$C36,'Input Data'!$V:$V,"FUL")</f>
        <v>0</v>
      </c>
      <c r="N36" s="21">
        <f>+SUMIFS('Input Data'!$BH:$BH,'Input Data'!$G:$G,$C36,'Input Data'!$V:$V,"FUL")</f>
        <v>0</v>
      </c>
      <c r="O36" s="21">
        <f t="shared" si="4"/>
        <v>0</v>
      </c>
      <c r="P36" s="21">
        <f t="shared" si="0"/>
        <v>0</v>
      </c>
      <c r="Q36" s="191">
        <f t="shared" si="5"/>
        <v>0</v>
      </c>
      <c r="R36" s="48">
        <f>+SUMIFS('Input Data'!$AK:$AK,'Input Data'!$G:$G,$C36,'Input Data'!$V:$V,"FIID")</f>
        <v>2196138.3852966102</v>
      </c>
      <c r="S36" s="21">
        <f>+SUMIFS('Input Data'!$AY:$AY,'Input Data'!$G:$G,$C36,'Input Data'!$V:$V,"FIID")</f>
        <v>439227.67705932207</v>
      </c>
      <c r="T36" s="21">
        <f>+SUMIFS('Input Data'!$AO:$AO,'Input Data'!$G:$G,$C36,'Input Data'!$V:$V,"FIID")</f>
        <v>0</v>
      </c>
      <c r="U36" s="21">
        <f>+SUMIFS('Input Data'!$BH:$BH,'Input Data'!$G:$G,$C36,'Input Data'!$V:$V,"FIID")</f>
        <v>1493374.1020016947</v>
      </c>
      <c r="V36" s="21">
        <f t="shared" si="6"/>
        <v>263536.60623559332</v>
      </c>
      <c r="W36" s="21">
        <f t="shared" si="7"/>
        <v>0</v>
      </c>
      <c r="X36" s="191">
        <f t="shared" si="8"/>
        <v>263536.60623559332</v>
      </c>
      <c r="Y36" s="48">
        <f>+SUMIFS('Input Data'!$AK:$AK,'Input Data'!$G:$G,$C36,'Input Data'!$V:$V,"FIBL")</f>
        <v>0</v>
      </c>
      <c r="Z36" s="21">
        <f>+SUMIFS('Input Data'!$AH:$AH,'Input Data'!$G:$G,$C36)</f>
        <v>68629.324540519068</v>
      </c>
      <c r="AA36" s="21">
        <f>+SUMIFS('Input Data'!$AY:$AY,'Input Data'!$G:$G,$C36,'Input Data'!$V:$V,"FIBL")</f>
        <v>0</v>
      </c>
      <c r="AB36" s="431">
        <f>+SUMIFS('Input Data'!$AO:$AO,'Input Data'!$G:$G,$C36,'Input Data'!$V:$V,"FIBL")</f>
        <v>0</v>
      </c>
      <c r="AC36" s="21">
        <v>0</v>
      </c>
      <c r="AD36" s="21">
        <f t="shared" si="1"/>
        <v>0</v>
      </c>
      <c r="AE36" s="21">
        <v>0</v>
      </c>
      <c r="AF36" s="191">
        <f t="shared" si="2"/>
        <v>0</v>
      </c>
      <c r="AG36" s="21"/>
      <c r="AH36" s="6"/>
      <c r="AI36" s="6"/>
      <c r="AJ36" s="6"/>
      <c r="AK36" s="46">
        <f t="shared" si="9"/>
        <v>1493374.1020016947</v>
      </c>
      <c r="AL36" s="46">
        <f>+SUMIFS('Input Data'!$BE:$BE,'Input Data'!$G:$G,$C36)</f>
        <v>183011.53210805086</v>
      </c>
      <c r="AM36" s="46">
        <f t="shared" si="10"/>
        <v>1745014.9586502647</v>
      </c>
      <c r="AN36" s="4"/>
    </row>
    <row r="37" spans="1:40" x14ac:dyDescent="0.35">
      <c r="B37" t="str">
        <v>CO3D 2</v>
      </c>
      <c r="C37">
        <v>13880</v>
      </c>
      <c r="D37" s="48">
        <f>+SUMIFS('Input Data'!$AK:$AK,'Input Data'!$G:$G,$C37)</f>
        <v>2196138.3852966102</v>
      </c>
      <c r="E37" s="21">
        <f>+SUMIFS('Input Data'!$AH:$AH,'Input Data'!$G:$G,$C37)</f>
        <v>68629.324540519068</v>
      </c>
      <c r="F37" s="21">
        <f>+SUMIFS('Input Data'!$AY:$AY,'Input Data'!$G:$G,$C37)</f>
        <v>439227.67705932207</v>
      </c>
      <c r="G37" s="21">
        <f>+SUMIFS('Input Data'!AO:AO,'Input Data'!$G:$G,$C37)</f>
        <v>0</v>
      </c>
      <c r="H37" s="21">
        <v>0</v>
      </c>
      <c r="I37" s="191">
        <f>+SUMIFS('Input Data'!$BF:$BF,'Input Data'!$G:$G,$C37)</f>
        <v>1756910.7082372881</v>
      </c>
      <c r="J37" s="21">
        <f t="shared" si="3"/>
        <v>2008551.564885858</v>
      </c>
      <c r="K37" s="48">
        <f>+SUMIFS('Input Data'!$AK:$AK,'Input Data'!$G:$G,$C37,'Input Data'!$V:$V,"FUL")</f>
        <v>0</v>
      </c>
      <c r="L37" s="21">
        <f>+SUMIFS('Input Data'!$AY:$AY,'Input Data'!$G:$G,$C37,'Input Data'!$V:$V,"FUL")</f>
        <v>0</v>
      </c>
      <c r="M37" s="21">
        <f>+SUMIFS('Input Data'!$AO:$AO,'Input Data'!$G:$G,$C37,'Input Data'!$V:$V,"FUL")</f>
        <v>0</v>
      </c>
      <c r="N37" s="21">
        <f>+SUMIFS('Input Data'!$BH:$BH,'Input Data'!$G:$G,$C37,'Input Data'!$V:$V,"FUL")</f>
        <v>0</v>
      </c>
      <c r="O37" s="21">
        <f t="shared" si="4"/>
        <v>0</v>
      </c>
      <c r="P37" s="21">
        <f t="shared" si="0"/>
        <v>0</v>
      </c>
      <c r="Q37" s="191">
        <f t="shared" si="5"/>
        <v>0</v>
      </c>
      <c r="R37" s="48">
        <f>+SUMIFS('Input Data'!$AK:$AK,'Input Data'!$G:$G,$C37,'Input Data'!$V:$V,"FIID")</f>
        <v>2196138.3852966102</v>
      </c>
      <c r="S37" s="21">
        <f>+SUMIFS('Input Data'!$AY:$AY,'Input Data'!$G:$G,$C37,'Input Data'!$V:$V,"FIID")</f>
        <v>439227.67705932207</v>
      </c>
      <c r="T37" s="21">
        <f>+SUMIFS('Input Data'!$AO:$AO,'Input Data'!$G:$G,$C37,'Input Data'!$V:$V,"FIID")</f>
        <v>0</v>
      </c>
      <c r="U37" s="21">
        <f>+SUMIFS('Input Data'!$BH:$BH,'Input Data'!$G:$G,$C37,'Input Data'!$V:$V,"FIID")</f>
        <v>1493374.1020016947</v>
      </c>
      <c r="V37" s="21">
        <f t="shared" si="6"/>
        <v>263536.60623559332</v>
      </c>
      <c r="W37" s="21">
        <f t="shared" si="7"/>
        <v>0</v>
      </c>
      <c r="X37" s="191">
        <f t="shared" si="8"/>
        <v>263536.60623559332</v>
      </c>
      <c r="Y37" s="48">
        <f>+SUMIFS('Input Data'!$AK:$AK,'Input Data'!$G:$G,$C37,'Input Data'!$V:$V,"FIBL")</f>
        <v>0</v>
      </c>
      <c r="Z37" s="21">
        <f>+SUMIFS('Input Data'!$AH:$AH,'Input Data'!$G:$G,$C37)</f>
        <v>68629.324540519068</v>
      </c>
      <c r="AA37" s="21">
        <f>+SUMIFS('Input Data'!$AY:$AY,'Input Data'!$G:$G,$C37,'Input Data'!$V:$V,"FIBL")</f>
        <v>0</v>
      </c>
      <c r="AB37" s="431">
        <f>+SUMIFS('Input Data'!$AO:$AO,'Input Data'!$G:$G,$C37,'Input Data'!$V:$V,"FIBL")</f>
        <v>0</v>
      </c>
      <c r="AC37" s="21">
        <v>0</v>
      </c>
      <c r="AD37" s="21">
        <f t="shared" si="1"/>
        <v>0</v>
      </c>
      <c r="AE37" s="21">
        <v>0</v>
      </c>
      <c r="AF37" s="191">
        <f t="shared" si="2"/>
        <v>0</v>
      </c>
      <c r="AG37" s="21"/>
      <c r="AH37" s="6"/>
      <c r="AI37" s="6"/>
      <c r="AJ37" s="6"/>
      <c r="AK37" s="46">
        <f t="shared" si="9"/>
        <v>1493374.1020016947</v>
      </c>
      <c r="AL37" s="46">
        <f>+SUMIFS('Input Data'!$BE:$BE,'Input Data'!$G:$G,$C37)</f>
        <v>183011.53210805086</v>
      </c>
      <c r="AM37" s="46">
        <f t="shared" si="10"/>
        <v>1745014.9586502647</v>
      </c>
      <c r="AN37" s="4"/>
    </row>
    <row r="38" spans="1:40" x14ac:dyDescent="0.35">
      <c r="B38" t="str">
        <v>CO3D 3</v>
      </c>
      <c r="C38">
        <v>13881</v>
      </c>
      <c r="D38" s="48">
        <f>+SUMIFS('Input Data'!$AK:$AK,'Input Data'!$G:$G,$C38)</f>
        <v>2196138.3852966102</v>
      </c>
      <c r="E38" s="21">
        <f>+SUMIFS('Input Data'!$AH:$AH,'Input Data'!$G:$G,$C38)</f>
        <v>68629.324540519068</v>
      </c>
      <c r="F38" s="21">
        <f>+SUMIFS('Input Data'!$AY:$AY,'Input Data'!$G:$G,$C38)</f>
        <v>439227.67705932207</v>
      </c>
      <c r="G38" s="21">
        <f>+SUMIFS('Input Data'!AO:AO,'Input Data'!$G:$G,$C38)</f>
        <v>0</v>
      </c>
      <c r="H38" s="21">
        <v>0</v>
      </c>
      <c r="I38" s="191">
        <f>+SUMIFS('Input Data'!$BF:$BF,'Input Data'!$G:$G,$C38)</f>
        <v>1756910.7082372881</v>
      </c>
      <c r="J38" s="21">
        <f t="shared" si="3"/>
        <v>2008551.564885858</v>
      </c>
      <c r="K38" s="48">
        <f>+SUMIFS('Input Data'!$AK:$AK,'Input Data'!$G:$G,$C38,'Input Data'!$V:$V,"FUL")</f>
        <v>0</v>
      </c>
      <c r="L38" s="21">
        <f>+SUMIFS('Input Data'!$AY:$AY,'Input Data'!$G:$G,$C38,'Input Data'!$V:$V,"FUL")</f>
        <v>0</v>
      </c>
      <c r="M38" s="21">
        <f>+SUMIFS('Input Data'!$AO:$AO,'Input Data'!$G:$G,$C38,'Input Data'!$V:$V,"FUL")</f>
        <v>0</v>
      </c>
      <c r="N38" s="21">
        <f>+SUMIFS('Input Data'!$BH:$BH,'Input Data'!$G:$G,$C38,'Input Data'!$V:$V,"FUL")</f>
        <v>0</v>
      </c>
      <c r="O38" s="21">
        <f t="shared" si="4"/>
        <v>0</v>
      </c>
      <c r="P38" s="21">
        <f t="shared" si="0"/>
        <v>0</v>
      </c>
      <c r="Q38" s="191">
        <f t="shared" si="5"/>
        <v>0</v>
      </c>
      <c r="R38" s="48">
        <f>+SUMIFS('Input Data'!$AK:$AK,'Input Data'!$G:$G,$C38,'Input Data'!$V:$V,"FIID")</f>
        <v>2196138.3852966102</v>
      </c>
      <c r="S38" s="21">
        <f>+SUMIFS('Input Data'!$AY:$AY,'Input Data'!$G:$G,$C38,'Input Data'!$V:$V,"FIID")</f>
        <v>439227.67705932207</v>
      </c>
      <c r="T38" s="21">
        <f>+SUMIFS('Input Data'!$AO:$AO,'Input Data'!$G:$G,$C38,'Input Data'!$V:$V,"FIID")</f>
        <v>0</v>
      </c>
      <c r="U38" s="21">
        <f>+SUMIFS('Input Data'!$BH:$BH,'Input Data'!$G:$G,$C38,'Input Data'!$V:$V,"FIID")</f>
        <v>1493374.1020016947</v>
      </c>
      <c r="V38" s="21">
        <f t="shared" si="6"/>
        <v>263536.60623559332</v>
      </c>
      <c r="W38" s="21">
        <f t="shared" si="7"/>
        <v>0</v>
      </c>
      <c r="X38" s="191">
        <f t="shared" si="8"/>
        <v>263536.60623559332</v>
      </c>
      <c r="Y38" s="48">
        <f>+SUMIFS('Input Data'!$AK:$AK,'Input Data'!$G:$G,$C38,'Input Data'!$V:$V,"FIBL")</f>
        <v>0</v>
      </c>
      <c r="Z38" s="21">
        <f>+SUMIFS('Input Data'!$AH:$AH,'Input Data'!$G:$G,$C38)</f>
        <v>68629.324540519068</v>
      </c>
      <c r="AA38" s="21">
        <f>+SUMIFS('Input Data'!$AY:$AY,'Input Data'!$G:$G,$C38,'Input Data'!$V:$V,"FIBL")</f>
        <v>0</v>
      </c>
      <c r="AB38" s="431">
        <f>+SUMIFS('Input Data'!$AO:$AO,'Input Data'!$G:$G,$C38,'Input Data'!$V:$V,"FIBL")</f>
        <v>0</v>
      </c>
      <c r="AC38" s="21">
        <v>0</v>
      </c>
      <c r="AD38" s="21">
        <f t="shared" si="1"/>
        <v>0</v>
      </c>
      <c r="AE38" s="21">
        <v>0</v>
      </c>
      <c r="AF38" s="191">
        <f t="shared" si="2"/>
        <v>0</v>
      </c>
      <c r="AG38" s="21"/>
      <c r="AH38" s="6"/>
      <c r="AI38" s="6"/>
      <c r="AJ38" s="6"/>
      <c r="AK38" s="46">
        <f t="shared" si="9"/>
        <v>1493374.1020016947</v>
      </c>
      <c r="AL38" s="46">
        <f>+SUMIFS('Input Data'!$BE:$BE,'Input Data'!$G:$G,$C38)</f>
        <v>183011.53210805086</v>
      </c>
      <c r="AM38" s="46">
        <f t="shared" si="10"/>
        <v>1745014.9586502647</v>
      </c>
      <c r="AN38" s="4"/>
    </row>
    <row r="39" spans="1:40" x14ac:dyDescent="0.35">
      <c r="B39" t="str">
        <v>CO3D 4</v>
      </c>
      <c r="C39">
        <v>13882</v>
      </c>
      <c r="D39" s="48">
        <f>+SUMIFS('Input Data'!$AK:$AK,'Input Data'!$G:$G,$C39)</f>
        <v>2196138.3852966102</v>
      </c>
      <c r="E39" s="21">
        <f>+SUMIFS('Input Data'!$AH:$AH,'Input Data'!$G:$G,$C39)</f>
        <v>68629.324540519068</v>
      </c>
      <c r="F39" s="21">
        <f>+SUMIFS('Input Data'!$AY:$AY,'Input Data'!$G:$G,$C39)</f>
        <v>439227.67705932207</v>
      </c>
      <c r="G39" s="21">
        <f>+SUMIFS('Input Data'!AO:AO,'Input Data'!$G:$G,$C39)</f>
        <v>0</v>
      </c>
      <c r="H39" s="21">
        <v>0</v>
      </c>
      <c r="I39" s="191">
        <f>+SUMIFS('Input Data'!$BF:$BF,'Input Data'!$G:$G,$C39)</f>
        <v>1756910.7082372881</v>
      </c>
      <c r="J39" s="21">
        <f t="shared" si="3"/>
        <v>2008551.564885858</v>
      </c>
      <c r="K39" s="48">
        <f>+SUMIFS('Input Data'!$AK:$AK,'Input Data'!$G:$G,$C39,'Input Data'!$V:$V,"FUL")</f>
        <v>0</v>
      </c>
      <c r="L39" s="21">
        <f>+SUMIFS('Input Data'!$AY:$AY,'Input Data'!$G:$G,$C39,'Input Data'!$V:$V,"FUL")</f>
        <v>0</v>
      </c>
      <c r="M39" s="21">
        <f>+SUMIFS('Input Data'!$AO:$AO,'Input Data'!$G:$G,$C39,'Input Data'!$V:$V,"FUL")</f>
        <v>0</v>
      </c>
      <c r="N39" s="21">
        <f>+SUMIFS('Input Data'!$BH:$BH,'Input Data'!$G:$G,$C39,'Input Data'!$V:$V,"FUL")</f>
        <v>0</v>
      </c>
      <c r="O39" s="21">
        <f t="shared" si="4"/>
        <v>0</v>
      </c>
      <c r="P39" s="21">
        <f t="shared" si="0"/>
        <v>0</v>
      </c>
      <c r="Q39" s="191">
        <f t="shared" si="5"/>
        <v>0</v>
      </c>
      <c r="R39" s="48">
        <f>+SUMIFS('Input Data'!$AK:$AK,'Input Data'!$G:$G,$C39,'Input Data'!$V:$V,"FIID")</f>
        <v>2196138.3852966102</v>
      </c>
      <c r="S39" s="21">
        <f>+SUMIFS('Input Data'!$AY:$AY,'Input Data'!$G:$G,$C39,'Input Data'!$V:$V,"FIID")</f>
        <v>439227.67705932207</v>
      </c>
      <c r="T39" s="21">
        <f>+SUMIFS('Input Data'!$AO:$AO,'Input Data'!$G:$G,$C39,'Input Data'!$V:$V,"FIID")</f>
        <v>0</v>
      </c>
      <c r="U39" s="21">
        <f>+SUMIFS('Input Data'!$BH:$BH,'Input Data'!$G:$G,$C39,'Input Data'!$V:$V,"FIID")</f>
        <v>1493374.1020016947</v>
      </c>
      <c r="V39" s="21">
        <f t="shared" si="6"/>
        <v>263536.60623559332</v>
      </c>
      <c r="W39" s="21">
        <f t="shared" si="7"/>
        <v>0</v>
      </c>
      <c r="X39" s="191">
        <f t="shared" si="8"/>
        <v>263536.60623559332</v>
      </c>
      <c r="Y39" s="48">
        <f>+SUMIFS('Input Data'!$AK:$AK,'Input Data'!$G:$G,$C39,'Input Data'!$V:$V,"FIBL")</f>
        <v>0</v>
      </c>
      <c r="Z39" s="21">
        <f>+SUMIFS('Input Data'!$AH:$AH,'Input Data'!$G:$G,$C39)</f>
        <v>68629.324540519068</v>
      </c>
      <c r="AA39" s="21">
        <f>+SUMIFS('Input Data'!$AY:$AY,'Input Data'!$G:$G,$C39,'Input Data'!$V:$V,"FIBL")</f>
        <v>0</v>
      </c>
      <c r="AB39" s="431">
        <f>+SUMIFS('Input Data'!$AO:$AO,'Input Data'!$G:$G,$C39,'Input Data'!$V:$V,"FIBL")</f>
        <v>0</v>
      </c>
      <c r="AC39" s="21">
        <v>0</v>
      </c>
      <c r="AD39" s="21">
        <f t="shared" si="1"/>
        <v>0</v>
      </c>
      <c r="AE39" s="21">
        <v>0</v>
      </c>
      <c r="AF39" s="191">
        <f t="shared" si="2"/>
        <v>0</v>
      </c>
      <c r="AG39" s="21"/>
      <c r="AK39" s="46">
        <f t="shared" si="9"/>
        <v>1493374.1020016947</v>
      </c>
      <c r="AL39" s="46">
        <f>+SUMIFS('Input Data'!$BE:$BE,'Input Data'!$G:$G,$C39)</f>
        <v>183011.53210805086</v>
      </c>
      <c r="AM39" s="46">
        <f t="shared" si="10"/>
        <v>1745014.9586502647</v>
      </c>
    </row>
    <row r="40" spans="1:40" x14ac:dyDescent="0.35">
      <c r="B40" t="str">
        <v>ASIASAT 5</v>
      </c>
      <c r="C40">
        <v>5883</v>
      </c>
      <c r="D40" s="48">
        <f>+SUMIFS('Input Data'!$AK:$AK,'Input Data'!$G:$G,$C40)</f>
        <v>6358762.8759999899</v>
      </c>
      <c r="E40" s="21">
        <f>+SUMIFS('Input Data'!$AH:$AH,'Input Data'!$G:$G,$C40)</f>
        <v>198711.33987499968</v>
      </c>
      <c r="F40" s="21">
        <f>+SUMIFS('Input Data'!$AY:$AY,'Input Data'!$G:$G,$C40)</f>
        <v>1271752.575199998</v>
      </c>
      <c r="G40" s="21">
        <f>+SUMIFS('Input Data'!AO:AO,'Input Data'!$G:$G,$C40)</f>
        <v>0</v>
      </c>
      <c r="H40" s="21">
        <v>0</v>
      </c>
      <c r="I40" s="191">
        <f>+SUMIFS('Input Data'!$BF:$BF,'Input Data'!$G:$G,$C40)</f>
        <v>5087010.3007999919</v>
      </c>
      <c r="J40" s="21">
        <f t="shared" si="3"/>
        <v>5815618.5470083244</v>
      </c>
      <c r="K40" s="48">
        <f>+SUMIFS('Input Data'!$AK:$AK,'Input Data'!$G:$G,$C40,'Input Data'!$V:$V,"FUL")</f>
        <v>6358762.8759999899</v>
      </c>
      <c r="L40" s="21">
        <f>+SUMIFS('Input Data'!$AY:$AY,'Input Data'!$G:$G,$C40,'Input Data'!$V:$V,"FUL")</f>
        <v>1271752.575199998</v>
      </c>
      <c r="M40" s="21">
        <f>+SUMIFS('Input Data'!$AO:$AO,'Input Data'!$G:$G,$C40,'Input Data'!$V:$V,"FUL")</f>
        <v>0</v>
      </c>
      <c r="N40" s="21">
        <f>+SUMIFS('Input Data'!$BH:$BH,'Input Data'!$G:$G,$C40,'Input Data'!$V:$V,"FUL")</f>
        <v>2543505.150399996</v>
      </c>
      <c r="O40" s="21">
        <f t="shared" ref="O40:O103" si="11">K40-L40-M40-N40</f>
        <v>2543505.150399996</v>
      </c>
      <c r="P40" s="21">
        <f t="shared" ref="P40:P103" si="12">IF(O40&gt;FUL_Deductible,MIN(O40-FUL_Deductible,FUL_Limit),0)</f>
        <v>0</v>
      </c>
      <c r="Q40" s="191">
        <f t="shared" ref="Q40:Q103" si="13">K40-L40-M40-N40-P40</f>
        <v>2543505.150399996</v>
      </c>
      <c r="R40" s="48">
        <f>+SUMIFS('Input Data'!$AK:$AK,'Input Data'!$G:$G,$C40,'Input Data'!$V:$V,"FIID")</f>
        <v>0</v>
      </c>
      <c r="S40" s="21">
        <f>+SUMIFS('Input Data'!$AY:$AY,'Input Data'!$G:$G,$C40,'Input Data'!$V:$V,"FIID")</f>
        <v>0</v>
      </c>
      <c r="T40" s="21">
        <f>+SUMIFS('Input Data'!$AO:$AO,'Input Data'!$G:$G,$C40,'Input Data'!$V:$V,"FIID")</f>
        <v>0</v>
      </c>
      <c r="U40" s="21">
        <f>+SUMIFS('Input Data'!$BH:$BH,'Input Data'!$G:$G,$C40,'Input Data'!$V:$V,"FIID")</f>
        <v>0</v>
      </c>
      <c r="V40" s="21">
        <f t="shared" ref="V40:V103" si="14">R40-S40-T40-U40</f>
        <v>0</v>
      </c>
      <c r="W40" s="21">
        <f t="shared" ref="W40:W103" si="15">IF(V40&gt;FIID_Deductible,MIN(V40-FIID_Deductible,FIID_Limit),0)</f>
        <v>0</v>
      </c>
      <c r="X40" s="191">
        <f t="shared" ref="X40:X103" si="16">R40-S40-T40-U40-W40</f>
        <v>0</v>
      </c>
      <c r="Y40" s="48">
        <f>+SUMIFS('Input Data'!$AK:$AK,'Input Data'!$G:$G,$C40,'Input Data'!$V:$V,"FIBL")</f>
        <v>0</v>
      </c>
      <c r="Z40" s="21">
        <f>+SUMIFS('Input Data'!$AH:$AH,'Input Data'!$G:$G,$C40)</f>
        <v>198711.33987499968</v>
      </c>
      <c r="AA40" s="21">
        <f>+SUMIFS('Input Data'!$AY:$AY,'Input Data'!$G:$G,$C40,'Input Data'!$V:$V,"FIBL")</f>
        <v>0</v>
      </c>
      <c r="AB40" s="431">
        <f>+SUMIFS('Input Data'!$AO:$AO,'Input Data'!$G:$G,$C40,'Input Data'!$V:$V,"FIBL")</f>
        <v>0</v>
      </c>
      <c r="AC40" s="21">
        <v>0</v>
      </c>
      <c r="AD40" s="21">
        <f t="shared" ref="AD40:AD103" si="17">Y40-AA40-AB40-AC40</f>
        <v>0</v>
      </c>
      <c r="AE40" s="21">
        <v>0</v>
      </c>
      <c r="AF40" s="191">
        <f t="shared" ref="AF40:AF103" si="18">Y40-AA40-AB40-AC40-AE40</f>
        <v>0</v>
      </c>
      <c r="AG40" s="21"/>
      <c r="AK40" s="46">
        <f t="shared" si="9"/>
        <v>2543505.150399996</v>
      </c>
      <c r="AL40" s="46">
        <f>+SUMIFS('Input Data'!$BE:$BE,'Input Data'!$G:$G,$C40)</f>
        <v>529896.90633333253</v>
      </c>
      <c r="AM40" s="46">
        <f t="shared" si="10"/>
        <v>3272113.396608328</v>
      </c>
    </row>
    <row r="41" spans="1:40" x14ac:dyDescent="0.35">
      <c r="B41" t="str">
        <v>ASIASAT 6/THAICOM 7</v>
      </c>
      <c r="C41">
        <v>9266</v>
      </c>
      <c r="D41" s="48">
        <f>+SUMIFS('Input Data'!$AK:$AK,'Input Data'!$G:$G,$C41)</f>
        <v>4082474.21999999</v>
      </c>
      <c r="E41" s="21">
        <f>+SUMIFS('Input Data'!$AH:$AH,'Input Data'!$G:$G,$C41)</f>
        <v>127577.3193749997</v>
      </c>
      <c r="F41" s="21">
        <f>+SUMIFS('Input Data'!$AY:$AY,'Input Data'!$G:$G,$C41)</f>
        <v>816494.84399999806</v>
      </c>
      <c r="G41" s="21">
        <f>+SUMIFS('Input Data'!AO:AO,'Input Data'!$G:$G,$C41)</f>
        <v>0</v>
      </c>
      <c r="H41" s="21">
        <v>0</v>
      </c>
      <c r="I41" s="191">
        <f>+SUMIFS('Input Data'!$BF:$BF,'Input Data'!$G:$G,$C41)</f>
        <v>3265979.3759999918</v>
      </c>
      <c r="J41" s="21">
        <f t="shared" si="3"/>
        <v>3733762.8803749904</v>
      </c>
      <c r="K41" s="48">
        <f>+SUMIFS('Input Data'!$AK:$AK,'Input Data'!$G:$G,$C41,'Input Data'!$V:$V,"FUL")</f>
        <v>4082474.21999999</v>
      </c>
      <c r="L41" s="21">
        <f>+SUMIFS('Input Data'!$AY:$AY,'Input Data'!$G:$G,$C41,'Input Data'!$V:$V,"FUL")</f>
        <v>816494.84399999806</v>
      </c>
      <c r="M41" s="21">
        <f>+SUMIFS('Input Data'!$AO:$AO,'Input Data'!$G:$G,$C41,'Input Data'!$V:$V,"FUL")</f>
        <v>0</v>
      </c>
      <c r="N41" s="21">
        <f>+SUMIFS('Input Data'!$BH:$BH,'Input Data'!$G:$G,$C41,'Input Data'!$V:$V,"FUL")</f>
        <v>1632989.6879999959</v>
      </c>
      <c r="O41" s="21">
        <f t="shared" si="11"/>
        <v>1632989.6879999959</v>
      </c>
      <c r="P41" s="21">
        <f t="shared" si="12"/>
        <v>0</v>
      </c>
      <c r="Q41" s="191">
        <f t="shared" si="13"/>
        <v>1632989.6879999959</v>
      </c>
      <c r="R41" s="48">
        <f>+SUMIFS('Input Data'!$AK:$AK,'Input Data'!$G:$G,$C41,'Input Data'!$V:$V,"FIID")</f>
        <v>0</v>
      </c>
      <c r="S41" s="21">
        <f>+SUMIFS('Input Data'!$AY:$AY,'Input Data'!$G:$G,$C41,'Input Data'!$V:$V,"FIID")</f>
        <v>0</v>
      </c>
      <c r="T41" s="21">
        <f>+SUMIFS('Input Data'!$AO:$AO,'Input Data'!$G:$G,$C41,'Input Data'!$V:$V,"FIID")</f>
        <v>0</v>
      </c>
      <c r="U41" s="21">
        <f>+SUMIFS('Input Data'!$BH:$BH,'Input Data'!$G:$G,$C41,'Input Data'!$V:$V,"FIID")</f>
        <v>0</v>
      </c>
      <c r="V41" s="21">
        <f t="shared" si="14"/>
        <v>0</v>
      </c>
      <c r="W41" s="21">
        <f t="shared" si="15"/>
        <v>0</v>
      </c>
      <c r="X41" s="191">
        <f t="shared" si="16"/>
        <v>0</v>
      </c>
      <c r="Y41" s="48">
        <f>+SUMIFS('Input Data'!$AK:$AK,'Input Data'!$G:$G,$C41,'Input Data'!$V:$V,"FIBL")</f>
        <v>0</v>
      </c>
      <c r="Z41" s="21">
        <f>+SUMIFS('Input Data'!$AH:$AH,'Input Data'!$G:$G,$C41)</f>
        <v>127577.3193749997</v>
      </c>
      <c r="AA41" s="21">
        <f>+SUMIFS('Input Data'!$AY:$AY,'Input Data'!$G:$G,$C41,'Input Data'!$V:$V,"FIBL")</f>
        <v>0</v>
      </c>
      <c r="AB41" s="431">
        <f>+SUMIFS('Input Data'!$AO:$AO,'Input Data'!$G:$G,$C41,'Input Data'!$V:$V,"FIBL")</f>
        <v>0</v>
      </c>
      <c r="AC41" s="21">
        <v>0</v>
      </c>
      <c r="AD41" s="21">
        <f t="shared" si="17"/>
        <v>0</v>
      </c>
      <c r="AE41" s="21">
        <v>0</v>
      </c>
      <c r="AF41" s="191">
        <f t="shared" si="18"/>
        <v>0</v>
      </c>
      <c r="AK41" s="46">
        <f t="shared" ref="AK41:AK104" si="19">N41+P41+U41+W41</f>
        <v>1632989.6879999959</v>
      </c>
      <c r="AL41" s="46">
        <f>+SUMIFS('Input Data'!$BE:$BE,'Input Data'!$G:$G,$C41)</f>
        <v>340206.18499999918</v>
      </c>
      <c r="AM41" s="46">
        <f t="shared" si="10"/>
        <v>2100773.1923749945</v>
      </c>
    </row>
    <row r="42" spans="1:40" x14ac:dyDescent="0.35">
      <c r="B42" t="str">
        <v>ASIASAT 7</v>
      </c>
      <c r="C42">
        <v>8834</v>
      </c>
      <c r="D42" s="48">
        <f>+SUMIFS('Input Data'!$AK:$AK,'Input Data'!$G:$G,$C42)</f>
        <v>6581443.2879999997</v>
      </c>
      <c r="E42" s="21">
        <f>+SUMIFS('Input Data'!$AH:$AH,'Input Data'!$G:$G,$C42)</f>
        <v>205670.10274999999</v>
      </c>
      <c r="F42" s="21">
        <f>+SUMIFS('Input Data'!$AY:$AY,'Input Data'!$G:$G,$C42)</f>
        <v>1316288.6576</v>
      </c>
      <c r="G42" s="21">
        <f>+SUMIFS('Input Data'!AO:AO,'Input Data'!$G:$G,$C42)</f>
        <v>0</v>
      </c>
      <c r="H42" s="21">
        <v>0</v>
      </c>
      <c r="I42" s="191">
        <f>+SUMIFS('Input Data'!$BF:$BF,'Input Data'!$G:$G,$C42)</f>
        <v>5265154.6304000001</v>
      </c>
      <c r="J42" s="21">
        <f t="shared" si="3"/>
        <v>6019278.340483333</v>
      </c>
      <c r="K42" s="48">
        <f>+SUMIFS('Input Data'!$AK:$AK,'Input Data'!$G:$G,$C42,'Input Data'!$V:$V,"FUL")</f>
        <v>6581443.2879999997</v>
      </c>
      <c r="L42" s="21">
        <f>+SUMIFS('Input Data'!$AY:$AY,'Input Data'!$G:$G,$C42,'Input Data'!$V:$V,"FUL")</f>
        <v>1316288.6576</v>
      </c>
      <c r="M42" s="21">
        <f>+SUMIFS('Input Data'!$AO:$AO,'Input Data'!$G:$G,$C42,'Input Data'!$V:$V,"FUL")</f>
        <v>0</v>
      </c>
      <c r="N42" s="21">
        <f>+SUMIFS('Input Data'!$BH:$BH,'Input Data'!$G:$G,$C42,'Input Data'!$V:$V,"FUL")</f>
        <v>2632577.3152000001</v>
      </c>
      <c r="O42" s="21">
        <f t="shared" si="11"/>
        <v>2632577.3152000001</v>
      </c>
      <c r="P42" s="21">
        <f t="shared" si="12"/>
        <v>0</v>
      </c>
      <c r="Q42" s="191">
        <f t="shared" si="13"/>
        <v>2632577.3152000001</v>
      </c>
      <c r="R42" s="48">
        <f>+SUMIFS('Input Data'!$AK:$AK,'Input Data'!$G:$G,$C42,'Input Data'!$V:$V,"FIID")</f>
        <v>0</v>
      </c>
      <c r="S42" s="21">
        <f>+SUMIFS('Input Data'!$AY:$AY,'Input Data'!$G:$G,$C42,'Input Data'!$V:$V,"FIID")</f>
        <v>0</v>
      </c>
      <c r="T42" s="21">
        <f>+SUMIFS('Input Data'!$AO:$AO,'Input Data'!$G:$G,$C42,'Input Data'!$V:$V,"FIID")</f>
        <v>0</v>
      </c>
      <c r="U42" s="21">
        <f>+SUMIFS('Input Data'!$BH:$BH,'Input Data'!$G:$G,$C42,'Input Data'!$V:$V,"FIID")</f>
        <v>0</v>
      </c>
      <c r="V42" s="21">
        <f t="shared" si="14"/>
        <v>0</v>
      </c>
      <c r="W42" s="21">
        <f t="shared" si="15"/>
        <v>0</v>
      </c>
      <c r="X42" s="191">
        <f t="shared" si="16"/>
        <v>0</v>
      </c>
      <c r="Y42" s="48">
        <f>+SUMIFS('Input Data'!$AK:$AK,'Input Data'!$G:$G,$C42,'Input Data'!$V:$V,"FIBL")</f>
        <v>0</v>
      </c>
      <c r="Z42" s="21">
        <f>+SUMIFS('Input Data'!$AH:$AH,'Input Data'!$G:$G,$C42)</f>
        <v>205670.10274999999</v>
      </c>
      <c r="AA42" s="21">
        <f>+SUMIFS('Input Data'!$AY:$AY,'Input Data'!$G:$G,$C42,'Input Data'!$V:$V,"FIBL")</f>
        <v>0</v>
      </c>
      <c r="AB42" s="431">
        <f>+SUMIFS('Input Data'!$AO:$AO,'Input Data'!$G:$G,$C42,'Input Data'!$V:$V,"FIBL")</f>
        <v>0</v>
      </c>
      <c r="AC42" s="21">
        <v>0</v>
      </c>
      <c r="AD42" s="21">
        <f t="shared" si="17"/>
        <v>0</v>
      </c>
      <c r="AE42" s="21">
        <v>0</v>
      </c>
      <c r="AF42" s="191">
        <f t="shared" si="18"/>
        <v>0</v>
      </c>
      <c r="AK42" s="46">
        <f t="shared" si="19"/>
        <v>2632577.3152000001</v>
      </c>
      <c r="AL42" s="46">
        <f>+SUMIFS('Input Data'!$BE:$BE,'Input Data'!$G:$G,$C42)</f>
        <v>548453.60733333335</v>
      </c>
      <c r="AM42" s="46">
        <f t="shared" si="10"/>
        <v>3386701.0252833334</v>
      </c>
    </row>
    <row r="43" spans="1:40" x14ac:dyDescent="0.35">
      <c r="B43" t="str">
        <v>AMOS 7 (ASIASAT 8)</v>
      </c>
      <c r="C43">
        <v>9267</v>
      </c>
      <c r="D43" s="48">
        <f>+SUMIFS('Input Data'!$AK:$AK,'Input Data'!$G:$G,$C43)</f>
        <v>4391752.5699999901</v>
      </c>
      <c r="E43" s="21">
        <f>+SUMIFS('Input Data'!$AH:$AH,'Input Data'!$G:$G,$C43)</f>
        <v>137242.26781249969</v>
      </c>
      <c r="F43" s="21">
        <f>+SUMIFS('Input Data'!$AY:$AY,'Input Data'!$G:$G,$C43)</f>
        <v>878350.5139999981</v>
      </c>
      <c r="G43" s="21">
        <f>+SUMIFS('Input Data'!AO:AO,'Input Data'!$G:$G,$C43)</f>
        <v>0</v>
      </c>
      <c r="H43" s="21">
        <v>0</v>
      </c>
      <c r="I43" s="191">
        <f>+SUMIFS('Input Data'!$BF:$BF,'Input Data'!$G:$G,$C43)</f>
        <v>3513402.0559999919</v>
      </c>
      <c r="J43" s="21">
        <f t="shared" si="3"/>
        <v>4016623.7046458242</v>
      </c>
      <c r="K43" s="48">
        <f>+SUMIFS('Input Data'!$AK:$AK,'Input Data'!$G:$G,$C43,'Input Data'!$V:$V,"FUL")</f>
        <v>4391752.5699999901</v>
      </c>
      <c r="L43" s="21">
        <f>+SUMIFS('Input Data'!$AY:$AY,'Input Data'!$G:$G,$C43,'Input Data'!$V:$V,"FUL")</f>
        <v>878350.5139999981</v>
      </c>
      <c r="M43" s="21">
        <f>+SUMIFS('Input Data'!$AO:$AO,'Input Data'!$G:$G,$C43,'Input Data'!$V:$V,"FUL")</f>
        <v>0</v>
      </c>
      <c r="N43" s="21">
        <f>+SUMIFS('Input Data'!$BH:$BH,'Input Data'!$G:$G,$C43,'Input Data'!$V:$V,"FUL")</f>
        <v>1756701.027999996</v>
      </c>
      <c r="O43" s="21">
        <f t="shared" si="11"/>
        <v>1756701.027999996</v>
      </c>
      <c r="P43" s="21">
        <f t="shared" si="12"/>
        <v>0</v>
      </c>
      <c r="Q43" s="191">
        <f t="shared" si="13"/>
        <v>1756701.027999996</v>
      </c>
      <c r="R43" s="48">
        <f>+SUMIFS('Input Data'!$AK:$AK,'Input Data'!$G:$G,$C43,'Input Data'!$V:$V,"FIID")</f>
        <v>0</v>
      </c>
      <c r="S43" s="21">
        <f>+SUMIFS('Input Data'!$AY:$AY,'Input Data'!$G:$G,$C43,'Input Data'!$V:$V,"FIID")</f>
        <v>0</v>
      </c>
      <c r="T43" s="21">
        <f>+SUMIFS('Input Data'!$AO:$AO,'Input Data'!$G:$G,$C43,'Input Data'!$V:$V,"FIID")</f>
        <v>0</v>
      </c>
      <c r="U43" s="21">
        <f>+SUMIFS('Input Data'!$BH:$BH,'Input Data'!$G:$G,$C43,'Input Data'!$V:$V,"FIID")</f>
        <v>0</v>
      </c>
      <c r="V43" s="21">
        <f t="shared" si="14"/>
        <v>0</v>
      </c>
      <c r="W43" s="21">
        <f t="shared" si="15"/>
        <v>0</v>
      </c>
      <c r="X43" s="191">
        <f t="shared" si="16"/>
        <v>0</v>
      </c>
      <c r="Y43" s="48">
        <f>+SUMIFS('Input Data'!$AK:$AK,'Input Data'!$G:$G,$C43,'Input Data'!$V:$V,"FIBL")</f>
        <v>0</v>
      </c>
      <c r="Z43" s="21">
        <f>+SUMIFS('Input Data'!$AH:$AH,'Input Data'!$G:$G,$C43)</f>
        <v>137242.26781249969</v>
      </c>
      <c r="AA43" s="21">
        <f>+SUMIFS('Input Data'!$AY:$AY,'Input Data'!$G:$G,$C43,'Input Data'!$V:$V,"FIBL")</f>
        <v>0</v>
      </c>
      <c r="AB43" s="431">
        <f>+SUMIFS('Input Data'!$AO:$AO,'Input Data'!$G:$G,$C43,'Input Data'!$V:$V,"FIBL")</f>
        <v>0</v>
      </c>
      <c r="AC43" s="21">
        <v>0</v>
      </c>
      <c r="AD43" s="21">
        <f t="shared" si="17"/>
        <v>0</v>
      </c>
      <c r="AE43" s="21">
        <v>0</v>
      </c>
      <c r="AF43" s="191">
        <f t="shared" si="18"/>
        <v>0</v>
      </c>
      <c r="AK43" s="46">
        <f t="shared" si="19"/>
        <v>1756701.027999996</v>
      </c>
      <c r="AL43" s="46">
        <f>+SUMIFS('Input Data'!$BE:$BE,'Input Data'!$G:$G,$C43)</f>
        <v>365979.38083333254</v>
      </c>
      <c r="AM43" s="46">
        <f t="shared" si="10"/>
        <v>2259922.6766458284</v>
      </c>
    </row>
    <row r="44" spans="1:40" x14ac:dyDescent="0.35">
      <c r="B44" t="str">
        <v>ASIASAT 9</v>
      </c>
      <c r="C44">
        <v>9607</v>
      </c>
      <c r="D44" s="48">
        <f>+SUMIFS('Input Data'!$AK:$AK,'Input Data'!$G:$G,$C44)</f>
        <v>9380721.6338499896</v>
      </c>
      <c r="E44" s="21">
        <f>+SUMIFS('Input Data'!$AH:$AH,'Input Data'!$G:$G,$C44)</f>
        <v>293147.55105781218</v>
      </c>
      <c r="F44" s="21">
        <f>+SUMIFS('Input Data'!$AY:$AY,'Input Data'!$G:$G,$C44)</f>
        <v>1876144.3267699981</v>
      </c>
      <c r="G44" s="21">
        <f>+SUMIFS('Input Data'!AO:AO,'Input Data'!$G:$G,$C44)</f>
        <v>0</v>
      </c>
      <c r="H44" s="21">
        <v>0</v>
      </c>
      <c r="I44" s="191">
        <f>+SUMIFS('Input Data'!$BF:$BF,'Input Data'!$G:$G,$C44)</f>
        <v>7504577.3070799913</v>
      </c>
      <c r="J44" s="21">
        <f t="shared" si="3"/>
        <v>8579451.6609586366</v>
      </c>
      <c r="K44" s="48">
        <f>+SUMIFS('Input Data'!$AK:$AK,'Input Data'!$G:$G,$C44,'Input Data'!$V:$V,"FUL")</f>
        <v>9380721.6338499896</v>
      </c>
      <c r="L44" s="21">
        <f>+SUMIFS('Input Data'!$AY:$AY,'Input Data'!$G:$G,$C44,'Input Data'!$V:$V,"FUL")</f>
        <v>1876144.3267699981</v>
      </c>
      <c r="M44" s="21">
        <f>+SUMIFS('Input Data'!$AO:$AO,'Input Data'!$G:$G,$C44,'Input Data'!$V:$V,"FUL")</f>
        <v>0</v>
      </c>
      <c r="N44" s="21">
        <f>+SUMIFS('Input Data'!$BH:$BH,'Input Data'!$G:$G,$C44,'Input Data'!$V:$V,"FUL")</f>
        <v>3752288.6535399957</v>
      </c>
      <c r="O44" s="21">
        <f t="shared" si="11"/>
        <v>3752288.6535399957</v>
      </c>
      <c r="P44" s="21">
        <f t="shared" si="12"/>
        <v>0</v>
      </c>
      <c r="Q44" s="191">
        <f t="shared" si="13"/>
        <v>3752288.6535399957</v>
      </c>
      <c r="R44" s="48">
        <f>+SUMIFS('Input Data'!$AK:$AK,'Input Data'!$G:$G,$C44,'Input Data'!$V:$V,"FIID")</f>
        <v>0</v>
      </c>
      <c r="S44" s="21">
        <f>+SUMIFS('Input Data'!$AY:$AY,'Input Data'!$G:$G,$C44,'Input Data'!$V:$V,"FIID")</f>
        <v>0</v>
      </c>
      <c r="T44" s="21">
        <f>+SUMIFS('Input Data'!$AO:$AO,'Input Data'!$G:$G,$C44,'Input Data'!$V:$V,"FIID")</f>
        <v>0</v>
      </c>
      <c r="U44" s="21">
        <f>+SUMIFS('Input Data'!$BH:$BH,'Input Data'!$G:$G,$C44,'Input Data'!$V:$V,"FIID")</f>
        <v>0</v>
      </c>
      <c r="V44" s="21">
        <f t="shared" si="14"/>
        <v>0</v>
      </c>
      <c r="W44" s="21">
        <f t="shared" si="15"/>
        <v>0</v>
      </c>
      <c r="X44" s="191">
        <f t="shared" si="16"/>
        <v>0</v>
      </c>
      <c r="Y44" s="48">
        <f>+SUMIFS('Input Data'!$AK:$AK,'Input Data'!$G:$G,$C44,'Input Data'!$V:$V,"FIBL")</f>
        <v>0</v>
      </c>
      <c r="Z44" s="21">
        <f>+SUMIFS('Input Data'!$AH:$AH,'Input Data'!$G:$G,$C44)</f>
        <v>293147.55105781218</v>
      </c>
      <c r="AA44" s="21">
        <f>+SUMIFS('Input Data'!$AY:$AY,'Input Data'!$G:$G,$C44,'Input Data'!$V:$V,"FIBL")</f>
        <v>0</v>
      </c>
      <c r="AB44" s="431">
        <f>+SUMIFS('Input Data'!$AO:$AO,'Input Data'!$G:$G,$C44,'Input Data'!$V:$V,"FIBL")</f>
        <v>0</v>
      </c>
      <c r="AC44" s="21">
        <v>0</v>
      </c>
      <c r="AD44" s="21">
        <f t="shared" si="17"/>
        <v>0</v>
      </c>
      <c r="AE44" s="21">
        <v>0</v>
      </c>
      <c r="AF44" s="191">
        <f t="shared" si="18"/>
        <v>0</v>
      </c>
      <c r="AK44" s="46">
        <f t="shared" si="19"/>
        <v>3752288.6535399957</v>
      </c>
      <c r="AL44" s="46">
        <f>+SUMIFS('Input Data'!$BE:$BE,'Input Data'!$G:$G,$C44)</f>
        <v>781726.80282083258</v>
      </c>
      <c r="AM44" s="46">
        <f t="shared" si="10"/>
        <v>4827163.00741864</v>
      </c>
    </row>
    <row r="45" spans="1:40" x14ac:dyDescent="0.35">
      <c r="B45" t="str">
        <v>E7C</v>
      </c>
      <c r="C45">
        <v>10733</v>
      </c>
      <c r="D45" s="48">
        <f>+SUMIFS('Input Data'!$AK:$AK,'Input Data'!$G:$G,$C45)</f>
        <v>3094813.59839442</v>
      </c>
      <c r="E45" s="21">
        <f>+SUMIFS('Input Data'!$AH:$AH,'Input Data'!$G:$G,$C45)</f>
        <v>96712.924949825625</v>
      </c>
      <c r="F45" s="21">
        <f>+SUMIFS('Input Data'!$AY:$AY,'Input Data'!$G:$G,$C45)</f>
        <v>618962.71967888402</v>
      </c>
      <c r="G45" s="21">
        <f>+SUMIFS('Input Data'!AO:AO,'Input Data'!$G:$G,$C45)</f>
        <v>0</v>
      </c>
      <c r="H45" s="21">
        <v>0</v>
      </c>
      <c r="I45" s="191">
        <f>+SUMIFS('Input Data'!$BF:$BF,'Input Data'!$G:$G,$C45)</f>
        <v>2475850.8787155361</v>
      </c>
      <c r="J45" s="21">
        <f t="shared" si="3"/>
        <v>2830464.9368648967</v>
      </c>
      <c r="K45" s="48">
        <f>+SUMIFS('Input Data'!$AK:$AK,'Input Data'!$G:$G,$C45,'Input Data'!$V:$V,"FUL")</f>
        <v>0</v>
      </c>
      <c r="L45" s="21">
        <f>+SUMIFS('Input Data'!$AY:$AY,'Input Data'!$G:$G,$C45,'Input Data'!$V:$V,"FUL")</f>
        <v>0</v>
      </c>
      <c r="M45" s="21">
        <f>+SUMIFS('Input Data'!$AO:$AO,'Input Data'!$G:$G,$C45,'Input Data'!$V:$V,"FUL")</f>
        <v>0</v>
      </c>
      <c r="N45" s="21">
        <f>+SUMIFS('Input Data'!$BH:$BH,'Input Data'!$G:$G,$C45,'Input Data'!$V:$V,"FUL")</f>
        <v>0</v>
      </c>
      <c r="O45" s="21">
        <f t="shared" si="11"/>
        <v>0</v>
      </c>
      <c r="P45" s="21">
        <f t="shared" si="12"/>
        <v>0</v>
      </c>
      <c r="Q45" s="191">
        <f t="shared" si="13"/>
        <v>0</v>
      </c>
      <c r="R45" s="48">
        <f>+SUMIFS('Input Data'!$AK:$AK,'Input Data'!$G:$G,$C45,'Input Data'!$V:$V,"FIID")</f>
        <v>3094813.59839442</v>
      </c>
      <c r="S45" s="21">
        <f>+SUMIFS('Input Data'!$AY:$AY,'Input Data'!$G:$G,$C45,'Input Data'!$V:$V,"FIID")</f>
        <v>618962.71967888402</v>
      </c>
      <c r="T45" s="21">
        <f>+SUMIFS('Input Data'!$AO:$AO,'Input Data'!$G:$G,$C45,'Input Data'!$V:$V,"FIID")</f>
        <v>0</v>
      </c>
      <c r="U45" s="21">
        <f>+SUMIFS('Input Data'!$BH:$BH,'Input Data'!$G:$G,$C45,'Input Data'!$V:$V,"FIID")</f>
        <v>2104473.2469082056</v>
      </c>
      <c r="V45" s="21">
        <f t="shared" si="14"/>
        <v>371377.63180733053</v>
      </c>
      <c r="W45" s="21">
        <f t="shared" si="15"/>
        <v>0</v>
      </c>
      <c r="X45" s="191">
        <f t="shared" si="16"/>
        <v>371377.63180733053</v>
      </c>
      <c r="Y45" s="48">
        <f>+SUMIFS('Input Data'!$AK:$AK,'Input Data'!$G:$G,$C45,'Input Data'!$V:$V,"FIBL")</f>
        <v>0</v>
      </c>
      <c r="Z45" s="21">
        <f>+SUMIFS('Input Data'!$AH:$AH,'Input Data'!$G:$G,$C45)</f>
        <v>96712.924949825625</v>
      </c>
      <c r="AA45" s="21">
        <f>+SUMIFS('Input Data'!$AY:$AY,'Input Data'!$G:$G,$C45,'Input Data'!$V:$V,"FIBL")</f>
        <v>0</v>
      </c>
      <c r="AB45" s="431">
        <f>+SUMIFS('Input Data'!$AO:$AO,'Input Data'!$G:$G,$C45,'Input Data'!$V:$V,"FIBL")</f>
        <v>0</v>
      </c>
      <c r="AC45" s="21">
        <v>0</v>
      </c>
      <c r="AD45" s="21">
        <f t="shared" si="17"/>
        <v>0</v>
      </c>
      <c r="AE45" s="21">
        <v>0</v>
      </c>
      <c r="AF45" s="191">
        <f t="shared" si="18"/>
        <v>0</v>
      </c>
      <c r="AK45" s="46">
        <f t="shared" si="19"/>
        <v>2104473.2469082056</v>
      </c>
      <c r="AL45" s="46">
        <f>+SUMIFS('Input Data'!$BE:$BE,'Input Data'!$G:$G,$C45)</f>
        <v>257901.13319953502</v>
      </c>
      <c r="AM45" s="46">
        <f t="shared" si="10"/>
        <v>2459087.3050575661</v>
      </c>
    </row>
    <row r="46" spans="1:40" x14ac:dyDescent="0.35">
      <c r="B46" t="str">
        <v>Konnect</v>
      </c>
      <c r="C46">
        <v>13924</v>
      </c>
      <c r="D46" s="48">
        <f>+SUMIFS('Input Data'!$AK:$AK,'Input Data'!$G:$G,$C46)</f>
        <v>8602524.4033901896</v>
      </c>
      <c r="E46" s="21">
        <f>+SUMIFS('Input Data'!$AH:$AH,'Input Data'!$G:$G,$C46)</f>
        <v>268828.88760594343</v>
      </c>
      <c r="F46" s="21">
        <f>+SUMIFS('Input Data'!$AY:$AY,'Input Data'!$G:$G,$C46)</f>
        <v>1720504.8806780381</v>
      </c>
      <c r="G46" s="21">
        <f>+SUMIFS('Input Data'!AO:AO,'Input Data'!$G:$G,$C46)</f>
        <v>0</v>
      </c>
      <c r="H46" s="21">
        <v>0</v>
      </c>
      <c r="I46" s="191">
        <f>+SUMIFS('Input Data'!$BF:$BF,'Input Data'!$G:$G,$C46)</f>
        <v>6882019.5227121515</v>
      </c>
      <c r="J46" s="21">
        <f t="shared" si="3"/>
        <v>7867725.4439339442</v>
      </c>
      <c r="K46" s="48">
        <f>+SUMIFS('Input Data'!$AK:$AK,'Input Data'!$G:$G,$C46,'Input Data'!$V:$V,"FUL")</f>
        <v>0</v>
      </c>
      <c r="L46" s="21">
        <f>+SUMIFS('Input Data'!$AY:$AY,'Input Data'!$G:$G,$C46,'Input Data'!$V:$V,"FUL")</f>
        <v>0</v>
      </c>
      <c r="M46" s="21">
        <f>+SUMIFS('Input Data'!$AO:$AO,'Input Data'!$G:$G,$C46,'Input Data'!$V:$V,"FUL")</f>
        <v>0</v>
      </c>
      <c r="N46" s="21">
        <f>+SUMIFS('Input Data'!$BH:$BH,'Input Data'!$G:$G,$C46,'Input Data'!$V:$V,"FUL")</f>
        <v>0</v>
      </c>
      <c r="O46" s="21">
        <f t="shared" si="11"/>
        <v>0</v>
      </c>
      <c r="P46" s="21">
        <f t="shared" si="12"/>
        <v>0</v>
      </c>
      <c r="Q46" s="191">
        <f t="shared" si="13"/>
        <v>0</v>
      </c>
      <c r="R46" s="48">
        <f>+SUMIFS('Input Data'!$AK:$AK,'Input Data'!$G:$G,$C46,'Input Data'!$V:$V,"FIID")</f>
        <v>8602524.4033901896</v>
      </c>
      <c r="S46" s="21">
        <f>+SUMIFS('Input Data'!$AY:$AY,'Input Data'!$G:$G,$C46,'Input Data'!$V:$V,"FIID")</f>
        <v>1720504.8806780381</v>
      </c>
      <c r="T46" s="21">
        <f>+SUMIFS('Input Data'!$AO:$AO,'Input Data'!$G:$G,$C46,'Input Data'!$V:$V,"FIID")</f>
        <v>0</v>
      </c>
      <c r="U46" s="21">
        <f>+SUMIFS('Input Data'!$BH:$BH,'Input Data'!$G:$G,$C46,'Input Data'!$V:$V,"FIID")</f>
        <v>5849716.594305329</v>
      </c>
      <c r="V46" s="21">
        <f t="shared" si="14"/>
        <v>1032302.9284068225</v>
      </c>
      <c r="W46" s="21">
        <f t="shared" si="15"/>
        <v>0</v>
      </c>
      <c r="X46" s="191">
        <f t="shared" si="16"/>
        <v>1032302.9284068225</v>
      </c>
      <c r="Y46" s="48">
        <f>+SUMIFS('Input Data'!$AK:$AK,'Input Data'!$G:$G,$C46,'Input Data'!$V:$V,"FIBL")</f>
        <v>0</v>
      </c>
      <c r="Z46" s="21">
        <f>+SUMIFS('Input Data'!$AH:$AH,'Input Data'!$G:$G,$C46)</f>
        <v>268828.88760594343</v>
      </c>
      <c r="AA46" s="21">
        <f>+SUMIFS('Input Data'!$AY:$AY,'Input Data'!$G:$G,$C46,'Input Data'!$V:$V,"FIBL")</f>
        <v>0</v>
      </c>
      <c r="AB46" s="431">
        <f>+SUMIFS('Input Data'!$AO:$AO,'Input Data'!$G:$G,$C46,'Input Data'!$V:$V,"FIBL")</f>
        <v>0</v>
      </c>
      <c r="AC46" s="21">
        <v>0</v>
      </c>
      <c r="AD46" s="21">
        <f t="shared" si="17"/>
        <v>0</v>
      </c>
      <c r="AE46" s="21">
        <v>0</v>
      </c>
      <c r="AF46" s="191">
        <f t="shared" si="18"/>
        <v>0</v>
      </c>
      <c r="AK46" s="46">
        <f t="shared" si="19"/>
        <v>5849716.594305329</v>
      </c>
      <c r="AL46" s="46">
        <f>+SUMIFS('Input Data'!$BE:$BE,'Input Data'!$G:$G,$C46)</f>
        <v>716877.03361584921</v>
      </c>
      <c r="AM46" s="46">
        <f t="shared" si="10"/>
        <v>6835422.5155271217</v>
      </c>
    </row>
    <row r="47" spans="1:40" x14ac:dyDescent="0.35">
      <c r="B47" t="str">
        <v>K-VHTS</v>
      </c>
      <c r="C47">
        <v>10519</v>
      </c>
      <c r="D47" s="48">
        <f>+SUMIFS('Input Data'!$AK:$AK,'Input Data'!$G:$G,$C47)</f>
        <v>16937675.495607499</v>
      </c>
      <c r="E47" s="21">
        <f>+SUMIFS('Input Data'!$AH:$AH,'Input Data'!$G:$G,$C47)</f>
        <v>529302.35923773434</v>
      </c>
      <c r="F47" s="21">
        <f>+SUMIFS('Input Data'!$AY:$AY,'Input Data'!$G:$G,$C47)</f>
        <v>3387535.0991214998</v>
      </c>
      <c r="G47" s="21">
        <f>+SUMIFS('Input Data'!AO:AO,'Input Data'!$G:$G,$C47)</f>
        <v>0</v>
      </c>
      <c r="H47" s="21">
        <v>0</v>
      </c>
      <c r="I47" s="191">
        <f>+SUMIFS('Input Data'!$BF:$BF,'Input Data'!$G:$G,$C47)</f>
        <v>13550140.396485999</v>
      </c>
      <c r="J47" s="21">
        <f t="shared" si="3"/>
        <v>15490915.713691026</v>
      </c>
      <c r="K47" s="48">
        <f>+SUMIFS('Input Data'!$AK:$AK,'Input Data'!$G:$G,$C47,'Input Data'!$V:$V,"FUL")</f>
        <v>0</v>
      </c>
      <c r="L47" s="21">
        <f>+SUMIFS('Input Data'!$AY:$AY,'Input Data'!$G:$G,$C47,'Input Data'!$V:$V,"FUL")</f>
        <v>0</v>
      </c>
      <c r="M47" s="21">
        <f>+SUMIFS('Input Data'!$AO:$AO,'Input Data'!$G:$G,$C47,'Input Data'!$V:$V,"FUL")</f>
        <v>0</v>
      </c>
      <c r="N47" s="21">
        <f>+SUMIFS('Input Data'!$BH:$BH,'Input Data'!$G:$G,$C47,'Input Data'!$V:$V,"FUL")</f>
        <v>0</v>
      </c>
      <c r="O47" s="21">
        <f t="shared" si="11"/>
        <v>0</v>
      </c>
      <c r="P47" s="21">
        <f t="shared" si="12"/>
        <v>0</v>
      </c>
      <c r="Q47" s="191">
        <f t="shared" si="13"/>
        <v>0</v>
      </c>
      <c r="R47" s="48">
        <f>+SUMIFS('Input Data'!$AK:$AK,'Input Data'!$G:$G,$C47,'Input Data'!$V:$V,"FIID")</f>
        <v>16937675.495607499</v>
      </c>
      <c r="S47" s="21">
        <f>+SUMIFS('Input Data'!$AY:$AY,'Input Data'!$G:$G,$C47,'Input Data'!$V:$V,"FIID")</f>
        <v>3387535.0991214998</v>
      </c>
      <c r="T47" s="21">
        <f>+SUMIFS('Input Data'!$AO:$AO,'Input Data'!$G:$G,$C47,'Input Data'!$V:$V,"FIID")</f>
        <v>0</v>
      </c>
      <c r="U47" s="21">
        <f>+SUMIFS('Input Data'!$BH:$BH,'Input Data'!$G:$G,$C47,'Input Data'!$V:$V,"FIID")</f>
        <v>11517619.337013099</v>
      </c>
      <c r="V47" s="21">
        <f t="shared" si="14"/>
        <v>2032521.0594728999</v>
      </c>
      <c r="W47" s="21">
        <f t="shared" si="15"/>
        <v>0</v>
      </c>
      <c r="X47" s="191">
        <f t="shared" si="16"/>
        <v>2032521.0594728999</v>
      </c>
      <c r="Y47" s="48">
        <f>+SUMIFS('Input Data'!$AK:$AK,'Input Data'!$G:$G,$C47,'Input Data'!$V:$V,"FIBL")</f>
        <v>0</v>
      </c>
      <c r="Z47" s="21">
        <f>+SUMIFS('Input Data'!$AH:$AH,'Input Data'!$G:$G,$C47)</f>
        <v>529302.35923773434</v>
      </c>
      <c r="AA47" s="21">
        <f>+SUMIFS('Input Data'!$AY:$AY,'Input Data'!$G:$G,$C47,'Input Data'!$V:$V,"FIBL")</f>
        <v>0</v>
      </c>
      <c r="AB47" s="431">
        <f>+SUMIFS('Input Data'!$AO:$AO,'Input Data'!$G:$G,$C47,'Input Data'!$V:$V,"FIBL")</f>
        <v>0</v>
      </c>
      <c r="AC47" s="21">
        <v>0</v>
      </c>
      <c r="AD47" s="21">
        <f t="shared" si="17"/>
        <v>0</v>
      </c>
      <c r="AE47" s="21">
        <v>0</v>
      </c>
      <c r="AF47" s="191">
        <f t="shared" si="18"/>
        <v>0</v>
      </c>
      <c r="AK47" s="46">
        <f t="shared" si="19"/>
        <v>11517619.337013099</v>
      </c>
      <c r="AL47" s="46">
        <f>+SUMIFS('Input Data'!$BE:$BE,'Input Data'!$G:$G,$C47)</f>
        <v>1411472.9579672916</v>
      </c>
      <c r="AM47" s="46">
        <f t="shared" si="10"/>
        <v>13458394.654218126</v>
      </c>
    </row>
    <row r="48" spans="1:40" x14ac:dyDescent="0.35">
      <c r="B48" t="str">
        <v>E13G</v>
      </c>
      <c r="C48">
        <v>13009</v>
      </c>
      <c r="D48" s="48">
        <f>+SUMIFS('Input Data'!$AK:$AK,'Input Data'!$G:$G,$C48)</f>
        <v>19814782.423728701</v>
      </c>
      <c r="E48" s="21">
        <f>+SUMIFS('Input Data'!$AH:$AH,'Input Data'!$G:$G,$C48)</f>
        <v>619211.9507415219</v>
      </c>
      <c r="F48" s="21">
        <f>+SUMIFS('Input Data'!$AY:$AY,'Input Data'!$G:$G,$C48)</f>
        <v>3962956.4847457404</v>
      </c>
      <c r="G48" s="21">
        <f>+SUMIFS('Input Data'!AO:AO,'Input Data'!$G:$G,$C48)</f>
        <v>0</v>
      </c>
      <c r="H48" s="21">
        <v>0</v>
      </c>
      <c r="I48" s="191">
        <f>+SUMIFS('Input Data'!$BF:$BF,'Input Data'!$G:$G,$C48)</f>
        <v>15851825.93898296</v>
      </c>
      <c r="J48" s="21">
        <f t="shared" si="3"/>
        <v>18122269.758368541</v>
      </c>
      <c r="K48" s="48">
        <f>+SUMIFS('Input Data'!$AK:$AK,'Input Data'!$G:$G,$C48,'Input Data'!$V:$V,"FUL")</f>
        <v>0</v>
      </c>
      <c r="L48" s="21">
        <f>+SUMIFS('Input Data'!$AY:$AY,'Input Data'!$G:$G,$C48,'Input Data'!$V:$V,"FUL")</f>
        <v>0</v>
      </c>
      <c r="M48" s="21">
        <f>+SUMIFS('Input Data'!$AO:$AO,'Input Data'!$G:$G,$C48,'Input Data'!$V:$V,"FUL")</f>
        <v>0</v>
      </c>
      <c r="N48" s="21">
        <f>+SUMIFS('Input Data'!$BH:$BH,'Input Data'!$G:$G,$C48,'Input Data'!$V:$V,"FUL")</f>
        <v>0</v>
      </c>
      <c r="O48" s="21">
        <f t="shared" si="11"/>
        <v>0</v>
      </c>
      <c r="P48" s="21">
        <f t="shared" si="12"/>
        <v>0</v>
      </c>
      <c r="Q48" s="191">
        <f t="shared" si="13"/>
        <v>0</v>
      </c>
      <c r="R48" s="48">
        <f>+SUMIFS('Input Data'!$AK:$AK,'Input Data'!$G:$G,$C48,'Input Data'!$V:$V,"FIID")</f>
        <v>19814782.423728701</v>
      </c>
      <c r="S48" s="21">
        <f>+SUMIFS('Input Data'!$AY:$AY,'Input Data'!$G:$G,$C48,'Input Data'!$V:$V,"FIID")</f>
        <v>3962956.4847457404</v>
      </c>
      <c r="T48" s="21">
        <f>+SUMIFS('Input Data'!$AO:$AO,'Input Data'!$G:$G,$C48,'Input Data'!$V:$V,"FIID")</f>
        <v>0</v>
      </c>
      <c r="U48" s="21">
        <f>+SUMIFS('Input Data'!$BH:$BH,'Input Data'!$G:$G,$C48,'Input Data'!$V:$V,"FIID")</f>
        <v>13474052.048135515</v>
      </c>
      <c r="V48" s="21">
        <f t="shared" si="14"/>
        <v>2377773.8908474445</v>
      </c>
      <c r="W48" s="21">
        <f t="shared" si="15"/>
        <v>0</v>
      </c>
      <c r="X48" s="191">
        <f t="shared" si="16"/>
        <v>2377773.8908474445</v>
      </c>
      <c r="Y48" s="48">
        <f>+SUMIFS('Input Data'!$AK:$AK,'Input Data'!$G:$G,$C48,'Input Data'!$V:$V,"FIBL")</f>
        <v>0</v>
      </c>
      <c r="Z48" s="21">
        <f>+SUMIFS('Input Data'!$AH:$AH,'Input Data'!$G:$G,$C48)</f>
        <v>619211.9507415219</v>
      </c>
      <c r="AA48" s="21">
        <f>+SUMIFS('Input Data'!$AY:$AY,'Input Data'!$G:$G,$C48,'Input Data'!$V:$V,"FIBL")</f>
        <v>0</v>
      </c>
      <c r="AB48" s="431">
        <f>+SUMIFS('Input Data'!$AO:$AO,'Input Data'!$G:$G,$C48,'Input Data'!$V:$V,"FIBL")</f>
        <v>0</v>
      </c>
      <c r="AC48" s="21">
        <v>0</v>
      </c>
      <c r="AD48" s="21">
        <f t="shared" si="17"/>
        <v>0</v>
      </c>
      <c r="AE48" s="21">
        <v>0</v>
      </c>
      <c r="AF48" s="191">
        <f t="shared" si="18"/>
        <v>0</v>
      </c>
      <c r="AK48" s="46">
        <f t="shared" si="19"/>
        <v>13474052.048135515</v>
      </c>
      <c r="AL48" s="46">
        <f>+SUMIFS('Input Data'!$BE:$BE,'Input Data'!$G:$G,$C48)</f>
        <v>1651231.8686440585</v>
      </c>
      <c r="AM48" s="46">
        <f t="shared" si="10"/>
        <v>15744495.867521096</v>
      </c>
    </row>
    <row r="49" spans="2:39" x14ac:dyDescent="0.35">
      <c r="B49" t="str">
        <v>E10B</v>
      </c>
      <c r="C49">
        <v>14159</v>
      </c>
      <c r="D49" s="48">
        <f>+SUMIFS('Input Data'!$AK:$AK,'Input Data'!$G:$G,$C49)</f>
        <v>19814782.423728701</v>
      </c>
      <c r="E49" s="21">
        <f>+SUMIFS('Input Data'!$AH:$AH,'Input Data'!$G:$G,$C49)</f>
        <v>619211.9507415219</v>
      </c>
      <c r="F49" s="21">
        <f>+SUMIFS('Input Data'!$AY:$AY,'Input Data'!$G:$G,$C49)</f>
        <v>3962956.4847457404</v>
      </c>
      <c r="G49" s="21">
        <f>+SUMIFS('Input Data'!AO:AO,'Input Data'!$G:$G,$C49)</f>
        <v>0</v>
      </c>
      <c r="H49" s="21">
        <v>0</v>
      </c>
      <c r="I49" s="191">
        <f>+SUMIFS('Input Data'!$BF:$BF,'Input Data'!$G:$G,$C49)</f>
        <v>15851825.93898296</v>
      </c>
      <c r="J49" s="21">
        <f t="shared" si="3"/>
        <v>18122269.758368541</v>
      </c>
      <c r="K49" s="48">
        <f>+SUMIFS('Input Data'!$AK:$AK,'Input Data'!$G:$G,$C49,'Input Data'!$V:$V,"FUL")</f>
        <v>0</v>
      </c>
      <c r="L49" s="21">
        <f>+SUMIFS('Input Data'!$AY:$AY,'Input Data'!$G:$G,$C49,'Input Data'!$V:$V,"FUL")</f>
        <v>0</v>
      </c>
      <c r="M49" s="21">
        <f>+SUMIFS('Input Data'!$AO:$AO,'Input Data'!$G:$G,$C49,'Input Data'!$V:$V,"FUL")</f>
        <v>0</v>
      </c>
      <c r="N49" s="21">
        <f>+SUMIFS('Input Data'!$BH:$BH,'Input Data'!$G:$G,$C49,'Input Data'!$V:$V,"FUL")</f>
        <v>0</v>
      </c>
      <c r="O49" s="21">
        <f t="shared" si="11"/>
        <v>0</v>
      </c>
      <c r="P49" s="21">
        <f t="shared" si="12"/>
        <v>0</v>
      </c>
      <c r="Q49" s="191">
        <f t="shared" si="13"/>
        <v>0</v>
      </c>
      <c r="R49" s="48">
        <f>+SUMIFS('Input Data'!$AK:$AK,'Input Data'!$G:$G,$C49,'Input Data'!$V:$V,"FIID")</f>
        <v>19814782.423728701</v>
      </c>
      <c r="S49" s="21">
        <f>+SUMIFS('Input Data'!$AY:$AY,'Input Data'!$G:$G,$C49,'Input Data'!$V:$V,"FIID")</f>
        <v>3962956.4847457404</v>
      </c>
      <c r="T49" s="21">
        <f>+SUMIFS('Input Data'!$AO:$AO,'Input Data'!$G:$G,$C49,'Input Data'!$V:$V,"FIID")</f>
        <v>0</v>
      </c>
      <c r="U49" s="21">
        <f>+SUMIFS('Input Data'!$BH:$BH,'Input Data'!$G:$G,$C49,'Input Data'!$V:$V,"FIID")</f>
        <v>13474052.048135515</v>
      </c>
      <c r="V49" s="21">
        <f t="shared" si="14"/>
        <v>2377773.8908474445</v>
      </c>
      <c r="W49" s="21">
        <f t="shared" si="15"/>
        <v>0</v>
      </c>
      <c r="X49" s="191">
        <f t="shared" si="16"/>
        <v>2377773.8908474445</v>
      </c>
      <c r="Y49" s="48">
        <f>+SUMIFS('Input Data'!$AK:$AK,'Input Data'!$G:$G,$C49,'Input Data'!$V:$V,"FIBL")</f>
        <v>0</v>
      </c>
      <c r="Z49" s="21">
        <f>+SUMIFS('Input Data'!$AH:$AH,'Input Data'!$G:$G,$C49)</f>
        <v>619211.9507415219</v>
      </c>
      <c r="AA49" s="21">
        <f>+SUMIFS('Input Data'!$AY:$AY,'Input Data'!$G:$G,$C49,'Input Data'!$V:$V,"FIBL")</f>
        <v>0</v>
      </c>
      <c r="AB49" s="431">
        <f>+SUMIFS('Input Data'!$AO:$AO,'Input Data'!$G:$G,$C49,'Input Data'!$V:$V,"FIBL")</f>
        <v>0</v>
      </c>
      <c r="AC49" s="21">
        <v>0</v>
      </c>
      <c r="AD49" s="21">
        <f t="shared" si="17"/>
        <v>0</v>
      </c>
      <c r="AE49" s="21">
        <v>0</v>
      </c>
      <c r="AF49" s="191">
        <f t="shared" si="18"/>
        <v>0</v>
      </c>
      <c r="AK49" s="46">
        <f t="shared" si="19"/>
        <v>13474052.048135515</v>
      </c>
      <c r="AL49" s="46">
        <f>+SUMIFS('Input Data'!$BE:$BE,'Input Data'!$G:$G,$C49)</f>
        <v>1651231.8686440585</v>
      </c>
      <c r="AM49" s="46">
        <f t="shared" si="10"/>
        <v>15744495.867521096</v>
      </c>
    </row>
    <row r="50" spans="2:39" x14ac:dyDescent="0.35">
      <c r="B50" t="str">
        <v>E13F</v>
      </c>
      <c r="C50">
        <v>13008</v>
      </c>
      <c r="D50" s="48">
        <f>+SUMIFS('Input Data'!$AK:$AK,'Input Data'!$G:$G,$C50)</f>
        <v>19814782.423728701</v>
      </c>
      <c r="E50" s="21">
        <f>+SUMIFS('Input Data'!$AH:$AH,'Input Data'!$G:$G,$C50)</f>
        <v>619211.9507415219</v>
      </c>
      <c r="F50" s="21">
        <f>+SUMIFS('Input Data'!$AY:$AY,'Input Data'!$G:$G,$C50)</f>
        <v>3962956.4847457404</v>
      </c>
      <c r="G50" s="21">
        <f>+SUMIFS('Input Data'!AO:AO,'Input Data'!$G:$G,$C50)</f>
        <v>0</v>
      </c>
      <c r="H50" s="21">
        <v>0</v>
      </c>
      <c r="I50" s="191">
        <f>+SUMIFS('Input Data'!$BF:$BF,'Input Data'!$G:$G,$C50)</f>
        <v>15851825.93898296</v>
      </c>
      <c r="J50" s="21">
        <f t="shared" si="3"/>
        <v>18122269.758368541</v>
      </c>
      <c r="K50" s="48">
        <f>+SUMIFS('Input Data'!$AK:$AK,'Input Data'!$G:$G,$C50,'Input Data'!$V:$V,"FUL")</f>
        <v>0</v>
      </c>
      <c r="L50" s="21">
        <f>+SUMIFS('Input Data'!$AY:$AY,'Input Data'!$G:$G,$C50,'Input Data'!$V:$V,"FUL")</f>
        <v>0</v>
      </c>
      <c r="M50" s="21">
        <f>+SUMIFS('Input Data'!$AO:$AO,'Input Data'!$G:$G,$C50,'Input Data'!$V:$V,"FUL")</f>
        <v>0</v>
      </c>
      <c r="N50" s="21">
        <f>+SUMIFS('Input Data'!$BH:$BH,'Input Data'!$G:$G,$C50,'Input Data'!$V:$V,"FUL")</f>
        <v>0</v>
      </c>
      <c r="O50" s="21">
        <f t="shared" si="11"/>
        <v>0</v>
      </c>
      <c r="P50" s="21">
        <f t="shared" si="12"/>
        <v>0</v>
      </c>
      <c r="Q50" s="191">
        <f t="shared" si="13"/>
        <v>0</v>
      </c>
      <c r="R50" s="48">
        <f>+SUMIFS('Input Data'!$AK:$AK,'Input Data'!$G:$G,$C50,'Input Data'!$V:$V,"FIID")</f>
        <v>19814782.423728701</v>
      </c>
      <c r="S50" s="21">
        <f>+SUMIFS('Input Data'!$AY:$AY,'Input Data'!$G:$G,$C50,'Input Data'!$V:$V,"FIID")</f>
        <v>3962956.4847457404</v>
      </c>
      <c r="T50" s="21">
        <f>+SUMIFS('Input Data'!$AO:$AO,'Input Data'!$G:$G,$C50,'Input Data'!$V:$V,"FIID")</f>
        <v>0</v>
      </c>
      <c r="U50" s="21">
        <f>+SUMIFS('Input Data'!$BH:$BH,'Input Data'!$G:$G,$C50,'Input Data'!$V:$V,"FIID")</f>
        <v>13474052.048135515</v>
      </c>
      <c r="V50" s="21">
        <f t="shared" si="14"/>
        <v>2377773.8908474445</v>
      </c>
      <c r="W50" s="21">
        <f t="shared" si="15"/>
        <v>0</v>
      </c>
      <c r="X50" s="191">
        <f t="shared" si="16"/>
        <v>2377773.8908474445</v>
      </c>
      <c r="Y50" s="48">
        <f>+SUMIFS('Input Data'!$AK:$AK,'Input Data'!$G:$G,$C50,'Input Data'!$V:$V,"FIBL")</f>
        <v>0</v>
      </c>
      <c r="Z50" s="21">
        <f>+SUMIFS('Input Data'!$AH:$AH,'Input Data'!$G:$G,$C50)</f>
        <v>619211.9507415219</v>
      </c>
      <c r="AA50" s="21">
        <f>+SUMIFS('Input Data'!$AY:$AY,'Input Data'!$G:$G,$C50,'Input Data'!$V:$V,"FIBL")</f>
        <v>0</v>
      </c>
      <c r="AB50" s="431">
        <f>+SUMIFS('Input Data'!$AO:$AO,'Input Data'!$G:$G,$C50,'Input Data'!$V:$V,"FIBL")</f>
        <v>0</v>
      </c>
      <c r="AC50" s="21">
        <v>0</v>
      </c>
      <c r="AD50" s="21">
        <f t="shared" si="17"/>
        <v>0</v>
      </c>
      <c r="AE50" s="21">
        <v>0</v>
      </c>
      <c r="AF50" s="191">
        <f t="shared" si="18"/>
        <v>0</v>
      </c>
      <c r="AK50" s="46">
        <f t="shared" si="19"/>
        <v>13474052.048135515</v>
      </c>
      <c r="AL50" s="46">
        <f>+SUMIFS('Input Data'!$BE:$BE,'Input Data'!$G:$G,$C50)</f>
        <v>1651231.8686440585</v>
      </c>
      <c r="AM50" s="46">
        <f t="shared" si="10"/>
        <v>15744495.867521096</v>
      </c>
    </row>
    <row r="51" spans="2:39" x14ac:dyDescent="0.35">
      <c r="B51" t="str">
        <v>SPAINSAT NG-1</v>
      </c>
      <c r="C51">
        <v>13257</v>
      </c>
      <c r="D51" s="48">
        <f>+SUMIFS('Input Data'!$AK:$AK,'Input Data'!$G:$G,$C51)</f>
        <v>28857627.37544075</v>
      </c>
      <c r="E51" s="21">
        <f>+SUMIFS('Input Data'!$AH:$AH,'Input Data'!$G:$G,$C51)</f>
        <v>1167812.4352888255</v>
      </c>
      <c r="F51" s="21">
        <f>+SUMIFS('Input Data'!$AY:$AY,'Input Data'!$G:$G,$C51)</f>
        <v>5771525.4750881502</v>
      </c>
      <c r="G51" s="21">
        <f>+SUMIFS('Input Data'!AO:AO,'Input Data'!$G:$G,$C51)</f>
        <v>0</v>
      </c>
      <c r="H51" s="21">
        <v>0</v>
      </c>
      <c r="I51" s="191">
        <f>+SUMIFS('Input Data'!$BF:$BF,'Input Data'!$G:$G,$C51)</f>
        <v>23086101.900352601</v>
      </c>
      <c r="J51" s="21">
        <f t="shared" si="3"/>
        <v>24253914.335641425</v>
      </c>
      <c r="K51" s="48">
        <f>+SUMIFS('Input Data'!$AK:$AK,'Input Data'!$G:$G,$C51,'Input Data'!$V:$V,"FUL")</f>
        <v>0</v>
      </c>
      <c r="L51" s="21">
        <f>+SUMIFS('Input Data'!$AY:$AY,'Input Data'!$G:$G,$C51,'Input Data'!$V:$V,"FUL")</f>
        <v>0</v>
      </c>
      <c r="M51" s="21">
        <f>+SUMIFS('Input Data'!$AO:$AO,'Input Data'!$G:$G,$C51,'Input Data'!$V:$V,"FUL")</f>
        <v>0</v>
      </c>
      <c r="N51" s="21">
        <f>+SUMIFS('Input Data'!$BH:$BH,'Input Data'!$G:$G,$C51,'Input Data'!$V:$V,"FUL")</f>
        <v>0</v>
      </c>
      <c r="O51" s="21">
        <f t="shared" si="11"/>
        <v>0</v>
      </c>
      <c r="P51" s="21">
        <f t="shared" si="12"/>
        <v>0</v>
      </c>
      <c r="Q51" s="191">
        <f t="shared" si="13"/>
        <v>0</v>
      </c>
      <c r="R51" s="48">
        <f>+SUMIFS('Input Data'!$AK:$AK,'Input Data'!$G:$G,$C51,'Input Data'!$V:$V,"FIID")</f>
        <v>28857627.37544075</v>
      </c>
      <c r="S51" s="21">
        <f>+SUMIFS('Input Data'!$AY:$AY,'Input Data'!$G:$G,$C51,'Input Data'!$V:$V,"FIID")</f>
        <v>5771525.4750881502</v>
      </c>
      <c r="T51" s="21">
        <f>+SUMIFS('Input Data'!$AO:$AO,'Input Data'!$G:$G,$C51,'Input Data'!$V:$V,"FIID")</f>
        <v>0</v>
      </c>
      <c r="U51" s="21">
        <f>+SUMIFS('Input Data'!$BH:$BH,'Input Data'!$G:$G,$C51,'Input Data'!$V:$V,"FIID")</f>
        <v>19623186.615299709</v>
      </c>
      <c r="V51" s="21">
        <f t="shared" si="14"/>
        <v>3462915.2850528918</v>
      </c>
      <c r="W51" s="21">
        <f t="shared" si="15"/>
        <v>0</v>
      </c>
      <c r="X51" s="191">
        <f t="shared" si="16"/>
        <v>3462915.2850528918</v>
      </c>
      <c r="Y51" s="48">
        <f>+SUMIFS('Input Data'!$AK:$AK,'Input Data'!$G:$G,$C51,'Input Data'!$V:$V,"FIBL")</f>
        <v>0</v>
      </c>
      <c r="Z51" s="21">
        <f>+SUMIFS('Input Data'!$AH:$AH,'Input Data'!$G:$G,$C51)</f>
        <v>1167812.4352888255</v>
      </c>
      <c r="AA51" s="21">
        <f>+SUMIFS('Input Data'!$AY:$AY,'Input Data'!$G:$G,$C51,'Input Data'!$V:$V,"FIBL")</f>
        <v>0</v>
      </c>
      <c r="AB51" s="431">
        <f>+SUMIFS('Input Data'!$AO:$AO,'Input Data'!$G:$G,$C51,'Input Data'!$V:$V,"FIBL")</f>
        <v>0</v>
      </c>
      <c r="AC51" s="21">
        <v>0</v>
      </c>
      <c r="AD51" s="21">
        <f t="shared" si="17"/>
        <v>0</v>
      </c>
      <c r="AE51" s="21">
        <v>0</v>
      </c>
      <c r="AF51" s="191">
        <f t="shared" si="18"/>
        <v>0</v>
      </c>
      <c r="AK51" s="46">
        <f t="shared" si="19"/>
        <v>19623186.615299709</v>
      </c>
      <c r="AL51" s="46">
        <f>+SUMIFS('Input Data'!$BE:$BE,'Input Data'!$G:$G,$C51)</f>
        <v>0</v>
      </c>
      <c r="AM51" s="46">
        <f t="shared" si="10"/>
        <v>20790999.050588533</v>
      </c>
    </row>
    <row r="52" spans="2:39" x14ac:dyDescent="0.35">
      <c r="B52" t="str">
        <v>SPAINSAT NG-2</v>
      </c>
      <c r="C52">
        <v>13258</v>
      </c>
      <c r="D52" s="48">
        <f>+SUMIFS('Input Data'!$AK:$AK,'Input Data'!$G:$G,$C52)</f>
        <v>26601157.9806302</v>
      </c>
      <c r="E52" s="21">
        <f>+SUMIFS('Input Data'!$AH:$AH,'Input Data'!$G:$G,$C52)</f>
        <v>1097297.7667009959</v>
      </c>
      <c r="F52" s="21">
        <f>+SUMIFS('Input Data'!$AY:$AY,'Input Data'!$G:$G,$C52)</f>
        <v>5320231.5961260404</v>
      </c>
      <c r="G52" s="21">
        <f>+SUMIFS('Input Data'!AO:AO,'Input Data'!$G:$G,$C52)</f>
        <v>0</v>
      </c>
      <c r="H52" s="21">
        <v>0</v>
      </c>
      <c r="I52" s="191">
        <f>+SUMIFS('Input Data'!$BF:$BF,'Input Data'!$G:$G,$C52)</f>
        <v>21280926.384504162</v>
      </c>
      <c r="J52" s="21">
        <f t="shared" si="3"/>
        <v>24594987.316257674</v>
      </c>
      <c r="K52" s="48">
        <f>+SUMIFS('Input Data'!$AK:$AK,'Input Data'!$G:$G,$C52,'Input Data'!$V:$V,"FUL")</f>
        <v>0</v>
      </c>
      <c r="L52" s="21">
        <f>+SUMIFS('Input Data'!$AY:$AY,'Input Data'!$G:$G,$C52,'Input Data'!$V:$V,"FUL")</f>
        <v>0</v>
      </c>
      <c r="M52" s="21">
        <f>+SUMIFS('Input Data'!$AO:$AO,'Input Data'!$G:$G,$C52,'Input Data'!$V:$V,"FUL")</f>
        <v>0</v>
      </c>
      <c r="N52" s="21">
        <f>+SUMIFS('Input Data'!$BH:$BH,'Input Data'!$G:$G,$C52,'Input Data'!$V:$V,"FUL")</f>
        <v>0</v>
      </c>
      <c r="O52" s="21">
        <f t="shared" si="11"/>
        <v>0</v>
      </c>
      <c r="P52" s="21">
        <f t="shared" si="12"/>
        <v>0</v>
      </c>
      <c r="Q52" s="191">
        <f t="shared" si="13"/>
        <v>0</v>
      </c>
      <c r="R52" s="48">
        <f>+SUMIFS('Input Data'!$AK:$AK,'Input Data'!$G:$G,$C52,'Input Data'!$V:$V,"FIID")</f>
        <v>26601157.9806302</v>
      </c>
      <c r="S52" s="21">
        <f>+SUMIFS('Input Data'!$AY:$AY,'Input Data'!$G:$G,$C52,'Input Data'!$V:$V,"FIID")</f>
        <v>5320231.5961260404</v>
      </c>
      <c r="T52" s="21">
        <f>+SUMIFS('Input Data'!$AO:$AO,'Input Data'!$G:$G,$C52,'Input Data'!$V:$V,"FIID")</f>
        <v>0</v>
      </c>
      <c r="U52" s="21">
        <f>+SUMIFS('Input Data'!$BH:$BH,'Input Data'!$G:$G,$C52,'Input Data'!$V:$V,"FIID")</f>
        <v>18088787.426828537</v>
      </c>
      <c r="V52" s="21">
        <f t="shared" si="14"/>
        <v>3192138.9576756246</v>
      </c>
      <c r="W52" s="21">
        <f t="shared" si="15"/>
        <v>0</v>
      </c>
      <c r="X52" s="191">
        <f t="shared" si="16"/>
        <v>3192138.9576756246</v>
      </c>
      <c r="Y52" s="48">
        <f>+SUMIFS('Input Data'!$AK:$AK,'Input Data'!$G:$G,$C52,'Input Data'!$V:$V,"FIBL")</f>
        <v>0</v>
      </c>
      <c r="Z52" s="21">
        <f>+SUMIFS('Input Data'!$AH:$AH,'Input Data'!$G:$G,$C52)</f>
        <v>1097297.7667009959</v>
      </c>
      <c r="AA52" s="21">
        <f>+SUMIFS('Input Data'!$AY:$AY,'Input Data'!$G:$G,$C52,'Input Data'!$V:$V,"FIBL")</f>
        <v>0</v>
      </c>
      <c r="AB52" s="431">
        <f>+SUMIFS('Input Data'!$AO:$AO,'Input Data'!$G:$G,$C52,'Input Data'!$V:$V,"FIBL")</f>
        <v>0</v>
      </c>
      <c r="AC52" s="21">
        <v>0</v>
      </c>
      <c r="AD52" s="21">
        <f t="shared" si="17"/>
        <v>0</v>
      </c>
      <c r="AE52" s="21">
        <v>0</v>
      </c>
      <c r="AF52" s="191">
        <f t="shared" si="18"/>
        <v>0</v>
      </c>
      <c r="AK52" s="46">
        <f t="shared" si="19"/>
        <v>18088787.426828537</v>
      </c>
      <c r="AL52" s="46">
        <f>+SUMIFS('Input Data'!$BE:$BE,'Input Data'!$G:$G,$C52)</f>
        <v>2216763.1650525169</v>
      </c>
      <c r="AM52" s="46">
        <f t="shared" si="10"/>
        <v>21402848.35858205</v>
      </c>
    </row>
    <row r="53" spans="2:39" x14ac:dyDescent="0.35">
      <c r="B53" t="str">
        <v>OVZON-3</v>
      </c>
      <c r="C53">
        <v>13325</v>
      </c>
      <c r="D53" s="48">
        <f>+SUMIFS('Input Data'!$AK:$AK,'Input Data'!$G:$G,$C53)</f>
        <v>10824710.7036082</v>
      </c>
      <c r="E53" s="21">
        <f>+SUMIFS('Input Data'!$AH:$AH,'Input Data'!$G:$G,$C53)</f>
        <v>338272.20948775625</v>
      </c>
      <c r="F53" s="21">
        <f>+SUMIFS('Input Data'!$AY:$AY,'Input Data'!$G:$G,$C53)</f>
        <v>2164942.1407216401</v>
      </c>
      <c r="G53" s="21">
        <f>+SUMIFS('Input Data'!AO:AO,'Input Data'!$G:$G,$C53)</f>
        <v>0</v>
      </c>
      <c r="H53" s="21">
        <v>0</v>
      </c>
      <c r="I53" s="191">
        <f>+SUMIFS('Input Data'!$BF:$BF,'Input Data'!$G:$G,$C53)</f>
        <v>8659768.5628865603</v>
      </c>
      <c r="J53" s="21">
        <f t="shared" si="3"/>
        <v>9900099.9976749998</v>
      </c>
      <c r="K53" s="48">
        <f>+SUMIFS('Input Data'!$AK:$AK,'Input Data'!$G:$G,$C53,'Input Data'!$V:$V,"FUL")</f>
        <v>0</v>
      </c>
      <c r="L53" s="21">
        <f>+SUMIFS('Input Data'!$AY:$AY,'Input Data'!$G:$G,$C53,'Input Data'!$V:$V,"FUL")</f>
        <v>0</v>
      </c>
      <c r="M53" s="21">
        <f>+SUMIFS('Input Data'!$AO:$AO,'Input Data'!$G:$G,$C53,'Input Data'!$V:$V,"FUL")</f>
        <v>0</v>
      </c>
      <c r="N53" s="21">
        <f>+SUMIFS('Input Data'!$BH:$BH,'Input Data'!$G:$G,$C53,'Input Data'!$V:$V,"FUL")</f>
        <v>0</v>
      </c>
      <c r="O53" s="21">
        <f t="shared" si="11"/>
        <v>0</v>
      </c>
      <c r="P53" s="21">
        <f t="shared" si="12"/>
        <v>0</v>
      </c>
      <c r="Q53" s="191">
        <f t="shared" si="13"/>
        <v>0</v>
      </c>
      <c r="R53" s="48">
        <f>+SUMIFS('Input Data'!$AK:$AK,'Input Data'!$G:$G,$C53,'Input Data'!$V:$V,"FIID")</f>
        <v>10824710.7036082</v>
      </c>
      <c r="S53" s="21">
        <f>+SUMIFS('Input Data'!$AY:$AY,'Input Data'!$G:$G,$C53,'Input Data'!$V:$V,"FIID")</f>
        <v>2164942.1407216401</v>
      </c>
      <c r="T53" s="21">
        <f>+SUMIFS('Input Data'!$AO:$AO,'Input Data'!$G:$G,$C53,'Input Data'!$V:$V,"FIID")</f>
        <v>0</v>
      </c>
      <c r="U53" s="21">
        <f>+SUMIFS('Input Data'!$BH:$BH,'Input Data'!$G:$G,$C53,'Input Data'!$V:$V,"FIID")</f>
        <v>7360803.2784535764</v>
      </c>
      <c r="V53" s="21">
        <f t="shared" si="14"/>
        <v>1298965.284432984</v>
      </c>
      <c r="W53" s="21">
        <f t="shared" si="15"/>
        <v>0</v>
      </c>
      <c r="X53" s="191">
        <f t="shared" si="16"/>
        <v>1298965.284432984</v>
      </c>
      <c r="Y53" s="48">
        <f>+SUMIFS('Input Data'!$AK:$AK,'Input Data'!$G:$G,$C53,'Input Data'!$V:$V,"FIBL")</f>
        <v>0</v>
      </c>
      <c r="Z53" s="21">
        <f>+SUMIFS('Input Data'!$AH:$AH,'Input Data'!$G:$G,$C53)</f>
        <v>338272.20948775625</v>
      </c>
      <c r="AA53" s="21">
        <f>+SUMIFS('Input Data'!$AY:$AY,'Input Data'!$G:$G,$C53,'Input Data'!$V:$V,"FIBL")</f>
        <v>0</v>
      </c>
      <c r="AB53" s="431">
        <f>+SUMIFS('Input Data'!$AO:$AO,'Input Data'!$G:$G,$C53,'Input Data'!$V:$V,"FIBL")</f>
        <v>0</v>
      </c>
      <c r="AC53" s="21">
        <v>0</v>
      </c>
      <c r="AD53" s="21">
        <f t="shared" si="17"/>
        <v>0</v>
      </c>
      <c r="AE53" s="21">
        <v>0</v>
      </c>
      <c r="AF53" s="191">
        <f t="shared" si="18"/>
        <v>0</v>
      </c>
      <c r="AK53" s="46">
        <f t="shared" si="19"/>
        <v>7360803.2784535764</v>
      </c>
      <c r="AL53" s="46">
        <f>+SUMIFS('Input Data'!$BE:$BE,'Input Data'!$G:$G,$C53)</f>
        <v>902059.22530068341</v>
      </c>
      <c r="AM53" s="46">
        <f t="shared" si="10"/>
        <v>8601134.7132420167</v>
      </c>
    </row>
    <row r="54" spans="2:39" x14ac:dyDescent="0.35">
      <c r="B54" t="str">
        <v>PAKSAT-MULTI MISSION 1 (PAKSAT-MM1)</v>
      </c>
      <c r="C54">
        <v>12548</v>
      </c>
      <c r="D54" s="48">
        <f>+SUMIFS('Input Data'!$AK:$AK,'Input Data'!$G:$G,$C54)</f>
        <v>21649484.5</v>
      </c>
      <c r="E54" s="21">
        <f>+SUMIFS('Input Data'!$AH:$AH,'Input Data'!$G:$G,$C54)</f>
        <v>676546.390625</v>
      </c>
      <c r="F54" s="21">
        <f>+SUMIFS('Input Data'!$AY:$AY,'Input Data'!$G:$G,$C54)</f>
        <v>4329896.9000000004</v>
      </c>
      <c r="G54" s="21">
        <f>+SUMIFS('Input Data'!AO:AO,'Input Data'!$G:$G,$C54)</f>
        <v>0</v>
      </c>
      <c r="H54" s="21">
        <v>0</v>
      </c>
      <c r="I54" s="191">
        <f>+SUMIFS('Input Data'!$BF:$BF,'Input Data'!$G:$G,$C54)</f>
        <v>17319587.600000001</v>
      </c>
      <c r="J54" s="21">
        <f t="shared" si="3"/>
        <v>19800257.698958334</v>
      </c>
      <c r="K54" s="48">
        <f>+SUMIFS('Input Data'!$AK:$AK,'Input Data'!$G:$G,$C54,'Input Data'!$V:$V,"FUL")</f>
        <v>21649484.5</v>
      </c>
      <c r="L54" s="21">
        <f>+SUMIFS('Input Data'!$AY:$AY,'Input Data'!$G:$G,$C54,'Input Data'!$V:$V,"FUL")</f>
        <v>4329896.9000000004</v>
      </c>
      <c r="M54" s="21">
        <f>+SUMIFS('Input Data'!$AO:$AO,'Input Data'!$G:$G,$C54,'Input Data'!$V:$V,"FUL")</f>
        <v>0</v>
      </c>
      <c r="N54" s="21">
        <f>+SUMIFS('Input Data'!$BH:$BH,'Input Data'!$G:$G,$C54,'Input Data'!$V:$V,"FUL")</f>
        <v>8659793.8000000007</v>
      </c>
      <c r="O54" s="21">
        <f t="shared" si="11"/>
        <v>8659793.8000000007</v>
      </c>
      <c r="P54" s="21">
        <f t="shared" si="12"/>
        <v>0</v>
      </c>
      <c r="Q54" s="191">
        <f t="shared" si="13"/>
        <v>8659793.8000000007</v>
      </c>
      <c r="R54" s="48">
        <f>+SUMIFS('Input Data'!$AK:$AK,'Input Data'!$G:$G,$C54,'Input Data'!$V:$V,"FIID")</f>
        <v>0</v>
      </c>
      <c r="S54" s="21">
        <f>+SUMIFS('Input Data'!$AY:$AY,'Input Data'!$G:$G,$C54,'Input Data'!$V:$V,"FIID")</f>
        <v>0</v>
      </c>
      <c r="T54" s="21">
        <f>+SUMIFS('Input Data'!$AO:$AO,'Input Data'!$G:$G,$C54,'Input Data'!$V:$V,"FIID")</f>
        <v>0</v>
      </c>
      <c r="U54" s="21">
        <f>+SUMIFS('Input Data'!$BH:$BH,'Input Data'!$G:$G,$C54,'Input Data'!$V:$V,"FIID")</f>
        <v>0</v>
      </c>
      <c r="V54" s="21">
        <f t="shared" si="14"/>
        <v>0</v>
      </c>
      <c r="W54" s="21">
        <f t="shared" si="15"/>
        <v>0</v>
      </c>
      <c r="X54" s="191">
        <f t="shared" si="16"/>
        <v>0</v>
      </c>
      <c r="Y54" s="48">
        <f>+SUMIFS('Input Data'!$AK:$AK,'Input Data'!$G:$G,$C54,'Input Data'!$V:$V,"FIBL")</f>
        <v>0</v>
      </c>
      <c r="Z54" s="21">
        <f>+SUMIFS('Input Data'!$AH:$AH,'Input Data'!$G:$G,$C54)</f>
        <v>676546.390625</v>
      </c>
      <c r="AA54" s="21">
        <f>+SUMIFS('Input Data'!$AY:$AY,'Input Data'!$G:$G,$C54,'Input Data'!$V:$V,"FIBL")</f>
        <v>0</v>
      </c>
      <c r="AB54" s="431">
        <f>+SUMIFS('Input Data'!$AO:$AO,'Input Data'!$G:$G,$C54,'Input Data'!$V:$V,"FIBL")</f>
        <v>0</v>
      </c>
      <c r="AC54" s="21">
        <v>0</v>
      </c>
      <c r="AD54" s="21">
        <f t="shared" si="17"/>
        <v>0</v>
      </c>
      <c r="AE54" s="21">
        <v>0</v>
      </c>
      <c r="AF54" s="191">
        <f t="shared" si="18"/>
        <v>0</v>
      </c>
      <c r="AK54" s="46">
        <f t="shared" si="19"/>
        <v>8659793.8000000007</v>
      </c>
      <c r="AL54" s="46">
        <f>+SUMIFS('Input Data'!$BE:$BE,'Input Data'!$G:$G,$C54)</f>
        <v>1804123.7083333335</v>
      </c>
      <c r="AM54" s="46">
        <f t="shared" si="10"/>
        <v>11140463.898958335</v>
      </c>
    </row>
    <row r="55" spans="2:39" x14ac:dyDescent="0.35">
      <c r="B55" t="str">
        <v>THAICOM 8</v>
      </c>
      <c r="C55">
        <v>9688</v>
      </c>
      <c r="D55" s="48">
        <f>+SUMIFS('Input Data'!$AK:$AK,'Input Data'!$G:$G,$C55)</f>
        <v>11134020.6</v>
      </c>
      <c r="E55" s="21">
        <f>+SUMIFS('Input Data'!$AH:$AH,'Input Data'!$G:$G,$C55)</f>
        <v>347938.14374999999</v>
      </c>
      <c r="F55" s="21">
        <f>+SUMIFS('Input Data'!$AY:$AY,'Input Data'!$G:$G,$C55)</f>
        <v>2226804.12</v>
      </c>
      <c r="G55" s="21">
        <f>+SUMIFS('Input Data'!AO:AO,'Input Data'!$G:$G,$C55)</f>
        <v>0</v>
      </c>
      <c r="H55" s="21">
        <v>0</v>
      </c>
      <c r="I55" s="191">
        <f>+SUMIFS('Input Data'!$BF:$BF,'Input Data'!$G:$G,$C55)</f>
        <v>8907216.4800000004</v>
      </c>
      <c r="J55" s="21">
        <f t="shared" si="3"/>
        <v>10182989.673750002</v>
      </c>
      <c r="K55" s="48">
        <f>+SUMIFS('Input Data'!$AK:$AK,'Input Data'!$G:$G,$C55,'Input Data'!$V:$V,"FUL")</f>
        <v>11134020.6</v>
      </c>
      <c r="L55" s="21">
        <f>+SUMIFS('Input Data'!$AY:$AY,'Input Data'!$G:$G,$C55,'Input Data'!$V:$V,"FUL")</f>
        <v>2226804.12</v>
      </c>
      <c r="M55" s="21">
        <f>+SUMIFS('Input Data'!$AO:$AO,'Input Data'!$G:$G,$C55,'Input Data'!$V:$V,"FUL")</f>
        <v>0</v>
      </c>
      <c r="N55" s="21">
        <f>+SUMIFS('Input Data'!$BH:$BH,'Input Data'!$G:$G,$C55,'Input Data'!$V:$V,"FUL")</f>
        <v>4453608.24</v>
      </c>
      <c r="O55" s="21">
        <f t="shared" si="11"/>
        <v>4453608.24</v>
      </c>
      <c r="P55" s="21">
        <f t="shared" si="12"/>
        <v>0</v>
      </c>
      <c r="Q55" s="191">
        <f t="shared" si="13"/>
        <v>4453608.24</v>
      </c>
      <c r="R55" s="48">
        <f>+SUMIFS('Input Data'!$AK:$AK,'Input Data'!$G:$G,$C55,'Input Data'!$V:$V,"FIID")</f>
        <v>0</v>
      </c>
      <c r="S55" s="21">
        <f>+SUMIFS('Input Data'!$AY:$AY,'Input Data'!$G:$G,$C55,'Input Data'!$V:$V,"FIID")</f>
        <v>0</v>
      </c>
      <c r="T55" s="21">
        <f>+SUMIFS('Input Data'!$AO:$AO,'Input Data'!$G:$G,$C55,'Input Data'!$V:$V,"FIID")</f>
        <v>0</v>
      </c>
      <c r="U55" s="21">
        <f>+SUMIFS('Input Data'!$BH:$BH,'Input Data'!$G:$G,$C55,'Input Data'!$V:$V,"FIID")</f>
        <v>0</v>
      </c>
      <c r="V55" s="21">
        <f t="shared" si="14"/>
        <v>0</v>
      </c>
      <c r="W55" s="21">
        <f t="shared" si="15"/>
        <v>0</v>
      </c>
      <c r="X55" s="191">
        <f t="shared" si="16"/>
        <v>0</v>
      </c>
      <c r="Y55" s="48">
        <f>+SUMIFS('Input Data'!$AK:$AK,'Input Data'!$G:$G,$C55,'Input Data'!$V:$V,"FIBL")</f>
        <v>0</v>
      </c>
      <c r="Z55" s="21">
        <f>+SUMIFS('Input Data'!$AH:$AH,'Input Data'!$G:$G,$C55)</f>
        <v>347938.14374999999</v>
      </c>
      <c r="AA55" s="21">
        <f>+SUMIFS('Input Data'!$AY:$AY,'Input Data'!$G:$G,$C55,'Input Data'!$V:$V,"FIBL")</f>
        <v>0</v>
      </c>
      <c r="AB55" s="431">
        <f>+SUMIFS('Input Data'!$AO:$AO,'Input Data'!$G:$G,$C55,'Input Data'!$V:$V,"FIBL")</f>
        <v>0</v>
      </c>
      <c r="AC55" s="21">
        <v>0</v>
      </c>
      <c r="AD55" s="21">
        <f t="shared" si="17"/>
        <v>0</v>
      </c>
      <c r="AE55" s="21">
        <v>0</v>
      </c>
      <c r="AF55" s="191">
        <f t="shared" si="18"/>
        <v>0</v>
      </c>
      <c r="AK55" s="46">
        <f t="shared" si="19"/>
        <v>4453608.24</v>
      </c>
      <c r="AL55" s="46">
        <f>+SUMIFS('Input Data'!$BE:$BE,'Input Data'!$G:$G,$C55)</f>
        <v>927835.05</v>
      </c>
      <c r="AM55" s="46">
        <f t="shared" si="10"/>
        <v>5729381.4337499999</v>
      </c>
    </row>
    <row r="56" spans="2:39" x14ac:dyDescent="0.35">
      <c r="B56" t="str">
        <v>INMARSAT 6-F1</v>
      </c>
      <c r="C56">
        <v>10590</v>
      </c>
      <c r="D56" s="48">
        <f>+SUMIFS('Input Data'!$AK:$AK,'Input Data'!$G:$G,$C56)</f>
        <v>30041791.496321999</v>
      </c>
      <c r="E56" s="21">
        <f>+SUMIFS('Input Data'!$AH:$AH,'Input Data'!$G:$G,$C56)</f>
        <v>938805.98426006245</v>
      </c>
      <c r="F56" s="21">
        <f>+SUMIFS('Input Data'!$AY:$AY,'Input Data'!$G:$G,$C56)</f>
        <v>6008358.2992644003</v>
      </c>
      <c r="G56" s="21">
        <f>+SUMIFS('Input Data'!AO:AO,'Input Data'!$G:$G,$C56)</f>
        <v>0</v>
      </c>
      <c r="H56" s="21">
        <v>0</v>
      </c>
      <c r="I56" s="191">
        <f>+SUMIFS('Input Data'!$BF:$BF,'Input Data'!$G:$G,$C56)</f>
        <v>24033433.197057601</v>
      </c>
      <c r="J56" s="21">
        <f t="shared" si="3"/>
        <v>24972239.181317665</v>
      </c>
      <c r="K56" s="48">
        <f>+SUMIFS('Input Data'!$AK:$AK,'Input Data'!$G:$G,$C56,'Input Data'!$V:$V,"FUL")</f>
        <v>30041791.496321999</v>
      </c>
      <c r="L56" s="21">
        <f>+SUMIFS('Input Data'!$AY:$AY,'Input Data'!$G:$G,$C56,'Input Data'!$V:$V,"FUL")</f>
        <v>6008358.2992644003</v>
      </c>
      <c r="M56" s="21">
        <f>+SUMIFS('Input Data'!$AO:$AO,'Input Data'!$G:$G,$C56,'Input Data'!$V:$V,"FUL")</f>
        <v>0</v>
      </c>
      <c r="N56" s="21">
        <f>+SUMIFS('Input Data'!$BH:$BH,'Input Data'!$G:$G,$C56,'Input Data'!$V:$V,"FUL")</f>
        <v>12016716.598528801</v>
      </c>
      <c r="O56" s="21">
        <f t="shared" si="11"/>
        <v>12016716.598528797</v>
      </c>
      <c r="P56" s="21">
        <f t="shared" si="12"/>
        <v>0</v>
      </c>
      <c r="Q56" s="191">
        <f t="shared" si="13"/>
        <v>12016716.598528797</v>
      </c>
      <c r="R56" s="48">
        <f>+SUMIFS('Input Data'!$AK:$AK,'Input Data'!$G:$G,$C56,'Input Data'!$V:$V,"FIID")</f>
        <v>0</v>
      </c>
      <c r="S56" s="21">
        <f>+SUMIFS('Input Data'!$AY:$AY,'Input Data'!$G:$G,$C56,'Input Data'!$V:$V,"FIID")</f>
        <v>0</v>
      </c>
      <c r="T56" s="21">
        <f>+SUMIFS('Input Data'!$AO:$AO,'Input Data'!$G:$G,$C56,'Input Data'!$V:$V,"FIID")</f>
        <v>0</v>
      </c>
      <c r="U56" s="21">
        <f>+SUMIFS('Input Data'!$BH:$BH,'Input Data'!$G:$G,$C56,'Input Data'!$V:$V,"FIID")</f>
        <v>0</v>
      </c>
      <c r="V56" s="21">
        <f t="shared" si="14"/>
        <v>0</v>
      </c>
      <c r="W56" s="21">
        <f t="shared" si="15"/>
        <v>0</v>
      </c>
      <c r="X56" s="191">
        <f t="shared" si="16"/>
        <v>0</v>
      </c>
      <c r="Y56" s="48">
        <f>+SUMIFS('Input Data'!$AK:$AK,'Input Data'!$G:$G,$C56,'Input Data'!$V:$V,"FIBL")</f>
        <v>0</v>
      </c>
      <c r="Z56" s="21">
        <f>+SUMIFS('Input Data'!$AH:$AH,'Input Data'!$G:$G,$C56)</f>
        <v>938805.98426006245</v>
      </c>
      <c r="AA56" s="21">
        <f>+SUMIFS('Input Data'!$AY:$AY,'Input Data'!$G:$G,$C56,'Input Data'!$V:$V,"FIBL")</f>
        <v>0</v>
      </c>
      <c r="AB56" s="431">
        <f>+SUMIFS('Input Data'!$AO:$AO,'Input Data'!$G:$G,$C56,'Input Data'!$V:$V,"FIBL")</f>
        <v>0</v>
      </c>
      <c r="AC56" s="21">
        <v>0</v>
      </c>
      <c r="AD56" s="21">
        <f t="shared" si="17"/>
        <v>0</v>
      </c>
      <c r="AE56" s="21">
        <v>0</v>
      </c>
      <c r="AF56" s="191">
        <f t="shared" si="18"/>
        <v>0</v>
      </c>
      <c r="AK56" s="46">
        <f t="shared" si="19"/>
        <v>12016716.598528801</v>
      </c>
      <c r="AL56" s="46">
        <f>+SUMIFS('Input Data'!$BE:$BE,'Input Data'!$G:$G,$C56)</f>
        <v>0</v>
      </c>
      <c r="AM56" s="46">
        <f t="shared" si="10"/>
        <v>12955522.582788862</v>
      </c>
    </row>
    <row r="57" spans="2:39" x14ac:dyDescent="0.35">
      <c r="B57" t="str">
        <v>HYLAS 4</v>
      </c>
      <c r="C57">
        <v>10153</v>
      </c>
      <c r="D57" s="48">
        <f>+SUMIFS('Input Data'!$AK:$AK,'Input Data'!$G:$G,$C57)</f>
        <v>12061855.65</v>
      </c>
      <c r="E57" s="21">
        <f>+SUMIFS('Input Data'!$AH:$AH,'Input Data'!$G:$G,$C57)</f>
        <v>376932.98906250001</v>
      </c>
      <c r="F57" s="21">
        <f>+SUMIFS('Input Data'!$AY:$AY,'Input Data'!$G:$G,$C57)</f>
        <v>2412371.1300000004</v>
      </c>
      <c r="G57" s="21">
        <f>+SUMIFS('Input Data'!AO:AO,'Input Data'!$G:$G,$C57)</f>
        <v>0</v>
      </c>
      <c r="H57" s="21">
        <v>0</v>
      </c>
      <c r="I57" s="191">
        <f>+SUMIFS('Input Data'!$BF:$BF,'Input Data'!$G:$G,$C57)</f>
        <v>9649484.5200000014</v>
      </c>
      <c r="J57" s="21">
        <f t="shared" si="3"/>
        <v>11031572.1465625</v>
      </c>
      <c r="K57" s="48">
        <f>+SUMIFS('Input Data'!$AK:$AK,'Input Data'!$G:$G,$C57,'Input Data'!$V:$V,"FUL")</f>
        <v>12061855.65</v>
      </c>
      <c r="L57" s="21">
        <f>+SUMIFS('Input Data'!$AY:$AY,'Input Data'!$G:$G,$C57,'Input Data'!$V:$V,"FUL")</f>
        <v>2412371.1300000004</v>
      </c>
      <c r="M57" s="21">
        <f>+SUMIFS('Input Data'!$AO:$AO,'Input Data'!$G:$G,$C57,'Input Data'!$V:$V,"FUL")</f>
        <v>0</v>
      </c>
      <c r="N57" s="21">
        <f>+SUMIFS('Input Data'!$BH:$BH,'Input Data'!$G:$G,$C57,'Input Data'!$V:$V,"FUL")</f>
        <v>4824742.2600000007</v>
      </c>
      <c r="O57" s="21">
        <f t="shared" si="11"/>
        <v>4824742.2599999988</v>
      </c>
      <c r="P57" s="21">
        <f t="shared" si="12"/>
        <v>0</v>
      </c>
      <c r="Q57" s="191">
        <f t="shared" si="13"/>
        <v>4824742.2599999988</v>
      </c>
      <c r="R57" s="48">
        <f>+SUMIFS('Input Data'!$AK:$AK,'Input Data'!$G:$G,$C57,'Input Data'!$V:$V,"FIID")</f>
        <v>0</v>
      </c>
      <c r="S57" s="21">
        <f>+SUMIFS('Input Data'!$AY:$AY,'Input Data'!$G:$G,$C57,'Input Data'!$V:$V,"FIID")</f>
        <v>0</v>
      </c>
      <c r="T57" s="21">
        <f>+SUMIFS('Input Data'!$AO:$AO,'Input Data'!$G:$G,$C57,'Input Data'!$V:$V,"FIID")</f>
        <v>0</v>
      </c>
      <c r="U57" s="21">
        <f>+SUMIFS('Input Data'!$BH:$BH,'Input Data'!$G:$G,$C57,'Input Data'!$V:$V,"FIID")</f>
        <v>0</v>
      </c>
      <c r="V57" s="21">
        <f t="shared" si="14"/>
        <v>0</v>
      </c>
      <c r="W57" s="21">
        <f t="shared" si="15"/>
        <v>0</v>
      </c>
      <c r="X57" s="191">
        <f t="shared" si="16"/>
        <v>0</v>
      </c>
      <c r="Y57" s="48">
        <f>+SUMIFS('Input Data'!$AK:$AK,'Input Data'!$G:$G,$C57,'Input Data'!$V:$V,"FIBL")</f>
        <v>0</v>
      </c>
      <c r="Z57" s="21">
        <f>+SUMIFS('Input Data'!$AH:$AH,'Input Data'!$G:$G,$C57)</f>
        <v>376932.98906250001</v>
      </c>
      <c r="AA57" s="21">
        <f>+SUMIFS('Input Data'!$AY:$AY,'Input Data'!$G:$G,$C57,'Input Data'!$V:$V,"FIBL")</f>
        <v>0</v>
      </c>
      <c r="AB57" s="431">
        <f>+SUMIFS('Input Data'!$AO:$AO,'Input Data'!$G:$G,$C57,'Input Data'!$V:$V,"FIBL")</f>
        <v>0</v>
      </c>
      <c r="AC57" s="21">
        <v>0</v>
      </c>
      <c r="AD57" s="21">
        <f t="shared" si="17"/>
        <v>0</v>
      </c>
      <c r="AE57" s="21">
        <v>0</v>
      </c>
      <c r="AF57" s="191">
        <f t="shared" si="18"/>
        <v>0</v>
      </c>
      <c r="AK57" s="46">
        <f t="shared" si="19"/>
        <v>4824742.2600000007</v>
      </c>
      <c r="AL57" s="46">
        <f>+SUMIFS('Input Data'!$BE:$BE,'Input Data'!$G:$G,$C57)</f>
        <v>1005154.6375000001</v>
      </c>
      <c r="AM57" s="46">
        <f t="shared" si="10"/>
        <v>6206829.8865625011</v>
      </c>
    </row>
    <row r="58" spans="2:39" x14ac:dyDescent="0.35">
      <c r="B58" t="str">
        <v>TURKSAT 6A</v>
      </c>
      <c r="C58">
        <v>9785</v>
      </c>
      <c r="D58" s="48">
        <f>+SUMIFS('Input Data'!$AK:$AK,'Input Data'!$G:$G,$C58)</f>
        <v>7422681.0185566898</v>
      </c>
      <c r="E58" s="21">
        <f>+SUMIFS('Input Data'!$AH:$AH,'Input Data'!$G:$G,$C58)</f>
        <v>231958.78182989659</v>
      </c>
      <c r="F58" s="21">
        <f>+SUMIFS('Input Data'!$AY:$AY,'Input Data'!$G:$G,$C58)</f>
        <v>1484536.2037113381</v>
      </c>
      <c r="G58" s="21">
        <f>+SUMIFS('Input Data'!AO:AO,'Input Data'!$G:$G,$C58)</f>
        <v>0</v>
      </c>
      <c r="H58" s="21">
        <v>0</v>
      </c>
      <c r="I58" s="191">
        <f>+SUMIFS('Input Data'!$BF:$BF,'Input Data'!$G:$G,$C58)</f>
        <v>5938144.8148453515</v>
      </c>
      <c r="J58" s="21">
        <f t="shared" si="3"/>
        <v>6788660.3482216392</v>
      </c>
      <c r="K58" s="48">
        <f>+SUMIFS('Input Data'!$AK:$AK,'Input Data'!$G:$G,$C58,'Input Data'!$V:$V,"FUL")</f>
        <v>7422681.0185566898</v>
      </c>
      <c r="L58" s="21">
        <f>+SUMIFS('Input Data'!$AY:$AY,'Input Data'!$G:$G,$C58,'Input Data'!$V:$V,"FUL")</f>
        <v>1484536.2037113381</v>
      </c>
      <c r="M58" s="21">
        <f>+SUMIFS('Input Data'!$AO:$AO,'Input Data'!$G:$G,$C58,'Input Data'!$V:$V,"FUL")</f>
        <v>0</v>
      </c>
      <c r="N58" s="21">
        <f>+SUMIFS('Input Data'!$BH:$BH,'Input Data'!$G:$G,$C58,'Input Data'!$V:$V,"FUL")</f>
        <v>2969072.4074226758</v>
      </c>
      <c r="O58" s="21">
        <f t="shared" si="11"/>
        <v>2969072.4074226758</v>
      </c>
      <c r="P58" s="21">
        <f t="shared" si="12"/>
        <v>0</v>
      </c>
      <c r="Q58" s="191">
        <f t="shared" si="13"/>
        <v>2969072.4074226758</v>
      </c>
      <c r="R58" s="48">
        <f>+SUMIFS('Input Data'!$AK:$AK,'Input Data'!$G:$G,$C58,'Input Data'!$V:$V,"FIID")</f>
        <v>0</v>
      </c>
      <c r="S58" s="21">
        <f>+SUMIFS('Input Data'!$AY:$AY,'Input Data'!$G:$G,$C58,'Input Data'!$V:$V,"FIID")</f>
        <v>0</v>
      </c>
      <c r="T58" s="21">
        <f>+SUMIFS('Input Data'!$AO:$AO,'Input Data'!$G:$G,$C58,'Input Data'!$V:$V,"FIID")</f>
        <v>0</v>
      </c>
      <c r="U58" s="21">
        <f>+SUMIFS('Input Data'!$BH:$BH,'Input Data'!$G:$G,$C58,'Input Data'!$V:$V,"FIID")</f>
        <v>0</v>
      </c>
      <c r="V58" s="21">
        <f t="shared" si="14"/>
        <v>0</v>
      </c>
      <c r="W58" s="21">
        <f t="shared" si="15"/>
        <v>0</v>
      </c>
      <c r="X58" s="191">
        <f t="shared" si="16"/>
        <v>0</v>
      </c>
      <c r="Y58" s="48">
        <f>+SUMIFS('Input Data'!$AK:$AK,'Input Data'!$G:$G,$C58,'Input Data'!$V:$V,"FIBL")</f>
        <v>0</v>
      </c>
      <c r="Z58" s="21">
        <f>+SUMIFS('Input Data'!$AH:$AH,'Input Data'!$G:$G,$C58)</f>
        <v>231958.78182989659</v>
      </c>
      <c r="AA58" s="21">
        <f>+SUMIFS('Input Data'!$AY:$AY,'Input Data'!$G:$G,$C58,'Input Data'!$V:$V,"FIBL")</f>
        <v>0</v>
      </c>
      <c r="AB58" s="431">
        <f>+SUMIFS('Input Data'!$AO:$AO,'Input Data'!$G:$G,$C58,'Input Data'!$V:$V,"FIBL")</f>
        <v>0</v>
      </c>
      <c r="AC58" s="21">
        <v>0</v>
      </c>
      <c r="AD58" s="21">
        <f t="shared" si="17"/>
        <v>0</v>
      </c>
      <c r="AE58" s="21">
        <v>0</v>
      </c>
      <c r="AF58" s="191">
        <f t="shared" si="18"/>
        <v>0</v>
      </c>
      <c r="AK58" s="46">
        <f t="shared" si="19"/>
        <v>2969072.4074226758</v>
      </c>
      <c r="AL58" s="46">
        <f>+SUMIFS('Input Data'!$BE:$BE,'Input Data'!$G:$G,$C58)</f>
        <v>618556.75154639094</v>
      </c>
      <c r="AM58" s="46">
        <f t="shared" si="10"/>
        <v>3819587.940798963</v>
      </c>
    </row>
    <row r="59" spans="2:39" x14ac:dyDescent="0.35">
      <c r="B59" t="str">
        <v>WORLDVIEW LEGION-1</v>
      </c>
      <c r="C59">
        <v>12485</v>
      </c>
      <c r="D59" s="48">
        <f>+SUMIFS('Input Data'!$AK:$AK,'Input Data'!$G:$G,$C59)</f>
        <v>16864839.574226782</v>
      </c>
      <c r="E59" s="21">
        <f>+SUMIFS('Input Data'!$AH:$AH,'Input Data'!$G:$G,$C59)</f>
        <v>582173.73669458681</v>
      </c>
      <c r="F59" s="21">
        <f>+SUMIFS('Input Data'!$AY:$AY,'Input Data'!$G:$G,$C59)</f>
        <v>3372967.9148453558</v>
      </c>
      <c r="G59" s="21">
        <f>+SUMIFS('Input Data'!AO:AO,'Input Data'!$G:$G,$C59)</f>
        <v>0</v>
      </c>
      <c r="H59" s="21">
        <v>0</v>
      </c>
      <c r="I59" s="191">
        <f>+SUMIFS('Input Data'!$BF:$BF,'Input Data'!$G:$G,$C59)</f>
        <v>13491871.659381423</v>
      </c>
      <c r="J59" s="21">
        <f t="shared" si="3"/>
        <v>15626508.693928242</v>
      </c>
      <c r="K59" s="48">
        <f>+SUMIFS('Input Data'!$AK:$AK,'Input Data'!$G:$G,$C59,'Input Data'!$V:$V,"FUL")</f>
        <v>16864839.574226782</v>
      </c>
      <c r="L59" s="21">
        <f>+SUMIFS('Input Data'!$AY:$AY,'Input Data'!$G:$G,$C59,'Input Data'!$V:$V,"FUL")</f>
        <v>3372967.9148453558</v>
      </c>
      <c r="M59" s="21">
        <f>+SUMIFS('Input Data'!$AO:$AO,'Input Data'!$G:$G,$C59,'Input Data'!$V:$V,"FUL")</f>
        <v>0</v>
      </c>
      <c r="N59" s="21">
        <f>+SUMIFS('Input Data'!$BH:$BH,'Input Data'!$G:$G,$C59,'Input Data'!$V:$V,"FUL")</f>
        <v>6745935.8296907116</v>
      </c>
      <c r="O59" s="21">
        <f t="shared" si="11"/>
        <v>6745935.8296907153</v>
      </c>
      <c r="P59" s="21">
        <f t="shared" si="12"/>
        <v>0</v>
      </c>
      <c r="Q59" s="191">
        <f t="shared" si="13"/>
        <v>6745935.8296907153</v>
      </c>
      <c r="R59" s="48">
        <f>+SUMIFS('Input Data'!$AK:$AK,'Input Data'!$G:$G,$C59,'Input Data'!$V:$V,"FIID")</f>
        <v>0</v>
      </c>
      <c r="S59" s="21">
        <f>+SUMIFS('Input Data'!$AY:$AY,'Input Data'!$G:$G,$C59,'Input Data'!$V:$V,"FIID")</f>
        <v>0</v>
      </c>
      <c r="T59" s="21">
        <f>+SUMIFS('Input Data'!$AO:$AO,'Input Data'!$G:$G,$C59,'Input Data'!$V:$V,"FIID")</f>
        <v>0</v>
      </c>
      <c r="U59" s="21">
        <f>+SUMIFS('Input Data'!$BH:$BH,'Input Data'!$G:$G,$C59,'Input Data'!$V:$V,"FIID")</f>
        <v>0</v>
      </c>
      <c r="V59" s="21">
        <f t="shared" si="14"/>
        <v>0</v>
      </c>
      <c r="W59" s="21">
        <f t="shared" si="15"/>
        <v>0</v>
      </c>
      <c r="X59" s="191">
        <f t="shared" si="16"/>
        <v>0</v>
      </c>
      <c r="Y59" s="48">
        <f>+SUMIFS('Input Data'!$AK:$AK,'Input Data'!$G:$G,$C59,'Input Data'!$V:$V,"FIBL")</f>
        <v>0</v>
      </c>
      <c r="Z59" s="21">
        <f>+SUMIFS('Input Data'!$AH:$AH,'Input Data'!$G:$G,$C59)</f>
        <v>582173.73669458681</v>
      </c>
      <c r="AA59" s="21">
        <f>+SUMIFS('Input Data'!$AY:$AY,'Input Data'!$G:$G,$C59,'Input Data'!$V:$V,"FIBL")</f>
        <v>0</v>
      </c>
      <c r="AB59" s="431">
        <f>+SUMIFS('Input Data'!$AO:$AO,'Input Data'!$G:$G,$C59,'Input Data'!$V:$V,"FIBL")</f>
        <v>0</v>
      </c>
      <c r="AC59" s="21">
        <v>0</v>
      </c>
      <c r="AD59" s="21">
        <f t="shared" si="17"/>
        <v>0</v>
      </c>
      <c r="AE59" s="21">
        <v>0</v>
      </c>
      <c r="AF59" s="191">
        <f t="shared" si="18"/>
        <v>0</v>
      </c>
      <c r="AK59" s="46">
        <f t="shared" si="19"/>
        <v>6745935.8296907116</v>
      </c>
      <c r="AL59" s="46">
        <f>+SUMIFS('Input Data'!$BE:$BE,'Input Data'!$G:$G,$C59)</f>
        <v>1552463.2978522317</v>
      </c>
      <c r="AM59" s="46">
        <f t="shared" si="10"/>
        <v>8880572.8642375302</v>
      </c>
    </row>
    <row r="60" spans="2:39" x14ac:dyDescent="0.35">
      <c r="B60" t="str">
        <v>WORLDVIEW LEGION-2</v>
      </c>
      <c r="C60">
        <v>12486</v>
      </c>
      <c r="D60" s="48">
        <f>+SUMIFS('Input Data'!$AK:$AK,'Input Data'!$G:$G,$C60)</f>
        <v>20885459.361340169</v>
      </c>
      <c r="E60" s="21">
        <f>+SUMIFS('Input Data'!$AH:$AH,'Input Data'!$G:$G,$C60)</f>
        <v>707818.10504188028</v>
      </c>
      <c r="F60" s="21">
        <f>+SUMIFS('Input Data'!$AY:$AY,'Input Data'!$G:$G,$C60)</f>
        <v>4177091.8722680341</v>
      </c>
      <c r="G60" s="21">
        <f>+SUMIFS('Input Data'!AO:AO,'Input Data'!$G:$G,$C60)</f>
        <v>0</v>
      </c>
      <c r="H60" s="21">
        <v>0</v>
      </c>
      <c r="I60" s="191">
        <f>+SUMIFS('Input Data'!$BF:$BF,'Input Data'!$G:$G,$C60)</f>
        <v>16708367.489072137</v>
      </c>
      <c r="J60" s="21">
        <f t="shared" si="3"/>
        <v>19303700.540892363</v>
      </c>
      <c r="K60" s="48">
        <f>+SUMIFS('Input Data'!$AK:$AK,'Input Data'!$G:$G,$C60,'Input Data'!$V:$V,"FUL")</f>
        <v>20885459.361340169</v>
      </c>
      <c r="L60" s="21">
        <f>+SUMIFS('Input Data'!$AY:$AY,'Input Data'!$G:$G,$C60,'Input Data'!$V:$V,"FUL")</f>
        <v>4177091.8722680341</v>
      </c>
      <c r="M60" s="21">
        <f>+SUMIFS('Input Data'!$AO:$AO,'Input Data'!$G:$G,$C60,'Input Data'!$V:$V,"FUL")</f>
        <v>0</v>
      </c>
      <c r="N60" s="21">
        <f>+SUMIFS('Input Data'!$BH:$BH,'Input Data'!$G:$G,$C60,'Input Data'!$V:$V,"FUL")</f>
        <v>8354183.7445360683</v>
      </c>
      <c r="O60" s="21">
        <f t="shared" si="11"/>
        <v>8354183.7445360664</v>
      </c>
      <c r="P60" s="21">
        <f t="shared" si="12"/>
        <v>0</v>
      </c>
      <c r="Q60" s="191">
        <f t="shared" si="13"/>
        <v>8354183.7445360664</v>
      </c>
      <c r="R60" s="48">
        <f>+SUMIFS('Input Data'!$AK:$AK,'Input Data'!$G:$G,$C60,'Input Data'!$V:$V,"FIID")</f>
        <v>0</v>
      </c>
      <c r="S60" s="21">
        <f>+SUMIFS('Input Data'!$AY:$AY,'Input Data'!$G:$G,$C60,'Input Data'!$V:$V,"FIID")</f>
        <v>0</v>
      </c>
      <c r="T60" s="21">
        <f>+SUMIFS('Input Data'!$AO:$AO,'Input Data'!$G:$G,$C60,'Input Data'!$V:$V,"FIID")</f>
        <v>0</v>
      </c>
      <c r="U60" s="21">
        <f>+SUMIFS('Input Data'!$BH:$BH,'Input Data'!$G:$G,$C60,'Input Data'!$V:$V,"FIID")</f>
        <v>0</v>
      </c>
      <c r="V60" s="21">
        <f t="shared" si="14"/>
        <v>0</v>
      </c>
      <c r="W60" s="21">
        <f t="shared" si="15"/>
        <v>0</v>
      </c>
      <c r="X60" s="191">
        <f t="shared" si="16"/>
        <v>0</v>
      </c>
      <c r="Y60" s="48">
        <f>+SUMIFS('Input Data'!$AK:$AK,'Input Data'!$G:$G,$C60,'Input Data'!$V:$V,"FIBL")</f>
        <v>0</v>
      </c>
      <c r="Z60" s="21">
        <f>+SUMIFS('Input Data'!$AH:$AH,'Input Data'!$G:$G,$C60)</f>
        <v>707818.10504188028</v>
      </c>
      <c r="AA60" s="21">
        <f>+SUMIFS('Input Data'!$AY:$AY,'Input Data'!$G:$G,$C60,'Input Data'!$V:$V,"FIBL")</f>
        <v>0</v>
      </c>
      <c r="AB60" s="431">
        <f>+SUMIFS('Input Data'!$AO:$AO,'Input Data'!$G:$G,$C60,'Input Data'!$V:$V,"FIBL")</f>
        <v>0</v>
      </c>
      <c r="AC60" s="21">
        <v>0</v>
      </c>
      <c r="AD60" s="21">
        <f t="shared" si="17"/>
        <v>0</v>
      </c>
      <c r="AE60" s="21">
        <v>0</v>
      </c>
      <c r="AF60" s="191">
        <f t="shared" si="18"/>
        <v>0</v>
      </c>
      <c r="AK60" s="46">
        <f t="shared" si="19"/>
        <v>8354183.7445360683</v>
      </c>
      <c r="AL60" s="46">
        <f>+SUMIFS('Input Data'!$BE:$BE,'Input Data'!$G:$G,$C60)</f>
        <v>1887514.9467783475</v>
      </c>
      <c r="AM60" s="46">
        <f t="shared" si="10"/>
        <v>10949516.796356296</v>
      </c>
    </row>
    <row r="61" spans="2:39" x14ac:dyDescent="0.35">
      <c r="B61" t="str">
        <v>WORLDVIEW LEGION-3</v>
      </c>
      <c r="C61">
        <v>12487</v>
      </c>
      <c r="D61" s="48">
        <f>+SUMIFS('Input Data'!$AK:$AK,'Input Data'!$G:$G,$C61)</f>
        <v>16864839.574226782</v>
      </c>
      <c r="E61" s="21">
        <f>+SUMIFS('Input Data'!$AH:$AH,'Input Data'!$G:$G,$C61)</f>
        <v>582173.73669458681</v>
      </c>
      <c r="F61" s="21">
        <f>+SUMIFS('Input Data'!$AY:$AY,'Input Data'!$G:$G,$C61)</f>
        <v>3372967.9148453558</v>
      </c>
      <c r="G61" s="21">
        <f>+SUMIFS('Input Data'!AO:AO,'Input Data'!$G:$G,$C61)</f>
        <v>0</v>
      </c>
      <c r="H61" s="21">
        <v>0</v>
      </c>
      <c r="I61" s="191">
        <f>+SUMIFS('Input Data'!$BF:$BF,'Input Data'!$G:$G,$C61)</f>
        <v>13491871.659381423</v>
      </c>
      <c r="J61" s="21">
        <f t="shared" si="3"/>
        <v>15626508.693928242</v>
      </c>
      <c r="K61" s="48">
        <f>+SUMIFS('Input Data'!$AK:$AK,'Input Data'!$G:$G,$C61,'Input Data'!$V:$V,"FUL")</f>
        <v>16864839.574226782</v>
      </c>
      <c r="L61" s="21">
        <f>+SUMIFS('Input Data'!$AY:$AY,'Input Data'!$G:$G,$C61,'Input Data'!$V:$V,"FUL")</f>
        <v>3372967.9148453558</v>
      </c>
      <c r="M61" s="21">
        <f>+SUMIFS('Input Data'!$AO:$AO,'Input Data'!$G:$G,$C61,'Input Data'!$V:$V,"FUL")</f>
        <v>0</v>
      </c>
      <c r="N61" s="21">
        <f>+SUMIFS('Input Data'!$BH:$BH,'Input Data'!$G:$G,$C61,'Input Data'!$V:$V,"FUL")</f>
        <v>6745935.8296907116</v>
      </c>
      <c r="O61" s="21">
        <f t="shared" si="11"/>
        <v>6745935.8296907153</v>
      </c>
      <c r="P61" s="21">
        <f t="shared" si="12"/>
        <v>0</v>
      </c>
      <c r="Q61" s="191">
        <f t="shared" si="13"/>
        <v>6745935.8296907153</v>
      </c>
      <c r="R61" s="48">
        <f>+SUMIFS('Input Data'!$AK:$AK,'Input Data'!$G:$G,$C61,'Input Data'!$V:$V,"FIID")</f>
        <v>0</v>
      </c>
      <c r="S61" s="21">
        <f>+SUMIFS('Input Data'!$AY:$AY,'Input Data'!$G:$G,$C61,'Input Data'!$V:$V,"FIID")</f>
        <v>0</v>
      </c>
      <c r="T61" s="21">
        <f>+SUMIFS('Input Data'!$AO:$AO,'Input Data'!$G:$G,$C61,'Input Data'!$V:$V,"FIID")</f>
        <v>0</v>
      </c>
      <c r="U61" s="21">
        <f>+SUMIFS('Input Data'!$BH:$BH,'Input Data'!$G:$G,$C61,'Input Data'!$V:$V,"FIID")</f>
        <v>0</v>
      </c>
      <c r="V61" s="21">
        <f t="shared" si="14"/>
        <v>0</v>
      </c>
      <c r="W61" s="21">
        <f t="shared" si="15"/>
        <v>0</v>
      </c>
      <c r="X61" s="191">
        <f t="shared" si="16"/>
        <v>0</v>
      </c>
      <c r="Y61" s="48">
        <f>+SUMIFS('Input Data'!$AK:$AK,'Input Data'!$G:$G,$C61,'Input Data'!$V:$V,"FIBL")</f>
        <v>0</v>
      </c>
      <c r="Z61" s="21">
        <f>+SUMIFS('Input Data'!$AH:$AH,'Input Data'!$G:$G,$C61)</f>
        <v>582173.73669458681</v>
      </c>
      <c r="AA61" s="21">
        <f>+SUMIFS('Input Data'!$AY:$AY,'Input Data'!$G:$G,$C61,'Input Data'!$V:$V,"FIBL")</f>
        <v>0</v>
      </c>
      <c r="AB61" s="431">
        <f>+SUMIFS('Input Data'!$AO:$AO,'Input Data'!$G:$G,$C61,'Input Data'!$V:$V,"FIBL")</f>
        <v>0</v>
      </c>
      <c r="AC61" s="21">
        <v>0</v>
      </c>
      <c r="AD61" s="21">
        <f t="shared" si="17"/>
        <v>0</v>
      </c>
      <c r="AE61" s="21">
        <v>0</v>
      </c>
      <c r="AF61" s="191">
        <f t="shared" si="18"/>
        <v>0</v>
      </c>
      <c r="AK61" s="46">
        <f t="shared" si="19"/>
        <v>6745935.8296907116</v>
      </c>
      <c r="AL61" s="46">
        <f>+SUMIFS('Input Data'!$BE:$BE,'Input Data'!$G:$G,$C61)</f>
        <v>1552463.2978522317</v>
      </c>
      <c r="AM61" s="46">
        <f t="shared" si="10"/>
        <v>8880572.8642375302</v>
      </c>
    </row>
    <row r="62" spans="2:39" x14ac:dyDescent="0.35">
      <c r="B62" t="str">
        <v>WORLDVIEW LEGION-4</v>
      </c>
      <c r="C62">
        <v>12488</v>
      </c>
      <c r="D62" s="48">
        <f>+SUMIFS('Input Data'!$AK:$AK,'Input Data'!$G:$G,$C62)</f>
        <v>12844219.787113391</v>
      </c>
      <c r="E62" s="21">
        <f>+SUMIFS('Input Data'!$AH:$AH,'Input Data'!$G:$G,$C62)</f>
        <v>456529.36834729341</v>
      </c>
      <c r="F62" s="21">
        <f>+SUMIFS('Input Data'!$AY:$AY,'Input Data'!$G:$G,$C62)</f>
        <v>2568843.9574226779</v>
      </c>
      <c r="G62" s="21">
        <f>+SUMIFS('Input Data'!AO:AO,'Input Data'!$G:$G,$C62)</f>
        <v>0</v>
      </c>
      <c r="H62" s="21">
        <v>0</v>
      </c>
      <c r="I62" s="191">
        <f>+SUMIFS('Input Data'!$BF:$BF,'Input Data'!$G:$G,$C62)</f>
        <v>10275375.829690712</v>
      </c>
      <c r="J62" s="21">
        <f t="shared" si="3"/>
        <v>11949316.846964121</v>
      </c>
      <c r="K62" s="48">
        <f>+SUMIFS('Input Data'!$AK:$AK,'Input Data'!$G:$G,$C62,'Input Data'!$V:$V,"FUL")</f>
        <v>12844219.787113391</v>
      </c>
      <c r="L62" s="21">
        <f>+SUMIFS('Input Data'!$AY:$AY,'Input Data'!$G:$G,$C62,'Input Data'!$V:$V,"FUL")</f>
        <v>2568843.9574226779</v>
      </c>
      <c r="M62" s="21">
        <f>+SUMIFS('Input Data'!$AO:$AO,'Input Data'!$G:$G,$C62,'Input Data'!$V:$V,"FUL")</f>
        <v>0</v>
      </c>
      <c r="N62" s="21">
        <f>+SUMIFS('Input Data'!$BH:$BH,'Input Data'!$G:$G,$C62,'Input Data'!$V:$V,"FUL")</f>
        <v>5137687.9148453558</v>
      </c>
      <c r="O62" s="21">
        <f t="shared" si="11"/>
        <v>5137687.9148453576</v>
      </c>
      <c r="P62" s="21">
        <f t="shared" si="12"/>
        <v>0</v>
      </c>
      <c r="Q62" s="191">
        <f t="shared" si="13"/>
        <v>5137687.9148453576</v>
      </c>
      <c r="R62" s="48">
        <f>+SUMIFS('Input Data'!$AK:$AK,'Input Data'!$G:$G,$C62,'Input Data'!$V:$V,"FIID")</f>
        <v>0</v>
      </c>
      <c r="S62" s="21">
        <f>+SUMIFS('Input Data'!$AY:$AY,'Input Data'!$G:$G,$C62,'Input Data'!$V:$V,"FIID")</f>
        <v>0</v>
      </c>
      <c r="T62" s="21">
        <f>+SUMIFS('Input Data'!$AO:$AO,'Input Data'!$G:$G,$C62,'Input Data'!$V:$V,"FIID")</f>
        <v>0</v>
      </c>
      <c r="U62" s="21">
        <f>+SUMIFS('Input Data'!$BH:$BH,'Input Data'!$G:$G,$C62,'Input Data'!$V:$V,"FIID")</f>
        <v>0</v>
      </c>
      <c r="V62" s="21">
        <f t="shared" si="14"/>
        <v>0</v>
      </c>
      <c r="W62" s="21">
        <f t="shared" si="15"/>
        <v>0</v>
      </c>
      <c r="X62" s="191">
        <f t="shared" si="16"/>
        <v>0</v>
      </c>
      <c r="Y62" s="48">
        <f>+SUMIFS('Input Data'!$AK:$AK,'Input Data'!$G:$G,$C62,'Input Data'!$V:$V,"FIBL")</f>
        <v>0</v>
      </c>
      <c r="Z62" s="21">
        <f>+SUMIFS('Input Data'!$AH:$AH,'Input Data'!$G:$G,$C62)</f>
        <v>456529.36834729341</v>
      </c>
      <c r="AA62" s="21">
        <f>+SUMIFS('Input Data'!$AY:$AY,'Input Data'!$G:$G,$C62,'Input Data'!$V:$V,"FIBL")</f>
        <v>0</v>
      </c>
      <c r="AB62" s="431">
        <f>+SUMIFS('Input Data'!$AO:$AO,'Input Data'!$G:$G,$C62,'Input Data'!$V:$V,"FIBL")</f>
        <v>0</v>
      </c>
      <c r="AC62" s="21">
        <v>0</v>
      </c>
      <c r="AD62" s="21">
        <f t="shared" si="17"/>
        <v>0</v>
      </c>
      <c r="AE62" s="21">
        <v>0</v>
      </c>
      <c r="AF62" s="191">
        <f t="shared" si="18"/>
        <v>0</v>
      </c>
      <c r="AK62" s="46">
        <f t="shared" si="19"/>
        <v>5137687.9148453558</v>
      </c>
      <c r="AL62" s="46">
        <f>+SUMIFS('Input Data'!$BE:$BE,'Input Data'!$G:$G,$C62)</f>
        <v>1217411.6489261158</v>
      </c>
      <c r="AM62" s="46">
        <f t="shared" si="10"/>
        <v>6811628.9321187651</v>
      </c>
    </row>
    <row r="63" spans="2:39" x14ac:dyDescent="0.35">
      <c r="B63" t="str">
        <v>PLEIADES NEO 3</v>
      </c>
      <c r="C63">
        <v>13887</v>
      </c>
      <c r="D63" s="48">
        <f>+SUMIFS('Input Data'!$AK:$AK,'Input Data'!$G:$G,$C63)</f>
        <v>10003270.3710598</v>
      </c>
      <c r="E63" s="21">
        <f>+SUMIFS('Input Data'!$AH:$AH,'Input Data'!$G:$G,$C63)</f>
        <v>312602.19909561874</v>
      </c>
      <c r="F63" s="21">
        <f>+SUMIFS('Input Data'!$AY:$AY,'Input Data'!$G:$G,$C63)</f>
        <v>2000654.07421196</v>
      </c>
      <c r="G63" s="21">
        <f>+SUMIFS('Input Data'!AO:AO,'Input Data'!$G:$G,$C63)</f>
        <v>0</v>
      </c>
      <c r="H63" s="21">
        <v>0</v>
      </c>
      <c r="I63" s="191">
        <f>+SUMIFS('Input Data'!$BF:$BF,'Input Data'!$G:$G,$C63)</f>
        <v>8002616.2968478398</v>
      </c>
      <c r="J63" s="21">
        <f t="shared" si="3"/>
        <v>9148824.3601984419</v>
      </c>
      <c r="K63" s="48">
        <f>+SUMIFS('Input Data'!$AK:$AK,'Input Data'!$G:$G,$C63,'Input Data'!$V:$V,"FUL")</f>
        <v>0</v>
      </c>
      <c r="L63" s="21">
        <f>+SUMIFS('Input Data'!$AY:$AY,'Input Data'!$G:$G,$C63,'Input Data'!$V:$V,"FUL")</f>
        <v>0</v>
      </c>
      <c r="M63" s="21">
        <f>+SUMIFS('Input Data'!$AO:$AO,'Input Data'!$G:$G,$C63,'Input Data'!$V:$V,"FUL")</f>
        <v>0</v>
      </c>
      <c r="N63" s="21">
        <f>+SUMIFS('Input Data'!$BH:$BH,'Input Data'!$G:$G,$C63,'Input Data'!$V:$V,"FUL")</f>
        <v>0</v>
      </c>
      <c r="O63" s="21">
        <f t="shared" si="11"/>
        <v>0</v>
      </c>
      <c r="P63" s="21">
        <f t="shared" si="12"/>
        <v>0</v>
      </c>
      <c r="Q63" s="191">
        <f t="shared" si="13"/>
        <v>0</v>
      </c>
      <c r="R63" s="48">
        <f>+SUMIFS('Input Data'!$AK:$AK,'Input Data'!$G:$G,$C63,'Input Data'!$V:$V,"FIID")</f>
        <v>10003270.3710598</v>
      </c>
      <c r="S63" s="21">
        <f>+SUMIFS('Input Data'!$AY:$AY,'Input Data'!$G:$G,$C63,'Input Data'!$V:$V,"FIID")</f>
        <v>2000654.07421196</v>
      </c>
      <c r="T63" s="21">
        <f>+SUMIFS('Input Data'!$AO:$AO,'Input Data'!$G:$G,$C63,'Input Data'!$V:$V,"FIID")</f>
        <v>0</v>
      </c>
      <c r="U63" s="21">
        <f>+SUMIFS('Input Data'!$BH:$BH,'Input Data'!$G:$G,$C63,'Input Data'!$V:$V,"FIID")</f>
        <v>6802223.8523206636</v>
      </c>
      <c r="V63" s="21">
        <f t="shared" si="14"/>
        <v>1200392.4445271762</v>
      </c>
      <c r="W63" s="21">
        <f t="shared" si="15"/>
        <v>0</v>
      </c>
      <c r="X63" s="191">
        <f t="shared" si="16"/>
        <v>1200392.4445271762</v>
      </c>
      <c r="Y63" s="48">
        <f>+SUMIFS('Input Data'!$AK:$AK,'Input Data'!$G:$G,$C63,'Input Data'!$V:$V,"FIBL")</f>
        <v>0</v>
      </c>
      <c r="Z63" s="21">
        <f>+SUMIFS('Input Data'!$AH:$AH,'Input Data'!$G:$G,$C63)</f>
        <v>312602.19909561874</v>
      </c>
      <c r="AA63" s="21">
        <f>+SUMIFS('Input Data'!$AY:$AY,'Input Data'!$G:$G,$C63,'Input Data'!$V:$V,"FIBL")</f>
        <v>0</v>
      </c>
      <c r="AB63" s="431">
        <f>+SUMIFS('Input Data'!$AO:$AO,'Input Data'!$G:$G,$C63,'Input Data'!$V:$V,"FIBL")</f>
        <v>0</v>
      </c>
      <c r="AC63" s="21">
        <v>0</v>
      </c>
      <c r="AD63" s="21">
        <f t="shared" si="17"/>
        <v>0</v>
      </c>
      <c r="AE63" s="21">
        <v>0</v>
      </c>
      <c r="AF63" s="191">
        <f t="shared" si="18"/>
        <v>0</v>
      </c>
      <c r="AK63" s="46">
        <f t="shared" si="19"/>
        <v>6802223.8523206636</v>
      </c>
      <c r="AL63" s="46">
        <f>+SUMIFS('Input Data'!$BE:$BE,'Input Data'!$G:$G,$C63)</f>
        <v>833605.86425498337</v>
      </c>
      <c r="AM63" s="46">
        <f t="shared" si="10"/>
        <v>7948431.9156712657</v>
      </c>
    </row>
    <row r="64" spans="2:39" x14ac:dyDescent="0.35">
      <c r="B64" t="str">
        <v>PLEIADES NEO 4</v>
      </c>
      <c r="C64">
        <v>13888</v>
      </c>
      <c r="D64" s="48">
        <f>+SUMIFS('Input Data'!$AK:$AK,'Input Data'!$G:$G,$C64)</f>
        <v>10003270.3710598</v>
      </c>
      <c r="E64" s="21">
        <f>+SUMIFS('Input Data'!$AH:$AH,'Input Data'!$G:$G,$C64)</f>
        <v>312602.19909561874</v>
      </c>
      <c r="F64" s="21">
        <f>+SUMIFS('Input Data'!$AY:$AY,'Input Data'!$G:$G,$C64)</f>
        <v>2000654.07421196</v>
      </c>
      <c r="G64" s="21">
        <f>+SUMIFS('Input Data'!AO:AO,'Input Data'!$G:$G,$C64)</f>
        <v>0</v>
      </c>
      <c r="H64" s="21">
        <v>0</v>
      </c>
      <c r="I64" s="191">
        <f>+SUMIFS('Input Data'!$BF:$BF,'Input Data'!$G:$G,$C64)</f>
        <v>8002616.2968478398</v>
      </c>
      <c r="J64" s="21">
        <f t="shared" si="3"/>
        <v>9148824.3601984419</v>
      </c>
      <c r="K64" s="48">
        <f>+SUMIFS('Input Data'!$AK:$AK,'Input Data'!$G:$G,$C64,'Input Data'!$V:$V,"FUL")</f>
        <v>0</v>
      </c>
      <c r="L64" s="21">
        <f>+SUMIFS('Input Data'!$AY:$AY,'Input Data'!$G:$G,$C64,'Input Data'!$V:$V,"FUL")</f>
        <v>0</v>
      </c>
      <c r="M64" s="21">
        <f>+SUMIFS('Input Data'!$AO:$AO,'Input Data'!$G:$G,$C64,'Input Data'!$V:$V,"FUL")</f>
        <v>0</v>
      </c>
      <c r="N64" s="21">
        <f>+SUMIFS('Input Data'!$BH:$BH,'Input Data'!$G:$G,$C64,'Input Data'!$V:$V,"FUL")</f>
        <v>0</v>
      </c>
      <c r="O64" s="21">
        <f t="shared" si="11"/>
        <v>0</v>
      </c>
      <c r="P64" s="21">
        <f t="shared" si="12"/>
        <v>0</v>
      </c>
      <c r="Q64" s="191">
        <f t="shared" si="13"/>
        <v>0</v>
      </c>
      <c r="R64" s="48">
        <f>+SUMIFS('Input Data'!$AK:$AK,'Input Data'!$G:$G,$C64,'Input Data'!$V:$V,"FIID")</f>
        <v>10003270.3710598</v>
      </c>
      <c r="S64" s="21">
        <f>+SUMIFS('Input Data'!$AY:$AY,'Input Data'!$G:$G,$C64,'Input Data'!$V:$V,"FIID")</f>
        <v>2000654.07421196</v>
      </c>
      <c r="T64" s="21">
        <f>+SUMIFS('Input Data'!$AO:$AO,'Input Data'!$G:$G,$C64,'Input Data'!$V:$V,"FIID")</f>
        <v>0</v>
      </c>
      <c r="U64" s="21">
        <f>+SUMIFS('Input Data'!$BH:$BH,'Input Data'!$G:$G,$C64,'Input Data'!$V:$V,"FIID")</f>
        <v>6802223.8523206636</v>
      </c>
      <c r="V64" s="21">
        <f t="shared" si="14"/>
        <v>1200392.4445271762</v>
      </c>
      <c r="W64" s="21">
        <f t="shared" si="15"/>
        <v>0</v>
      </c>
      <c r="X64" s="191">
        <f t="shared" si="16"/>
        <v>1200392.4445271762</v>
      </c>
      <c r="Y64" s="48">
        <f>+SUMIFS('Input Data'!$AK:$AK,'Input Data'!$G:$G,$C64,'Input Data'!$V:$V,"FIBL")</f>
        <v>0</v>
      </c>
      <c r="Z64" s="21">
        <f>+SUMIFS('Input Data'!$AH:$AH,'Input Data'!$G:$G,$C64)</f>
        <v>312602.19909561874</v>
      </c>
      <c r="AA64" s="21">
        <f>+SUMIFS('Input Data'!$AY:$AY,'Input Data'!$G:$G,$C64,'Input Data'!$V:$V,"FIBL")</f>
        <v>0</v>
      </c>
      <c r="AB64" s="431">
        <f>+SUMIFS('Input Data'!$AO:$AO,'Input Data'!$G:$G,$C64,'Input Data'!$V:$V,"FIBL")</f>
        <v>0</v>
      </c>
      <c r="AC64" s="21">
        <v>0</v>
      </c>
      <c r="AD64" s="21">
        <f t="shared" si="17"/>
        <v>0</v>
      </c>
      <c r="AE64" s="21">
        <v>0</v>
      </c>
      <c r="AF64" s="191">
        <f t="shared" si="18"/>
        <v>0</v>
      </c>
      <c r="AK64" s="46">
        <f t="shared" si="19"/>
        <v>6802223.8523206636</v>
      </c>
      <c r="AL64" s="46">
        <f>+SUMIFS('Input Data'!$BE:$BE,'Input Data'!$G:$G,$C64)</f>
        <v>833605.86425498337</v>
      </c>
      <c r="AM64" s="46">
        <f t="shared" si="10"/>
        <v>7948431.9156712657</v>
      </c>
    </row>
    <row r="65" spans="2:39" x14ac:dyDescent="0.35">
      <c r="B65" t="str">
        <v>AMAZONAS NEXUS</v>
      </c>
      <c r="C65">
        <v>14294</v>
      </c>
      <c r="D65" s="48">
        <f>+SUMIFS('Input Data'!$AK:$AK,'Input Data'!$G:$G,$C65)</f>
        <v>28126299.2221421</v>
      </c>
      <c r="E65" s="21">
        <f>+SUMIFS('Input Data'!$AH:$AH,'Input Data'!$G:$G,$C65)</f>
        <v>878946.85069194064</v>
      </c>
      <c r="F65" s="21">
        <f>+SUMIFS('Input Data'!$AY:$AY,'Input Data'!$G:$G,$C65)</f>
        <v>5625259.8444284201</v>
      </c>
      <c r="G65" s="21">
        <f>+SUMIFS('Input Data'!AO:AO,'Input Data'!$G:$G,$C65)</f>
        <v>0</v>
      </c>
      <c r="H65" s="21">
        <v>0</v>
      </c>
      <c r="I65" s="191">
        <f>+SUMIFS('Input Data'!$BF:$BF,'Input Data'!$G:$G,$C65)</f>
        <v>22501039.37771368</v>
      </c>
      <c r="J65" s="21">
        <f t="shared" si="3"/>
        <v>23379986.228405621</v>
      </c>
      <c r="K65" s="48">
        <f>+SUMIFS('Input Data'!$AK:$AK,'Input Data'!$G:$G,$C65,'Input Data'!$V:$V,"FUL")</f>
        <v>0</v>
      </c>
      <c r="L65" s="21">
        <f>+SUMIFS('Input Data'!$AY:$AY,'Input Data'!$G:$G,$C65,'Input Data'!$V:$V,"FUL")</f>
        <v>0</v>
      </c>
      <c r="M65" s="21">
        <f>+SUMIFS('Input Data'!$AO:$AO,'Input Data'!$G:$G,$C65,'Input Data'!$V:$V,"FUL")</f>
        <v>0</v>
      </c>
      <c r="N65" s="21">
        <f>+SUMIFS('Input Data'!$BH:$BH,'Input Data'!$G:$G,$C65,'Input Data'!$V:$V,"FUL")</f>
        <v>0</v>
      </c>
      <c r="O65" s="21">
        <f t="shared" si="11"/>
        <v>0</v>
      </c>
      <c r="P65" s="21">
        <f t="shared" si="12"/>
        <v>0</v>
      </c>
      <c r="Q65" s="191">
        <f t="shared" si="13"/>
        <v>0</v>
      </c>
      <c r="R65" s="48">
        <f>+SUMIFS('Input Data'!$AK:$AK,'Input Data'!$G:$G,$C65,'Input Data'!$V:$V,"FIID")</f>
        <v>28126299.2221421</v>
      </c>
      <c r="S65" s="21">
        <f>+SUMIFS('Input Data'!$AY:$AY,'Input Data'!$G:$G,$C65,'Input Data'!$V:$V,"FIID")</f>
        <v>5625259.8444284201</v>
      </c>
      <c r="T65" s="21">
        <f>+SUMIFS('Input Data'!$AO:$AO,'Input Data'!$G:$G,$C65,'Input Data'!$V:$V,"FIID")</f>
        <v>0</v>
      </c>
      <c r="U65" s="21">
        <f>+SUMIFS('Input Data'!$BH:$BH,'Input Data'!$G:$G,$C65,'Input Data'!$V:$V,"FIID")</f>
        <v>19125883.471056629</v>
      </c>
      <c r="V65" s="21">
        <f t="shared" si="14"/>
        <v>3375155.9066570513</v>
      </c>
      <c r="W65" s="21">
        <f t="shared" si="15"/>
        <v>0</v>
      </c>
      <c r="X65" s="191">
        <f t="shared" si="16"/>
        <v>3375155.9066570513</v>
      </c>
      <c r="Y65" s="48">
        <f>+SUMIFS('Input Data'!$AK:$AK,'Input Data'!$G:$G,$C65,'Input Data'!$V:$V,"FIBL")</f>
        <v>0</v>
      </c>
      <c r="Z65" s="21">
        <f>+SUMIFS('Input Data'!$AH:$AH,'Input Data'!$G:$G,$C65)</f>
        <v>878946.85069194064</v>
      </c>
      <c r="AA65" s="21">
        <f>+SUMIFS('Input Data'!$AY:$AY,'Input Data'!$G:$G,$C65,'Input Data'!$V:$V,"FIBL")</f>
        <v>0</v>
      </c>
      <c r="AB65" s="431">
        <f>+SUMIFS('Input Data'!$AO:$AO,'Input Data'!$G:$G,$C65,'Input Data'!$V:$V,"FIBL")</f>
        <v>0</v>
      </c>
      <c r="AC65" s="21">
        <v>0</v>
      </c>
      <c r="AD65" s="21">
        <f t="shared" si="17"/>
        <v>0</v>
      </c>
      <c r="AE65" s="21">
        <v>0</v>
      </c>
      <c r="AF65" s="191">
        <f t="shared" si="18"/>
        <v>0</v>
      </c>
      <c r="AK65" s="46">
        <f t="shared" si="19"/>
        <v>19125883.471056629</v>
      </c>
      <c r="AL65" s="46">
        <f>+SUMIFS('Input Data'!$BE:$BE,'Input Data'!$G:$G,$C65)</f>
        <v>0</v>
      </c>
      <c r="AM65" s="46">
        <f t="shared" si="10"/>
        <v>20004830.32174857</v>
      </c>
    </row>
    <row r="66" spans="2:39" x14ac:dyDescent="0.35">
      <c r="B66" t="str">
        <v>INMARSAT 5-F5 (INMARSAT GX-5)</v>
      </c>
      <c r="C66">
        <v>11969</v>
      </c>
      <c r="D66" s="48">
        <f>+SUMIFS('Input Data'!$AK:$AK,'Input Data'!$G:$G,$C66)</f>
        <v>10816672.5592917</v>
      </c>
      <c r="E66" s="21">
        <f>+SUMIFS('Input Data'!$AH:$AH,'Input Data'!$G:$G,$C66)</f>
        <v>338021.01747786562</v>
      </c>
      <c r="F66" s="21">
        <f>+SUMIFS('Input Data'!$AY:$AY,'Input Data'!$G:$G,$C66)</f>
        <v>2163334.5118583399</v>
      </c>
      <c r="G66" s="21">
        <f>+SUMIFS('Input Data'!AO:AO,'Input Data'!$G:$G,$C66)</f>
        <v>0</v>
      </c>
      <c r="H66" s="21">
        <v>0</v>
      </c>
      <c r="I66" s="191">
        <f>+SUMIFS('Input Data'!$BF:$BF,'Input Data'!$G:$G,$C66)</f>
        <v>8653338.0474333595</v>
      </c>
      <c r="J66" s="21">
        <f t="shared" si="3"/>
        <v>9892748.4448522013</v>
      </c>
      <c r="K66" s="48">
        <f>+SUMIFS('Input Data'!$AK:$AK,'Input Data'!$G:$G,$C66,'Input Data'!$V:$V,"FUL")</f>
        <v>10816672.5592917</v>
      </c>
      <c r="L66" s="21">
        <f>+SUMIFS('Input Data'!$AY:$AY,'Input Data'!$G:$G,$C66,'Input Data'!$V:$V,"FUL")</f>
        <v>2163334.5118583399</v>
      </c>
      <c r="M66" s="21">
        <f>+SUMIFS('Input Data'!$AO:$AO,'Input Data'!$G:$G,$C66,'Input Data'!$V:$V,"FUL")</f>
        <v>0</v>
      </c>
      <c r="N66" s="21">
        <f>+SUMIFS('Input Data'!$BH:$BH,'Input Data'!$G:$G,$C66,'Input Data'!$V:$V,"FUL")</f>
        <v>4326669.0237166798</v>
      </c>
      <c r="O66" s="21">
        <f t="shared" si="11"/>
        <v>4326669.0237166798</v>
      </c>
      <c r="P66" s="21">
        <f t="shared" si="12"/>
        <v>0</v>
      </c>
      <c r="Q66" s="191">
        <f t="shared" si="13"/>
        <v>4326669.0237166798</v>
      </c>
      <c r="R66" s="48">
        <f>+SUMIFS('Input Data'!$AK:$AK,'Input Data'!$G:$G,$C66,'Input Data'!$V:$V,"FIID")</f>
        <v>0</v>
      </c>
      <c r="S66" s="21">
        <f>+SUMIFS('Input Data'!$AY:$AY,'Input Data'!$G:$G,$C66,'Input Data'!$V:$V,"FIID")</f>
        <v>0</v>
      </c>
      <c r="T66" s="21">
        <f>+SUMIFS('Input Data'!$AO:$AO,'Input Data'!$G:$G,$C66,'Input Data'!$V:$V,"FIID")</f>
        <v>0</v>
      </c>
      <c r="U66" s="21">
        <f>+SUMIFS('Input Data'!$BH:$BH,'Input Data'!$G:$G,$C66,'Input Data'!$V:$V,"FIID")</f>
        <v>0</v>
      </c>
      <c r="V66" s="21">
        <f t="shared" si="14"/>
        <v>0</v>
      </c>
      <c r="W66" s="21">
        <f t="shared" si="15"/>
        <v>0</v>
      </c>
      <c r="X66" s="191">
        <f t="shared" si="16"/>
        <v>0</v>
      </c>
      <c r="Y66" s="48">
        <f>+SUMIFS('Input Data'!$AK:$AK,'Input Data'!$G:$G,$C66,'Input Data'!$V:$V,"FIBL")</f>
        <v>0</v>
      </c>
      <c r="Z66" s="21">
        <f>+SUMIFS('Input Data'!$AH:$AH,'Input Data'!$G:$G,$C66)</f>
        <v>338021.01747786562</v>
      </c>
      <c r="AA66" s="21">
        <f>+SUMIFS('Input Data'!$AY:$AY,'Input Data'!$G:$G,$C66,'Input Data'!$V:$V,"FIBL")</f>
        <v>0</v>
      </c>
      <c r="AB66" s="431">
        <f>+SUMIFS('Input Data'!$AO:$AO,'Input Data'!$G:$G,$C66,'Input Data'!$V:$V,"FIBL")</f>
        <v>0</v>
      </c>
      <c r="AC66" s="21">
        <v>0</v>
      </c>
      <c r="AD66" s="21">
        <f t="shared" si="17"/>
        <v>0</v>
      </c>
      <c r="AE66" s="21">
        <v>0</v>
      </c>
      <c r="AF66" s="191">
        <f t="shared" si="18"/>
        <v>0</v>
      </c>
      <c r="AK66" s="46">
        <f t="shared" si="19"/>
        <v>4326669.0237166798</v>
      </c>
      <c r="AL66" s="46">
        <f>+SUMIFS('Input Data'!$BE:$BE,'Input Data'!$G:$G,$C66)</f>
        <v>901389.37994097499</v>
      </c>
      <c r="AM66" s="46">
        <f t="shared" si="10"/>
        <v>5566079.4211355196</v>
      </c>
    </row>
    <row r="67" spans="2:39" x14ac:dyDescent="0.35">
      <c r="B67" t="str">
        <v>HELLAS-SAT 3/INMARSAT-S-EAN</v>
      </c>
      <c r="C67">
        <v>7353</v>
      </c>
      <c r="D67" s="48">
        <f>+SUMIFS('Input Data'!$AK:$AK,'Input Data'!$G:$G,$C67)</f>
        <v>7621566.7914210996</v>
      </c>
      <c r="E67" s="21">
        <f>+SUMIFS('Input Data'!$AH:$AH,'Input Data'!$G:$G,$C67)</f>
        <v>238173.96223190936</v>
      </c>
      <c r="F67" s="21">
        <f>+SUMIFS('Input Data'!$AY:$AY,'Input Data'!$G:$G,$C67)</f>
        <v>1524313.3582842201</v>
      </c>
      <c r="G67" s="21">
        <f>+SUMIFS('Input Data'!AO:AO,'Input Data'!$G:$G,$C67)</f>
        <v>0</v>
      </c>
      <c r="H67" s="21">
        <v>0</v>
      </c>
      <c r="I67" s="191">
        <f>+SUMIFS('Input Data'!$BF:$BF,'Input Data'!$G:$G,$C67)</f>
        <v>6097253.4331368795</v>
      </c>
      <c r="J67" s="21">
        <f t="shared" si="3"/>
        <v>6970557.9613205465</v>
      </c>
      <c r="K67" s="48">
        <f>+SUMIFS('Input Data'!$AK:$AK,'Input Data'!$G:$G,$C67,'Input Data'!$V:$V,"FUL")</f>
        <v>7621566.7914210996</v>
      </c>
      <c r="L67" s="21">
        <f>+SUMIFS('Input Data'!$AY:$AY,'Input Data'!$G:$G,$C67,'Input Data'!$V:$V,"FUL")</f>
        <v>1524313.3582842201</v>
      </c>
      <c r="M67" s="21">
        <f>+SUMIFS('Input Data'!$AO:$AO,'Input Data'!$G:$G,$C67,'Input Data'!$V:$V,"FUL")</f>
        <v>0</v>
      </c>
      <c r="N67" s="21">
        <f>+SUMIFS('Input Data'!$BH:$BH,'Input Data'!$G:$G,$C67,'Input Data'!$V:$V,"FUL")</f>
        <v>3048626.7165684397</v>
      </c>
      <c r="O67" s="21">
        <f t="shared" si="11"/>
        <v>3048626.7165684397</v>
      </c>
      <c r="P67" s="21">
        <f t="shared" si="12"/>
        <v>0</v>
      </c>
      <c r="Q67" s="191">
        <f t="shared" si="13"/>
        <v>3048626.7165684397</v>
      </c>
      <c r="R67" s="48">
        <f>+SUMIFS('Input Data'!$AK:$AK,'Input Data'!$G:$G,$C67,'Input Data'!$V:$V,"FIID")</f>
        <v>0</v>
      </c>
      <c r="S67" s="21">
        <f>+SUMIFS('Input Data'!$AY:$AY,'Input Data'!$G:$G,$C67,'Input Data'!$V:$V,"FIID")</f>
        <v>0</v>
      </c>
      <c r="T67" s="21">
        <f>+SUMIFS('Input Data'!$AO:$AO,'Input Data'!$G:$G,$C67,'Input Data'!$V:$V,"FIID")</f>
        <v>0</v>
      </c>
      <c r="U67" s="21">
        <f>+SUMIFS('Input Data'!$BH:$BH,'Input Data'!$G:$G,$C67,'Input Data'!$V:$V,"FIID")</f>
        <v>0</v>
      </c>
      <c r="V67" s="21">
        <f t="shared" si="14"/>
        <v>0</v>
      </c>
      <c r="W67" s="21">
        <f t="shared" si="15"/>
        <v>0</v>
      </c>
      <c r="X67" s="191">
        <f t="shared" si="16"/>
        <v>0</v>
      </c>
      <c r="Y67" s="48">
        <f>+SUMIFS('Input Data'!$AK:$AK,'Input Data'!$G:$G,$C67,'Input Data'!$V:$V,"FIBL")</f>
        <v>0</v>
      </c>
      <c r="Z67" s="21">
        <f>+SUMIFS('Input Data'!$AH:$AH,'Input Data'!$G:$G,$C67)</f>
        <v>238173.96223190936</v>
      </c>
      <c r="AA67" s="21">
        <f>+SUMIFS('Input Data'!$AY:$AY,'Input Data'!$G:$G,$C67,'Input Data'!$V:$V,"FIBL")</f>
        <v>0</v>
      </c>
      <c r="AB67" s="431">
        <f>+SUMIFS('Input Data'!$AO:$AO,'Input Data'!$G:$G,$C67,'Input Data'!$V:$V,"FIBL")</f>
        <v>0</v>
      </c>
      <c r="AC67" s="21">
        <v>0</v>
      </c>
      <c r="AD67" s="21">
        <f t="shared" si="17"/>
        <v>0</v>
      </c>
      <c r="AE67" s="21">
        <v>0</v>
      </c>
      <c r="AF67" s="191">
        <f t="shared" si="18"/>
        <v>0</v>
      </c>
      <c r="AK67" s="46">
        <f t="shared" si="19"/>
        <v>3048626.7165684397</v>
      </c>
      <c r="AL67" s="46">
        <f>+SUMIFS('Input Data'!$BE:$BE,'Input Data'!$G:$G,$C67)</f>
        <v>635130.56595175841</v>
      </c>
      <c r="AM67" s="46">
        <f t="shared" si="10"/>
        <v>3921931.2447521077</v>
      </c>
    </row>
    <row r="68" spans="2:39" x14ac:dyDescent="0.35">
      <c r="B68" t="str">
        <v>ALPHASAT I-XL</v>
      </c>
      <c r="C68">
        <v>7519</v>
      </c>
      <c r="D68" s="48">
        <f>+SUMIFS('Input Data'!$AK:$AK,'Input Data'!$G:$G,$C68)</f>
        <v>6529238.3396333996</v>
      </c>
      <c r="E68" s="21">
        <f>+SUMIFS('Input Data'!$AH:$AH,'Input Data'!$G:$G,$C68)</f>
        <v>204038.69811354374</v>
      </c>
      <c r="F68" s="21">
        <f>+SUMIFS('Input Data'!$AY:$AY,'Input Data'!$G:$G,$C68)</f>
        <v>1305847.6679266801</v>
      </c>
      <c r="G68" s="21">
        <f>+SUMIFS('Input Data'!AO:AO,'Input Data'!$G:$G,$C68)</f>
        <v>0</v>
      </c>
      <c r="H68" s="21">
        <v>0</v>
      </c>
      <c r="I68" s="191">
        <f>+SUMIFS('Input Data'!$BF:$BF,'Input Data'!$G:$G,$C68)</f>
        <v>5223390.6717067193</v>
      </c>
      <c r="J68" s="21">
        <f t="shared" si="3"/>
        <v>5971532.5647897134</v>
      </c>
      <c r="K68" s="48">
        <f>+SUMIFS('Input Data'!$AK:$AK,'Input Data'!$G:$G,$C68,'Input Data'!$V:$V,"FUL")</f>
        <v>6529238.3396333996</v>
      </c>
      <c r="L68" s="21">
        <f>+SUMIFS('Input Data'!$AY:$AY,'Input Data'!$G:$G,$C68,'Input Data'!$V:$V,"FUL")</f>
        <v>1305847.6679266801</v>
      </c>
      <c r="M68" s="21">
        <f>+SUMIFS('Input Data'!$AO:$AO,'Input Data'!$G:$G,$C68,'Input Data'!$V:$V,"FUL")</f>
        <v>0</v>
      </c>
      <c r="N68" s="21">
        <f>+SUMIFS('Input Data'!$BH:$BH,'Input Data'!$G:$G,$C68,'Input Data'!$V:$V,"FUL")</f>
        <v>2611695.3358533597</v>
      </c>
      <c r="O68" s="21">
        <f t="shared" si="11"/>
        <v>2611695.3358533597</v>
      </c>
      <c r="P68" s="21">
        <f t="shared" si="12"/>
        <v>0</v>
      </c>
      <c r="Q68" s="191">
        <f t="shared" si="13"/>
        <v>2611695.3358533597</v>
      </c>
      <c r="R68" s="48">
        <f>+SUMIFS('Input Data'!$AK:$AK,'Input Data'!$G:$G,$C68,'Input Data'!$V:$V,"FIID")</f>
        <v>0</v>
      </c>
      <c r="S68" s="21">
        <f>+SUMIFS('Input Data'!$AY:$AY,'Input Data'!$G:$G,$C68,'Input Data'!$V:$V,"FIID")</f>
        <v>0</v>
      </c>
      <c r="T68" s="21">
        <f>+SUMIFS('Input Data'!$AO:$AO,'Input Data'!$G:$G,$C68,'Input Data'!$V:$V,"FIID")</f>
        <v>0</v>
      </c>
      <c r="U68" s="21">
        <f>+SUMIFS('Input Data'!$BH:$BH,'Input Data'!$G:$G,$C68,'Input Data'!$V:$V,"FIID")</f>
        <v>0</v>
      </c>
      <c r="V68" s="21">
        <f t="shared" si="14"/>
        <v>0</v>
      </c>
      <c r="W68" s="21">
        <f t="shared" si="15"/>
        <v>0</v>
      </c>
      <c r="X68" s="191">
        <f t="shared" si="16"/>
        <v>0</v>
      </c>
      <c r="Y68" s="48">
        <f>+SUMIFS('Input Data'!$AK:$AK,'Input Data'!$G:$G,$C68,'Input Data'!$V:$V,"FIBL")</f>
        <v>0</v>
      </c>
      <c r="Z68" s="21">
        <f>+SUMIFS('Input Data'!$AH:$AH,'Input Data'!$G:$G,$C68)</f>
        <v>204038.69811354374</v>
      </c>
      <c r="AA68" s="21">
        <f>+SUMIFS('Input Data'!$AY:$AY,'Input Data'!$G:$G,$C68,'Input Data'!$V:$V,"FIBL")</f>
        <v>0</v>
      </c>
      <c r="AB68" s="431">
        <f>+SUMIFS('Input Data'!$AO:$AO,'Input Data'!$G:$G,$C68,'Input Data'!$V:$V,"FIBL")</f>
        <v>0</v>
      </c>
      <c r="AC68" s="21">
        <v>0</v>
      </c>
      <c r="AD68" s="21">
        <f t="shared" si="17"/>
        <v>0</v>
      </c>
      <c r="AE68" s="21">
        <v>0</v>
      </c>
      <c r="AF68" s="191">
        <f t="shared" si="18"/>
        <v>0</v>
      </c>
      <c r="AK68" s="46">
        <f t="shared" si="19"/>
        <v>2611695.3358533597</v>
      </c>
      <c r="AL68" s="46">
        <f>+SUMIFS('Input Data'!$BE:$BE,'Input Data'!$G:$G,$C68)</f>
        <v>544103.19496945001</v>
      </c>
      <c r="AM68" s="46">
        <f t="shared" si="10"/>
        <v>3359837.2289363537</v>
      </c>
    </row>
    <row r="69" spans="2:39" x14ac:dyDescent="0.35">
      <c r="B69" t="str">
        <v>INMARSAT 5-F4 (INMARSAT GX-4)</v>
      </c>
      <c r="C69">
        <v>9739</v>
      </c>
      <c r="D69" s="48">
        <f>+SUMIFS('Input Data'!$AK:$AK,'Input Data'!$G:$G,$C69)</f>
        <v>13126283.4832775</v>
      </c>
      <c r="E69" s="21">
        <f>+SUMIFS('Input Data'!$AH:$AH,'Input Data'!$G:$G,$C69)</f>
        <v>410196.35885242186</v>
      </c>
      <c r="F69" s="21">
        <f>+SUMIFS('Input Data'!$AY:$AY,'Input Data'!$G:$G,$C69)</f>
        <v>2625256.6966555002</v>
      </c>
      <c r="G69" s="21">
        <f>+SUMIFS('Input Data'!AO:AO,'Input Data'!$G:$G,$C69)</f>
        <v>0</v>
      </c>
      <c r="H69" s="21">
        <v>0</v>
      </c>
      <c r="I69" s="191">
        <f>+SUMIFS('Input Data'!$BF:$BF,'Input Data'!$G:$G,$C69)</f>
        <v>10501026.786621999</v>
      </c>
      <c r="J69" s="21">
        <f t="shared" si="3"/>
        <v>12005080.102414213</v>
      </c>
      <c r="K69" s="48">
        <f>+SUMIFS('Input Data'!$AK:$AK,'Input Data'!$G:$G,$C69,'Input Data'!$V:$V,"FUL")</f>
        <v>13126283.4832775</v>
      </c>
      <c r="L69" s="21">
        <f>+SUMIFS('Input Data'!$AY:$AY,'Input Data'!$G:$G,$C69,'Input Data'!$V:$V,"FUL")</f>
        <v>2625256.6966555002</v>
      </c>
      <c r="M69" s="21">
        <f>+SUMIFS('Input Data'!$AO:$AO,'Input Data'!$G:$G,$C69,'Input Data'!$V:$V,"FUL")</f>
        <v>0</v>
      </c>
      <c r="N69" s="21">
        <f>+SUMIFS('Input Data'!$BH:$BH,'Input Data'!$G:$G,$C69,'Input Data'!$V:$V,"FUL")</f>
        <v>5250513.3933109995</v>
      </c>
      <c r="O69" s="21">
        <f t="shared" si="11"/>
        <v>5250513.3933109995</v>
      </c>
      <c r="P69" s="21">
        <f t="shared" si="12"/>
        <v>0</v>
      </c>
      <c r="Q69" s="191">
        <f t="shared" si="13"/>
        <v>5250513.3933109995</v>
      </c>
      <c r="R69" s="48">
        <f>+SUMIFS('Input Data'!$AK:$AK,'Input Data'!$G:$G,$C69,'Input Data'!$V:$V,"FIID")</f>
        <v>0</v>
      </c>
      <c r="S69" s="21">
        <f>+SUMIFS('Input Data'!$AY:$AY,'Input Data'!$G:$G,$C69,'Input Data'!$V:$V,"FIID")</f>
        <v>0</v>
      </c>
      <c r="T69" s="21">
        <f>+SUMIFS('Input Data'!$AO:$AO,'Input Data'!$G:$G,$C69,'Input Data'!$V:$V,"FIID")</f>
        <v>0</v>
      </c>
      <c r="U69" s="21">
        <f>+SUMIFS('Input Data'!$BH:$BH,'Input Data'!$G:$G,$C69,'Input Data'!$V:$V,"FIID")</f>
        <v>0</v>
      </c>
      <c r="V69" s="21">
        <f t="shared" si="14"/>
        <v>0</v>
      </c>
      <c r="W69" s="21">
        <f t="shared" si="15"/>
        <v>0</v>
      </c>
      <c r="X69" s="191">
        <f t="shared" si="16"/>
        <v>0</v>
      </c>
      <c r="Y69" s="48">
        <f>+SUMIFS('Input Data'!$AK:$AK,'Input Data'!$G:$G,$C69,'Input Data'!$V:$V,"FIBL")</f>
        <v>0</v>
      </c>
      <c r="Z69" s="21">
        <f>+SUMIFS('Input Data'!$AH:$AH,'Input Data'!$G:$G,$C69)</f>
        <v>410196.35885242186</v>
      </c>
      <c r="AA69" s="21">
        <f>+SUMIFS('Input Data'!$AY:$AY,'Input Data'!$G:$G,$C69,'Input Data'!$V:$V,"FIBL")</f>
        <v>0</v>
      </c>
      <c r="AB69" s="431">
        <f>+SUMIFS('Input Data'!$AO:$AO,'Input Data'!$G:$G,$C69,'Input Data'!$V:$V,"FIBL")</f>
        <v>0</v>
      </c>
      <c r="AC69" s="21">
        <v>0</v>
      </c>
      <c r="AD69" s="21">
        <f t="shared" si="17"/>
        <v>0</v>
      </c>
      <c r="AE69" s="21">
        <v>0</v>
      </c>
      <c r="AF69" s="191">
        <f t="shared" si="18"/>
        <v>0</v>
      </c>
      <c r="AK69" s="46">
        <f t="shared" si="19"/>
        <v>5250513.3933109995</v>
      </c>
      <c r="AL69" s="46">
        <f>+SUMIFS('Input Data'!$BE:$BE,'Input Data'!$G:$G,$C69)</f>
        <v>1093856.9569397918</v>
      </c>
      <c r="AM69" s="46">
        <f t="shared" si="10"/>
        <v>6754566.7091032136</v>
      </c>
    </row>
    <row r="70" spans="2:39" x14ac:dyDescent="0.35">
      <c r="B70" t="str">
        <v>INMARSAT 5-F3 (INMARSAT GX-3)</v>
      </c>
      <c r="C70">
        <v>9013</v>
      </c>
      <c r="D70" s="48">
        <f>+SUMIFS('Input Data'!$AK:$AK,'Input Data'!$G:$G,$C70)</f>
        <v>9550287.2005776893</v>
      </c>
      <c r="E70" s="21">
        <f>+SUMIFS('Input Data'!$AH:$AH,'Input Data'!$G:$G,$C70)</f>
        <v>298446.47501805279</v>
      </c>
      <c r="F70" s="21">
        <f>+SUMIFS('Input Data'!$AY:$AY,'Input Data'!$G:$G,$C70)</f>
        <v>1910057.440115538</v>
      </c>
      <c r="G70" s="21">
        <f>+SUMIFS('Input Data'!AO:AO,'Input Data'!$G:$G,$C70)</f>
        <v>0</v>
      </c>
      <c r="H70" s="21">
        <v>0</v>
      </c>
      <c r="I70" s="191">
        <f>+SUMIFS('Input Data'!$BF:$BF,'Input Data'!$G:$G,$C70)</f>
        <v>7640229.7604621518</v>
      </c>
      <c r="J70" s="21">
        <f t="shared" si="3"/>
        <v>8734533.5021950118</v>
      </c>
      <c r="K70" s="48">
        <f>+SUMIFS('Input Data'!$AK:$AK,'Input Data'!$G:$G,$C70,'Input Data'!$V:$V,"FUL")</f>
        <v>9550287.2005776893</v>
      </c>
      <c r="L70" s="21">
        <f>+SUMIFS('Input Data'!$AY:$AY,'Input Data'!$G:$G,$C70,'Input Data'!$V:$V,"FUL")</f>
        <v>1910057.440115538</v>
      </c>
      <c r="M70" s="21">
        <f>+SUMIFS('Input Data'!$AO:$AO,'Input Data'!$G:$G,$C70,'Input Data'!$V:$V,"FUL")</f>
        <v>0</v>
      </c>
      <c r="N70" s="21">
        <f>+SUMIFS('Input Data'!$BH:$BH,'Input Data'!$G:$G,$C70,'Input Data'!$V:$V,"FUL")</f>
        <v>3820114.8802310759</v>
      </c>
      <c r="O70" s="21">
        <f t="shared" si="11"/>
        <v>3820114.8802310759</v>
      </c>
      <c r="P70" s="21">
        <f t="shared" si="12"/>
        <v>0</v>
      </c>
      <c r="Q70" s="191">
        <f t="shared" si="13"/>
        <v>3820114.8802310759</v>
      </c>
      <c r="R70" s="48">
        <f>+SUMIFS('Input Data'!$AK:$AK,'Input Data'!$G:$G,$C70,'Input Data'!$V:$V,"FIID")</f>
        <v>0</v>
      </c>
      <c r="S70" s="21">
        <f>+SUMIFS('Input Data'!$AY:$AY,'Input Data'!$G:$G,$C70,'Input Data'!$V:$V,"FIID")</f>
        <v>0</v>
      </c>
      <c r="T70" s="21">
        <f>+SUMIFS('Input Data'!$AO:$AO,'Input Data'!$G:$G,$C70,'Input Data'!$V:$V,"FIID")</f>
        <v>0</v>
      </c>
      <c r="U70" s="21">
        <f>+SUMIFS('Input Data'!$BH:$BH,'Input Data'!$G:$G,$C70,'Input Data'!$V:$V,"FIID")</f>
        <v>0</v>
      </c>
      <c r="V70" s="21">
        <f t="shared" si="14"/>
        <v>0</v>
      </c>
      <c r="W70" s="21">
        <f t="shared" si="15"/>
        <v>0</v>
      </c>
      <c r="X70" s="191">
        <f t="shared" si="16"/>
        <v>0</v>
      </c>
      <c r="Y70" s="48">
        <f>+SUMIFS('Input Data'!$AK:$AK,'Input Data'!$G:$G,$C70,'Input Data'!$V:$V,"FIBL")</f>
        <v>0</v>
      </c>
      <c r="Z70" s="21">
        <f>+SUMIFS('Input Data'!$AH:$AH,'Input Data'!$G:$G,$C70)</f>
        <v>298446.47501805279</v>
      </c>
      <c r="AA70" s="21">
        <f>+SUMIFS('Input Data'!$AY:$AY,'Input Data'!$G:$G,$C70,'Input Data'!$V:$V,"FIBL")</f>
        <v>0</v>
      </c>
      <c r="AB70" s="431">
        <f>+SUMIFS('Input Data'!$AO:$AO,'Input Data'!$G:$G,$C70,'Input Data'!$V:$V,"FIBL")</f>
        <v>0</v>
      </c>
      <c r="AC70" s="21">
        <v>0</v>
      </c>
      <c r="AD70" s="21">
        <f t="shared" si="17"/>
        <v>0</v>
      </c>
      <c r="AE70" s="21">
        <v>0</v>
      </c>
      <c r="AF70" s="191">
        <f t="shared" si="18"/>
        <v>0</v>
      </c>
      <c r="AK70" s="46">
        <f t="shared" si="19"/>
        <v>3820114.8802310759</v>
      </c>
      <c r="AL70" s="46">
        <f>+SUMIFS('Input Data'!$BE:$BE,'Input Data'!$G:$G,$C70)</f>
        <v>795857.26671480748</v>
      </c>
      <c r="AM70" s="46">
        <f t="shared" si="10"/>
        <v>4914418.6219639359</v>
      </c>
    </row>
    <row r="71" spans="2:39" x14ac:dyDescent="0.35">
      <c r="B71" t="str">
        <v>INMARSAT 5-F2 (INMARSAT GX-2)</v>
      </c>
      <c r="C71">
        <v>9012</v>
      </c>
      <c r="D71" s="48">
        <f>+SUMIFS('Input Data'!$AK:$AK,'Input Data'!$G:$G,$C71)</f>
        <v>9334080.6029998995</v>
      </c>
      <c r="E71" s="21">
        <f>+SUMIFS('Input Data'!$AH:$AH,'Input Data'!$G:$G,$C71)</f>
        <v>291690.01884374686</v>
      </c>
      <c r="F71" s="21">
        <f>+SUMIFS('Input Data'!$AY:$AY,'Input Data'!$G:$G,$C71)</f>
        <v>1866816.12059998</v>
      </c>
      <c r="G71" s="21">
        <f>+SUMIFS('Input Data'!AO:AO,'Input Data'!$G:$G,$C71)</f>
        <v>0</v>
      </c>
      <c r="H71" s="21">
        <v>0</v>
      </c>
      <c r="I71" s="191">
        <f>+SUMIFS('Input Data'!$BF:$BF,'Input Data'!$G:$G,$C71)</f>
        <v>7467264.48239992</v>
      </c>
      <c r="J71" s="21">
        <f t="shared" si="3"/>
        <v>8536794.5514936578</v>
      </c>
      <c r="K71" s="48">
        <f>+SUMIFS('Input Data'!$AK:$AK,'Input Data'!$G:$G,$C71,'Input Data'!$V:$V,"FUL")</f>
        <v>9334080.6029998995</v>
      </c>
      <c r="L71" s="21">
        <f>+SUMIFS('Input Data'!$AY:$AY,'Input Data'!$G:$G,$C71,'Input Data'!$V:$V,"FUL")</f>
        <v>1866816.12059998</v>
      </c>
      <c r="M71" s="21">
        <f>+SUMIFS('Input Data'!$AO:$AO,'Input Data'!$G:$G,$C71,'Input Data'!$V:$V,"FUL")</f>
        <v>0</v>
      </c>
      <c r="N71" s="21">
        <f>+SUMIFS('Input Data'!$BH:$BH,'Input Data'!$G:$G,$C71,'Input Data'!$V:$V,"FUL")</f>
        <v>3733632.24119996</v>
      </c>
      <c r="O71" s="21">
        <f t="shared" si="11"/>
        <v>3733632.24119996</v>
      </c>
      <c r="P71" s="21">
        <f t="shared" si="12"/>
        <v>0</v>
      </c>
      <c r="Q71" s="191">
        <f t="shared" si="13"/>
        <v>3733632.24119996</v>
      </c>
      <c r="R71" s="48">
        <f>+SUMIFS('Input Data'!$AK:$AK,'Input Data'!$G:$G,$C71,'Input Data'!$V:$V,"FIID")</f>
        <v>0</v>
      </c>
      <c r="S71" s="21">
        <f>+SUMIFS('Input Data'!$AY:$AY,'Input Data'!$G:$G,$C71,'Input Data'!$V:$V,"FIID")</f>
        <v>0</v>
      </c>
      <c r="T71" s="21">
        <f>+SUMIFS('Input Data'!$AO:$AO,'Input Data'!$G:$G,$C71,'Input Data'!$V:$V,"FIID")</f>
        <v>0</v>
      </c>
      <c r="U71" s="21">
        <f>+SUMIFS('Input Data'!$BH:$BH,'Input Data'!$G:$G,$C71,'Input Data'!$V:$V,"FIID")</f>
        <v>0</v>
      </c>
      <c r="V71" s="21">
        <f t="shared" si="14"/>
        <v>0</v>
      </c>
      <c r="W71" s="21">
        <f t="shared" si="15"/>
        <v>0</v>
      </c>
      <c r="X71" s="191">
        <f t="shared" si="16"/>
        <v>0</v>
      </c>
      <c r="Y71" s="48">
        <f>+SUMIFS('Input Data'!$AK:$AK,'Input Data'!$G:$G,$C71,'Input Data'!$V:$V,"FIBL")</f>
        <v>0</v>
      </c>
      <c r="Z71" s="21">
        <f>+SUMIFS('Input Data'!$AH:$AH,'Input Data'!$G:$G,$C71)</f>
        <v>291690.01884374686</v>
      </c>
      <c r="AA71" s="21">
        <f>+SUMIFS('Input Data'!$AY:$AY,'Input Data'!$G:$G,$C71,'Input Data'!$V:$V,"FIBL")</f>
        <v>0</v>
      </c>
      <c r="AB71" s="431">
        <f>+SUMIFS('Input Data'!$AO:$AO,'Input Data'!$G:$G,$C71,'Input Data'!$V:$V,"FIBL")</f>
        <v>0</v>
      </c>
      <c r="AC71" s="21">
        <v>0</v>
      </c>
      <c r="AD71" s="21">
        <f t="shared" si="17"/>
        <v>0</v>
      </c>
      <c r="AE71" s="21">
        <v>0</v>
      </c>
      <c r="AF71" s="191">
        <f t="shared" si="18"/>
        <v>0</v>
      </c>
      <c r="AK71" s="46">
        <f t="shared" si="19"/>
        <v>3733632.24119996</v>
      </c>
      <c r="AL71" s="46">
        <f>+SUMIFS('Input Data'!$BE:$BE,'Input Data'!$G:$G,$C71)</f>
        <v>777840.05024999171</v>
      </c>
      <c r="AM71" s="46">
        <f t="shared" si="10"/>
        <v>4803162.3102936987</v>
      </c>
    </row>
    <row r="72" spans="2:39" x14ac:dyDescent="0.35">
      <c r="B72" t="str">
        <v>INMARSAT 5-F1 (INMARSAT GX-1)</v>
      </c>
      <c r="C72">
        <v>9011</v>
      </c>
      <c r="D72" s="48">
        <f>+SUMIFS('Input Data'!$AK:$AK,'Input Data'!$G:$G,$C72)</f>
        <v>8205132.9760154998</v>
      </c>
      <c r="E72" s="21">
        <f>+SUMIFS('Input Data'!$AH:$AH,'Input Data'!$G:$G,$C72)</f>
        <v>256410.40550048434</v>
      </c>
      <c r="F72" s="21">
        <f>+SUMIFS('Input Data'!$AY:$AY,'Input Data'!$G:$G,$C72)</f>
        <v>1641026.5952031</v>
      </c>
      <c r="G72" s="21">
        <f>+SUMIFS('Input Data'!AO:AO,'Input Data'!$G:$G,$C72)</f>
        <v>0</v>
      </c>
      <c r="H72" s="21">
        <v>0</v>
      </c>
      <c r="I72" s="191">
        <f>+SUMIFS('Input Data'!$BF:$BF,'Input Data'!$G:$G,$C72)</f>
        <v>6564106.3808124</v>
      </c>
      <c r="J72" s="21">
        <f t="shared" si="3"/>
        <v>7504277.86764751</v>
      </c>
      <c r="K72" s="48">
        <f>+SUMIFS('Input Data'!$AK:$AK,'Input Data'!$G:$G,$C72,'Input Data'!$V:$V,"FUL")</f>
        <v>8205132.9760154998</v>
      </c>
      <c r="L72" s="21">
        <f>+SUMIFS('Input Data'!$AY:$AY,'Input Data'!$G:$G,$C72,'Input Data'!$V:$V,"FUL")</f>
        <v>1641026.5952031</v>
      </c>
      <c r="M72" s="21">
        <f>+SUMIFS('Input Data'!$AO:$AO,'Input Data'!$G:$G,$C72,'Input Data'!$V:$V,"FUL")</f>
        <v>0</v>
      </c>
      <c r="N72" s="21">
        <f>+SUMIFS('Input Data'!$BH:$BH,'Input Data'!$G:$G,$C72,'Input Data'!$V:$V,"FUL")</f>
        <v>3282053.1904062</v>
      </c>
      <c r="O72" s="21">
        <f t="shared" si="11"/>
        <v>3282053.1904062</v>
      </c>
      <c r="P72" s="21">
        <f t="shared" si="12"/>
        <v>0</v>
      </c>
      <c r="Q72" s="191">
        <f t="shared" si="13"/>
        <v>3282053.1904062</v>
      </c>
      <c r="R72" s="48">
        <f>+SUMIFS('Input Data'!$AK:$AK,'Input Data'!$G:$G,$C72,'Input Data'!$V:$V,"FIID")</f>
        <v>0</v>
      </c>
      <c r="S72" s="21">
        <f>+SUMIFS('Input Data'!$AY:$AY,'Input Data'!$G:$G,$C72,'Input Data'!$V:$V,"FIID")</f>
        <v>0</v>
      </c>
      <c r="T72" s="21">
        <f>+SUMIFS('Input Data'!$AO:$AO,'Input Data'!$G:$G,$C72,'Input Data'!$V:$V,"FIID")</f>
        <v>0</v>
      </c>
      <c r="U72" s="21">
        <f>+SUMIFS('Input Data'!$BH:$BH,'Input Data'!$G:$G,$C72,'Input Data'!$V:$V,"FIID")</f>
        <v>0</v>
      </c>
      <c r="V72" s="21">
        <f t="shared" si="14"/>
        <v>0</v>
      </c>
      <c r="W72" s="21">
        <f t="shared" si="15"/>
        <v>0</v>
      </c>
      <c r="X72" s="191">
        <f t="shared" si="16"/>
        <v>0</v>
      </c>
      <c r="Y72" s="48">
        <f>+SUMIFS('Input Data'!$AK:$AK,'Input Data'!$G:$G,$C72,'Input Data'!$V:$V,"FIBL")</f>
        <v>0</v>
      </c>
      <c r="Z72" s="21">
        <f>+SUMIFS('Input Data'!$AH:$AH,'Input Data'!$G:$G,$C72)</f>
        <v>256410.40550048434</v>
      </c>
      <c r="AA72" s="21">
        <f>+SUMIFS('Input Data'!$AY:$AY,'Input Data'!$G:$G,$C72,'Input Data'!$V:$V,"FIBL")</f>
        <v>0</v>
      </c>
      <c r="AB72" s="431">
        <f>+SUMIFS('Input Data'!$AO:$AO,'Input Data'!$G:$G,$C72,'Input Data'!$V:$V,"FIBL")</f>
        <v>0</v>
      </c>
      <c r="AC72" s="21">
        <v>0</v>
      </c>
      <c r="AD72" s="21">
        <f t="shared" si="17"/>
        <v>0</v>
      </c>
      <c r="AE72" s="21">
        <v>0</v>
      </c>
      <c r="AF72" s="191">
        <f t="shared" si="18"/>
        <v>0</v>
      </c>
      <c r="AK72" s="46">
        <f t="shared" si="19"/>
        <v>3282053.1904062</v>
      </c>
      <c r="AL72" s="46">
        <f>+SUMIFS('Input Data'!$BE:$BE,'Input Data'!$G:$G,$C72)</f>
        <v>683761.08133462502</v>
      </c>
      <c r="AM72" s="46">
        <f t="shared" si="10"/>
        <v>4222224.6772413095</v>
      </c>
    </row>
    <row r="73" spans="2:39" x14ac:dyDescent="0.35">
      <c r="B73" t="str">
        <v>ASBM 1 (NORWAY)</v>
      </c>
      <c r="C73">
        <v>13874</v>
      </c>
      <c r="D73" s="48">
        <f>+SUMIFS('Input Data'!$AK:$AK,'Input Data'!$G:$G,$C73)</f>
        <v>3092820.6134019899</v>
      </c>
      <c r="E73" s="21">
        <f>+SUMIFS('Input Data'!$AH:$AH,'Input Data'!$G:$G,$C73)</f>
        <v>96650.644168812185</v>
      </c>
      <c r="F73" s="21">
        <f>+SUMIFS('Input Data'!$AY:$AY,'Input Data'!$G:$G,$C73)</f>
        <v>618564.12268039805</v>
      </c>
      <c r="G73" s="21">
        <f>+SUMIFS('Input Data'!AO:AO,'Input Data'!$G:$G,$C73)</f>
        <v>0</v>
      </c>
      <c r="H73" s="21">
        <v>0</v>
      </c>
      <c r="I73" s="191">
        <f>+SUMIFS('Input Data'!$BF:$BF,'Input Data'!$G:$G,$C73)</f>
        <v>2474256.4907215917</v>
      </c>
      <c r="J73" s="21">
        <f t="shared" si="3"/>
        <v>2828642.1860072366</v>
      </c>
      <c r="K73" s="48">
        <f>+SUMIFS('Input Data'!$AK:$AK,'Input Data'!$G:$G,$C73,'Input Data'!$V:$V,"FUL")</f>
        <v>0</v>
      </c>
      <c r="L73" s="21">
        <f>+SUMIFS('Input Data'!$AY:$AY,'Input Data'!$G:$G,$C73,'Input Data'!$V:$V,"FUL")</f>
        <v>0</v>
      </c>
      <c r="M73" s="21">
        <f>+SUMIFS('Input Data'!$AO:$AO,'Input Data'!$G:$G,$C73,'Input Data'!$V:$V,"FUL")</f>
        <v>0</v>
      </c>
      <c r="N73" s="21">
        <f>+SUMIFS('Input Data'!$BH:$BH,'Input Data'!$G:$G,$C73,'Input Data'!$V:$V,"FUL")</f>
        <v>0</v>
      </c>
      <c r="O73" s="21">
        <f t="shared" si="11"/>
        <v>0</v>
      </c>
      <c r="P73" s="21">
        <f t="shared" si="12"/>
        <v>0</v>
      </c>
      <c r="Q73" s="191">
        <f t="shared" si="13"/>
        <v>0</v>
      </c>
      <c r="R73" s="48">
        <f>+SUMIFS('Input Data'!$AK:$AK,'Input Data'!$G:$G,$C73,'Input Data'!$V:$V,"FIID")</f>
        <v>3092820.6134019899</v>
      </c>
      <c r="S73" s="21">
        <f>+SUMIFS('Input Data'!$AY:$AY,'Input Data'!$G:$G,$C73,'Input Data'!$V:$V,"FIID")</f>
        <v>618564.12268039805</v>
      </c>
      <c r="T73" s="21">
        <f>+SUMIFS('Input Data'!$AO:$AO,'Input Data'!$G:$G,$C73,'Input Data'!$V:$V,"FIID")</f>
        <v>0</v>
      </c>
      <c r="U73" s="21">
        <f>+SUMIFS('Input Data'!$BH:$BH,'Input Data'!$G:$G,$C73,'Input Data'!$V:$V,"FIID")</f>
        <v>2103118.0171133531</v>
      </c>
      <c r="V73" s="21">
        <f t="shared" si="14"/>
        <v>371138.47360823862</v>
      </c>
      <c r="W73" s="21">
        <f t="shared" si="15"/>
        <v>0</v>
      </c>
      <c r="X73" s="191">
        <f t="shared" si="16"/>
        <v>371138.47360823862</v>
      </c>
      <c r="Y73" s="48">
        <f>+SUMIFS('Input Data'!$AK:$AK,'Input Data'!$G:$G,$C73,'Input Data'!$V:$V,"FIBL")</f>
        <v>0</v>
      </c>
      <c r="Z73" s="21">
        <f>+SUMIFS('Input Data'!$AH:$AH,'Input Data'!$G:$G,$C73)</f>
        <v>96650.644168812185</v>
      </c>
      <c r="AA73" s="21">
        <f>+SUMIFS('Input Data'!$AY:$AY,'Input Data'!$G:$G,$C73,'Input Data'!$V:$V,"FIBL")</f>
        <v>0</v>
      </c>
      <c r="AB73" s="431">
        <f>+SUMIFS('Input Data'!$AO:$AO,'Input Data'!$G:$G,$C73,'Input Data'!$V:$V,"FIBL")</f>
        <v>0</v>
      </c>
      <c r="AC73" s="21">
        <v>0</v>
      </c>
      <c r="AD73" s="21">
        <f t="shared" si="17"/>
        <v>0</v>
      </c>
      <c r="AE73" s="21">
        <v>0</v>
      </c>
      <c r="AF73" s="191">
        <f t="shared" si="18"/>
        <v>0</v>
      </c>
      <c r="AK73" s="46">
        <f t="shared" si="19"/>
        <v>2103118.0171133531</v>
      </c>
      <c r="AL73" s="46">
        <f>+SUMIFS('Input Data'!$BE:$BE,'Input Data'!$G:$G,$C73)</f>
        <v>257735.05111683253</v>
      </c>
      <c r="AM73" s="46">
        <f t="shared" si="10"/>
        <v>2457503.712398998</v>
      </c>
    </row>
    <row r="74" spans="2:39" x14ac:dyDescent="0.35">
      <c r="B74" t="str">
        <v>NULL</v>
      </c>
      <c r="C74" t="str">
        <v>NULL</v>
      </c>
      <c r="D74" s="48">
        <f>+SUMIFS('Input Data'!$AK:$AK,'Input Data'!$G:$G,$C74)</f>
        <v>0</v>
      </c>
      <c r="E74" s="21">
        <f>+SUMIFS('Input Data'!$AH:$AH,'Input Data'!$G:$G,$C74)</f>
        <v>0</v>
      </c>
      <c r="F74" s="21">
        <f>+SUMIFS('Input Data'!$AY:$AY,'Input Data'!$G:$G,$C74)</f>
        <v>0</v>
      </c>
      <c r="G74" s="21">
        <f>+SUMIFS('Input Data'!AO:AO,'Input Data'!$G:$G,$C74)</f>
        <v>0</v>
      </c>
      <c r="H74" s="21">
        <v>0</v>
      </c>
      <c r="I74" s="191">
        <f>+SUMIFS('Input Data'!$BF:$BF,'Input Data'!$G:$G,$C74)</f>
        <v>0</v>
      </c>
      <c r="J74" s="21">
        <f t="shared" si="3"/>
        <v>0</v>
      </c>
      <c r="K74" s="48">
        <f>+SUMIFS('Input Data'!$AK:$AK,'Input Data'!$G:$G,$C74,'Input Data'!$V:$V,"FUL")</f>
        <v>0</v>
      </c>
      <c r="L74" s="21">
        <f>+SUMIFS('Input Data'!$AY:$AY,'Input Data'!$G:$G,$C74,'Input Data'!$V:$V,"FUL")</f>
        <v>0</v>
      </c>
      <c r="M74" s="21">
        <f>+SUMIFS('Input Data'!$AO:$AO,'Input Data'!$G:$G,$C74,'Input Data'!$V:$V,"FUL")</f>
        <v>0</v>
      </c>
      <c r="N74" s="21">
        <f>+SUMIFS('Input Data'!$BH:$BH,'Input Data'!$G:$G,$C74,'Input Data'!$V:$V,"FUL")</f>
        <v>0</v>
      </c>
      <c r="O74" s="21">
        <f t="shared" si="11"/>
        <v>0</v>
      </c>
      <c r="P74" s="21">
        <f t="shared" si="12"/>
        <v>0</v>
      </c>
      <c r="Q74" s="191">
        <f t="shared" si="13"/>
        <v>0</v>
      </c>
      <c r="R74" s="48">
        <f>+SUMIFS('Input Data'!$AK:$AK,'Input Data'!$G:$G,$C74,'Input Data'!$V:$V,"FIID")</f>
        <v>0</v>
      </c>
      <c r="S74" s="21">
        <f>+SUMIFS('Input Data'!$AY:$AY,'Input Data'!$G:$G,$C74,'Input Data'!$V:$V,"FIID")</f>
        <v>0</v>
      </c>
      <c r="T74" s="21">
        <f>+SUMIFS('Input Data'!$AO:$AO,'Input Data'!$G:$G,$C74,'Input Data'!$V:$V,"FIID")</f>
        <v>0</v>
      </c>
      <c r="U74" s="21">
        <f>+SUMIFS('Input Data'!$BH:$BH,'Input Data'!$G:$G,$C74,'Input Data'!$V:$V,"FIID")</f>
        <v>0</v>
      </c>
      <c r="V74" s="21">
        <f t="shared" si="14"/>
        <v>0</v>
      </c>
      <c r="W74" s="21">
        <f t="shared" si="15"/>
        <v>0</v>
      </c>
      <c r="X74" s="191">
        <f t="shared" si="16"/>
        <v>0</v>
      </c>
      <c r="Y74" s="48">
        <f>+SUMIFS('Input Data'!$AK:$AK,'Input Data'!$G:$G,$C74,'Input Data'!$V:$V,"FIBL")</f>
        <v>0</v>
      </c>
      <c r="Z74" s="21">
        <f>+SUMIFS('Input Data'!$AH:$AH,'Input Data'!$G:$G,$C74)</f>
        <v>0</v>
      </c>
      <c r="AA74" s="21">
        <f>+SUMIFS('Input Data'!$AY:$AY,'Input Data'!$G:$G,$C74,'Input Data'!$V:$V,"FIBL")</f>
        <v>0</v>
      </c>
      <c r="AB74" s="431">
        <f>+SUMIFS('Input Data'!$AO:$AO,'Input Data'!$G:$G,$C74,'Input Data'!$V:$V,"FIBL")</f>
        <v>0</v>
      </c>
      <c r="AC74" s="21">
        <v>0</v>
      </c>
      <c r="AD74" s="21">
        <f t="shared" si="17"/>
        <v>0</v>
      </c>
      <c r="AE74" s="21">
        <v>0</v>
      </c>
      <c r="AF74" s="191">
        <f t="shared" si="18"/>
        <v>0</v>
      </c>
      <c r="AK74" s="46">
        <f t="shared" si="19"/>
        <v>0</v>
      </c>
      <c r="AL74" s="46">
        <f>+SUMIFS('Input Data'!$BE:$BE,'Input Data'!$G:$G,$C74)</f>
        <v>0</v>
      </c>
      <c r="AM74" s="46">
        <f t="shared" si="10"/>
        <v>0</v>
      </c>
    </row>
    <row r="75" spans="2:39" x14ac:dyDescent="0.35">
      <c r="B75" t="str">
        <v>EDRS C (HYLAS 3)</v>
      </c>
      <c r="C75">
        <v>9314</v>
      </c>
      <c r="D75" s="48">
        <f>+SUMIFS('Input Data'!$AK:$AK,'Input Data'!$G:$G,$C75)</f>
        <v>5257732.5685566999</v>
      </c>
      <c r="E75" s="21">
        <f>+SUMIFS('Input Data'!$AH:$AH,'Input Data'!$G:$G,$C75)</f>
        <v>164304.14276739687</v>
      </c>
      <c r="F75" s="21">
        <f>+SUMIFS('Input Data'!$AY:$AY,'Input Data'!$G:$G,$C75)</f>
        <v>1051546.51371134</v>
      </c>
      <c r="G75" s="21">
        <f>+SUMIFS('Input Data'!AO:AO,'Input Data'!$G:$G,$C75)</f>
        <v>0</v>
      </c>
      <c r="H75" s="21">
        <v>0</v>
      </c>
      <c r="I75" s="191">
        <f>+SUMIFS('Input Data'!$BF:$BF,'Input Data'!$G:$G,$C75)</f>
        <v>4206186.0548453601</v>
      </c>
      <c r="J75" s="21">
        <f t="shared" si="3"/>
        <v>4808634.5783258155</v>
      </c>
      <c r="K75" s="48">
        <f>+SUMIFS('Input Data'!$AK:$AK,'Input Data'!$G:$G,$C75,'Input Data'!$V:$V,"FUL")</f>
        <v>5257732.5685566999</v>
      </c>
      <c r="L75" s="21">
        <f>+SUMIFS('Input Data'!$AY:$AY,'Input Data'!$G:$G,$C75,'Input Data'!$V:$V,"FUL")</f>
        <v>1051546.51371134</v>
      </c>
      <c r="M75" s="21">
        <f>+SUMIFS('Input Data'!$AO:$AO,'Input Data'!$G:$G,$C75,'Input Data'!$V:$V,"FUL")</f>
        <v>0</v>
      </c>
      <c r="N75" s="21">
        <f>+SUMIFS('Input Data'!$BH:$BH,'Input Data'!$G:$G,$C75,'Input Data'!$V:$V,"FUL")</f>
        <v>2103093.0274226801</v>
      </c>
      <c r="O75" s="21">
        <f t="shared" si="11"/>
        <v>2103093.0274226801</v>
      </c>
      <c r="P75" s="21">
        <f t="shared" si="12"/>
        <v>0</v>
      </c>
      <c r="Q75" s="191">
        <f t="shared" si="13"/>
        <v>2103093.0274226801</v>
      </c>
      <c r="R75" s="48">
        <f>+SUMIFS('Input Data'!$AK:$AK,'Input Data'!$G:$G,$C75,'Input Data'!$V:$V,"FIID")</f>
        <v>0</v>
      </c>
      <c r="S75" s="21">
        <f>+SUMIFS('Input Data'!$AY:$AY,'Input Data'!$G:$G,$C75,'Input Data'!$V:$V,"FIID")</f>
        <v>0</v>
      </c>
      <c r="T75" s="21">
        <f>+SUMIFS('Input Data'!$AO:$AO,'Input Data'!$G:$G,$C75,'Input Data'!$V:$V,"FIID")</f>
        <v>0</v>
      </c>
      <c r="U75" s="21">
        <f>+SUMIFS('Input Data'!$BH:$BH,'Input Data'!$G:$G,$C75,'Input Data'!$V:$V,"FIID")</f>
        <v>0</v>
      </c>
      <c r="V75" s="21">
        <f t="shared" si="14"/>
        <v>0</v>
      </c>
      <c r="W75" s="21">
        <f t="shared" si="15"/>
        <v>0</v>
      </c>
      <c r="X75" s="191">
        <f t="shared" si="16"/>
        <v>0</v>
      </c>
      <c r="Y75" s="48">
        <f>+SUMIFS('Input Data'!$AK:$AK,'Input Data'!$G:$G,$C75,'Input Data'!$V:$V,"FIBL")</f>
        <v>0</v>
      </c>
      <c r="Z75" s="21">
        <f>+SUMIFS('Input Data'!$AH:$AH,'Input Data'!$G:$G,$C75)</f>
        <v>164304.14276739687</v>
      </c>
      <c r="AA75" s="21">
        <f>+SUMIFS('Input Data'!$AY:$AY,'Input Data'!$G:$G,$C75,'Input Data'!$V:$V,"FIBL")</f>
        <v>0</v>
      </c>
      <c r="AB75" s="431">
        <f>+SUMIFS('Input Data'!$AO:$AO,'Input Data'!$G:$G,$C75,'Input Data'!$V:$V,"FIBL")</f>
        <v>0</v>
      </c>
      <c r="AC75" s="21">
        <v>0</v>
      </c>
      <c r="AD75" s="21">
        <f t="shared" si="17"/>
        <v>0</v>
      </c>
      <c r="AE75" s="21">
        <v>0</v>
      </c>
      <c r="AF75" s="191">
        <f t="shared" si="18"/>
        <v>0</v>
      </c>
      <c r="AK75" s="46">
        <f t="shared" si="19"/>
        <v>2103093.0274226801</v>
      </c>
      <c r="AL75" s="46">
        <f>+SUMIFS('Input Data'!$BE:$BE,'Input Data'!$G:$G,$C75)</f>
        <v>438144.38071305834</v>
      </c>
      <c r="AM75" s="46">
        <f t="shared" si="10"/>
        <v>2705541.550903135</v>
      </c>
    </row>
    <row r="76" spans="2:39" x14ac:dyDescent="0.35">
      <c r="B76" t="str">
        <v>VIASAT-1</v>
      </c>
      <c r="C76">
        <v>8604</v>
      </c>
      <c r="D76" s="48">
        <f>+SUMIFS('Input Data'!$AK:$AK,'Input Data'!$G:$G,$C76)</f>
        <v>5608052.1556016998</v>
      </c>
      <c r="E76" s="21">
        <f>+SUMIFS('Input Data'!$AH:$AH,'Input Data'!$G:$G,$C76)</f>
        <v>175251.62986255312</v>
      </c>
      <c r="F76" s="21">
        <f>+SUMIFS('Input Data'!$AY:$AY,'Input Data'!$G:$G,$C76)</f>
        <v>1121610.43112034</v>
      </c>
      <c r="G76" s="21">
        <f>+SUMIFS('Input Data'!AO:AO,'Input Data'!$G:$G,$C76)</f>
        <v>0</v>
      </c>
      <c r="H76" s="21">
        <v>0</v>
      </c>
      <c r="I76" s="191">
        <f>+SUMIFS('Input Data'!$BF:$BF,'Input Data'!$G:$G,$C76)</f>
        <v>4486441.7244813601</v>
      </c>
      <c r="J76" s="21">
        <f t="shared" si="3"/>
        <v>5129031.0339773884</v>
      </c>
      <c r="K76" s="48">
        <f>+SUMIFS('Input Data'!$AK:$AK,'Input Data'!$G:$G,$C76,'Input Data'!$V:$V,"FUL")</f>
        <v>5608052.1556016998</v>
      </c>
      <c r="L76" s="21">
        <f>+SUMIFS('Input Data'!$AY:$AY,'Input Data'!$G:$G,$C76,'Input Data'!$V:$V,"FUL")</f>
        <v>1121610.43112034</v>
      </c>
      <c r="M76" s="21">
        <f>+SUMIFS('Input Data'!$AO:$AO,'Input Data'!$G:$G,$C76,'Input Data'!$V:$V,"FUL")</f>
        <v>0</v>
      </c>
      <c r="N76" s="21">
        <f>+SUMIFS('Input Data'!$BH:$BH,'Input Data'!$G:$G,$C76,'Input Data'!$V:$V,"FUL")</f>
        <v>2243220.86224068</v>
      </c>
      <c r="O76" s="21">
        <f t="shared" si="11"/>
        <v>2243220.86224068</v>
      </c>
      <c r="P76" s="21">
        <f t="shared" si="12"/>
        <v>0</v>
      </c>
      <c r="Q76" s="191">
        <f t="shared" si="13"/>
        <v>2243220.86224068</v>
      </c>
      <c r="R76" s="48">
        <f>+SUMIFS('Input Data'!$AK:$AK,'Input Data'!$G:$G,$C76,'Input Data'!$V:$V,"FIID")</f>
        <v>0</v>
      </c>
      <c r="S76" s="21">
        <f>+SUMIFS('Input Data'!$AY:$AY,'Input Data'!$G:$G,$C76,'Input Data'!$V:$V,"FIID")</f>
        <v>0</v>
      </c>
      <c r="T76" s="21">
        <f>+SUMIFS('Input Data'!$AO:$AO,'Input Data'!$G:$G,$C76,'Input Data'!$V:$V,"FIID")</f>
        <v>0</v>
      </c>
      <c r="U76" s="21">
        <f>+SUMIFS('Input Data'!$BH:$BH,'Input Data'!$G:$G,$C76,'Input Data'!$V:$V,"FIID")</f>
        <v>0</v>
      </c>
      <c r="V76" s="21">
        <f t="shared" si="14"/>
        <v>0</v>
      </c>
      <c r="W76" s="21">
        <f t="shared" si="15"/>
        <v>0</v>
      </c>
      <c r="X76" s="191">
        <f t="shared" si="16"/>
        <v>0</v>
      </c>
      <c r="Y76" s="48">
        <f>+SUMIFS('Input Data'!$AK:$AK,'Input Data'!$G:$G,$C76,'Input Data'!$V:$V,"FIBL")</f>
        <v>0</v>
      </c>
      <c r="Z76" s="21">
        <f>+SUMIFS('Input Data'!$AH:$AH,'Input Data'!$G:$G,$C76)</f>
        <v>175251.62986255312</v>
      </c>
      <c r="AA76" s="21">
        <f>+SUMIFS('Input Data'!$AY:$AY,'Input Data'!$G:$G,$C76,'Input Data'!$V:$V,"FIBL")</f>
        <v>0</v>
      </c>
      <c r="AB76" s="431">
        <f>+SUMIFS('Input Data'!$AO:$AO,'Input Data'!$G:$G,$C76,'Input Data'!$V:$V,"FIBL")</f>
        <v>0</v>
      </c>
      <c r="AC76" s="21">
        <v>0</v>
      </c>
      <c r="AD76" s="21">
        <f t="shared" si="17"/>
        <v>0</v>
      </c>
      <c r="AE76" s="21">
        <v>0</v>
      </c>
      <c r="AF76" s="191">
        <f t="shared" si="18"/>
        <v>0</v>
      </c>
      <c r="AK76" s="46">
        <f t="shared" si="19"/>
        <v>2243220.86224068</v>
      </c>
      <c r="AL76" s="46">
        <f>+SUMIFS('Input Data'!$BE:$BE,'Input Data'!$G:$G,$C76)</f>
        <v>467337.67963347503</v>
      </c>
      <c r="AM76" s="46">
        <f t="shared" si="10"/>
        <v>2885810.1717367079</v>
      </c>
    </row>
    <row r="77" spans="2:39" x14ac:dyDescent="0.35">
      <c r="B77" t="str">
        <v>KA-SAT</v>
      </c>
      <c r="C77">
        <v>8603</v>
      </c>
      <c r="D77" s="48">
        <f>+SUMIFS('Input Data'!$AK:$AK,'Input Data'!$G:$G,$C77)</f>
        <v>4521747.2089585997</v>
      </c>
      <c r="E77" s="21">
        <f>+SUMIFS('Input Data'!$AH:$AH,'Input Data'!$G:$G,$C77)</f>
        <v>141304.60027995624</v>
      </c>
      <c r="F77" s="21">
        <f>+SUMIFS('Input Data'!$AY:$AY,'Input Data'!$G:$G,$C77)</f>
        <v>904349.44179171999</v>
      </c>
      <c r="G77" s="21">
        <f>+SUMIFS('Input Data'!AO:AO,'Input Data'!$G:$G,$C77)</f>
        <v>0</v>
      </c>
      <c r="H77" s="21">
        <v>0</v>
      </c>
      <c r="I77" s="191">
        <f>+SUMIFS('Input Data'!$BF:$BF,'Input Data'!$G:$G,$C77)</f>
        <v>3617397.76716688</v>
      </c>
      <c r="J77" s="21">
        <f t="shared" si="3"/>
        <v>4135514.6348600527</v>
      </c>
      <c r="K77" s="48">
        <f>+SUMIFS('Input Data'!$AK:$AK,'Input Data'!$G:$G,$C77,'Input Data'!$V:$V,"FUL")</f>
        <v>4521747.2089585997</v>
      </c>
      <c r="L77" s="21">
        <f>+SUMIFS('Input Data'!$AY:$AY,'Input Data'!$G:$G,$C77,'Input Data'!$V:$V,"FUL")</f>
        <v>904349.44179171999</v>
      </c>
      <c r="M77" s="21">
        <f>+SUMIFS('Input Data'!$AO:$AO,'Input Data'!$G:$G,$C77,'Input Data'!$V:$V,"FUL")</f>
        <v>0</v>
      </c>
      <c r="N77" s="21">
        <f>+SUMIFS('Input Data'!$BH:$BH,'Input Data'!$G:$G,$C77,'Input Data'!$V:$V,"FUL")</f>
        <v>1808698.88358344</v>
      </c>
      <c r="O77" s="21">
        <f t="shared" si="11"/>
        <v>1808698.88358344</v>
      </c>
      <c r="P77" s="21">
        <f t="shared" si="12"/>
        <v>0</v>
      </c>
      <c r="Q77" s="191">
        <f t="shared" si="13"/>
        <v>1808698.88358344</v>
      </c>
      <c r="R77" s="48">
        <f>+SUMIFS('Input Data'!$AK:$AK,'Input Data'!$G:$G,$C77,'Input Data'!$V:$V,"FIID")</f>
        <v>0</v>
      </c>
      <c r="S77" s="21">
        <f>+SUMIFS('Input Data'!$AY:$AY,'Input Data'!$G:$G,$C77,'Input Data'!$V:$V,"FIID")</f>
        <v>0</v>
      </c>
      <c r="T77" s="21">
        <f>+SUMIFS('Input Data'!$AO:$AO,'Input Data'!$G:$G,$C77,'Input Data'!$V:$V,"FIID")</f>
        <v>0</v>
      </c>
      <c r="U77" s="21">
        <f>+SUMIFS('Input Data'!$BH:$BH,'Input Data'!$G:$G,$C77,'Input Data'!$V:$V,"FIID")</f>
        <v>0</v>
      </c>
      <c r="V77" s="21">
        <f t="shared" si="14"/>
        <v>0</v>
      </c>
      <c r="W77" s="21">
        <f t="shared" si="15"/>
        <v>0</v>
      </c>
      <c r="X77" s="191">
        <f t="shared" si="16"/>
        <v>0</v>
      </c>
      <c r="Y77" s="48">
        <f>+SUMIFS('Input Data'!$AK:$AK,'Input Data'!$G:$G,$C77,'Input Data'!$V:$V,"FIBL")</f>
        <v>0</v>
      </c>
      <c r="Z77" s="21">
        <f>+SUMIFS('Input Data'!$AH:$AH,'Input Data'!$G:$G,$C77)</f>
        <v>141304.60027995624</v>
      </c>
      <c r="AA77" s="21">
        <f>+SUMIFS('Input Data'!$AY:$AY,'Input Data'!$G:$G,$C77,'Input Data'!$V:$V,"FIBL")</f>
        <v>0</v>
      </c>
      <c r="AB77" s="431">
        <f>+SUMIFS('Input Data'!$AO:$AO,'Input Data'!$G:$G,$C77,'Input Data'!$V:$V,"FIBL")</f>
        <v>0</v>
      </c>
      <c r="AC77" s="21">
        <v>0</v>
      </c>
      <c r="AD77" s="21">
        <f t="shared" si="17"/>
        <v>0</v>
      </c>
      <c r="AE77" s="21">
        <v>0</v>
      </c>
      <c r="AF77" s="191">
        <f t="shared" si="18"/>
        <v>0</v>
      </c>
      <c r="AK77" s="46">
        <f t="shared" si="19"/>
        <v>1808698.88358344</v>
      </c>
      <c r="AL77" s="46">
        <f>+SUMIFS('Input Data'!$BE:$BE,'Input Data'!$G:$G,$C77)</f>
        <v>376812.2674132167</v>
      </c>
      <c r="AM77" s="46">
        <f t="shared" si="10"/>
        <v>2326815.7512766127</v>
      </c>
    </row>
    <row r="78" spans="2:39" x14ac:dyDescent="0.35">
      <c r="B78" t="str">
        <v>VIASAT-2</v>
      </c>
      <c r="C78">
        <v>9635</v>
      </c>
      <c r="D78" s="48">
        <f>+SUMIFS('Input Data'!$AK:$AK,'Input Data'!$G:$G,$C78)</f>
        <v>9278349.8814432994</v>
      </c>
      <c r="E78" s="21">
        <f>+SUMIFS('Input Data'!$AH:$AH,'Input Data'!$G:$G,$C78)</f>
        <v>289948.4337951031</v>
      </c>
      <c r="F78" s="21">
        <f>+SUMIFS('Input Data'!$AY:$AY,'Input Data'!$G:$G,$C78)</f>
        <v>1855669.97628866</v>
      </c>
      <c r="G78" s="21">
        <f>+SUMIFS('Input Data'!AO:AO,'Input Data'!$G:$G,$C78)</f>
        <v>0</v>
      </c>
      <c r="H78" s="21">
        <v>0</v>
      </c>
      <c r="I78" s="191">
        <f>+SUMIFS('Input Data'!$BF:$BF,'Input Data'!$G:$G,$C78)</f>
        <v>7422679.9051546399</v>
      </c>
      <c r="J78" s="21">
        <f t="shared" ref="J78:J127" si="20">I78+E78+AL78</f>
        <v>8485824.1624033507</v>
      </c>
      <c r="K78" s="48">
        <f>+SUMIFS('Input Data'!$AK:$AK,'Input Data'!$G:$G,$C78,'Input Data'!$V:$V,"FUL")</f>
        <v>9278349.8814432994</v>
      </c>
      <c r="L78" s="21">
        <f>+SUMIFS('Input Data'!$AY:$AY,'Input Data'!$G:$G,$C78,'Input Data'!$V:$V,"FUL")</f>
        <v>1855669.97628866</v>
      </c>
      <c r="M78" s="21">
        <f>+SUMIFS('Input Data'!$AO:$AO,'Input Data'!$G:$G,$C78,'Input Data'!$V:$V,"FUL")</f>
        <v>0</v>
      </c>
      <c r="N78" s="21">
        <f>+SUMIFS('Input Data'!$BH:$BH,'Input Data'!$G:$G,$C78,'Input Data'!$V:$V,"FUL")</f>
        <v>3711339.9525773199</v>
      </c>
      <c r="O78" s="21">
        <f t="shared" si="11"/>
        <v>3711339.9525773199</v>
      </c>
      <c r="P78" s="21">
        <f t="shared" si="12"/>
        <v>0</v>
      </c>
      <c r="Q78" s="191">
        <f t="shared" si="13"/>
        <v>3711339.9525773199</v>
      </c>
      <c r="R78" s="48">
        <f>+SUMIFS('Input Data'!$AK:$AK,'Input Data'!$G:$G,$C78,'Input Data'!$V:$V,"FIID")</f>
        <v>0</v>
      </c>
      <c r="S78" s="21">
        <f>+SUMIFS('Input Data'!$AY:$AY,'Input Data'!$G:$G,$C78,'Input Data'!$V:$V,"FIID")</f>
        <v>0</v>
      </c>
      <c r="T78" s="21">
        <f>+SUMIFS('Input Data'!$AO:$AO,'Input Data'!$G:$G,$C78,'Input Data'!$V:$V,"FIID")</f>
        <v>0</v>
      </c>
      <c r="U78" s="21">
        <f>+SUMIFS('Input Data'!$BH:$BH,'Input Data'!$G:$G,$C78,'Input Data'!$V:$V,"FIID")</f>
        <v>0</v>
      </c>
      <c r="V78" s="21">
        <f t="shared" si="14"/>
        <v>0</v>
      </c>
      <c r="W78" s="21">
        <f t="shared" si="15"/>
        <v>0</v>
      </c>
      <c r="X78" s="191">
        <f t="shared" si="16"/>
        <v>0</v>
      </c>
      <c r="Y78" s="48">
        <f>+SUMIFS('Input Data'!$AK:$AK,'Input Data'!$G:$G,$C78,'Input Data'!$V:$V,"FIBL")</f>
        <v>0</v>
      </c>
      <c r="Z78" s="21">
        <f>+SUMIFS('Input Data'!$AH:$AH,'Input Data'!$G:$G,$C78)</f>
        <v>289948.4337951031</v>
      </c>
      <c r="AA78" s="21">
        <f>+SUMIFS('Input Data'!$AY:$AY,'Input Data'!$G:$G,$C78,'Input Data'!$V:$V,"FIBL")</f>
        <v>0</v>
      </c>
      <c r="AB78" s="431">
        <f>+SUMIFS('Input Data'!$AO:$AO,'Input Data'!$G:$G,$C78,'Input Data'!$V:$V,"FIBL")</f>
        <v>0</v>
      </c>
      <c r="AC78" s="21">
        <v>0</v>
      </c>
      <c r="AD78" s="21">
        <f t="shared" si="17"/>
        <v>0</v>
      </c>
      <c r="AE78" s="21">
        <v>0</v>
      </c>
      <c r="AF78" s="191">
        <f t="shared" si="18"/>
        <v>0</v>
      </c>
      <c r="AK78" s="46">
        <f t="shared" si="19"/>
        <v>3711339.9525773199</v>
      </c>
      <c r="AL78" s="46">
        <f>+SUMIFS('Input Data'!$BE:$BE,'Input Data'!$G:$G,$C78)</f>
        <v>773195.82345360832</v>
      </c>
      <c r="AM78" s="46">
        <f t="shared" ref="AM78:AM127" si="21">AK78+AF78+AL78+Z78</f>
        <v>4774484.2098260308</v>
      </c>
    </row>
    <row r="79" spans="2:39" x14ac:dyDescent="0.35">
      <c r="B79" t="str">
        <v>BSAT 4A</v>
      </c>
      <c r="C79">
        <v>10403</v>
      </c>
      <c r="D79" s="48">
        <f>+SUMIFS('Input Data'!$AK:$AK,'Input Data'!$G:$G,$C79)</f>
        <v>2544859.32882442</v>
      </c>
      <c r="E79" s="21">
        <f>+SUMIFS('Input Data'!$AH:$AH,'Input Data'!$G:$G,$C79)</f>
        <v>79526.854025763125</v>
      </c>
      <c r="F79" s="21">
        <f>+SUMIFS('Input Data'!$AY:$AY,'Input Data'!$G:$G,$C79)</f>
        <v>508971.86576488405</v>
      </c>
      <c r="G79" s="21">
        <f>+SUMIFS('Input Data'!AO:AO,'Input Data'!$G:$G,$C79)</f>
        <v>0</v>
      </c>
      <c r="H79" s="21">
        <v>0</v>
      </c>
      <c r="I79" s="191">
        <f>+SUMIFS('Input Data'!$BF:$BF,'Input Data'!$G:$G,$C79)</f>
        <v>2035887.4630595359</v>
      </c>
      <c r="J79" s="21">
        <f t="shared" si="20"/>
        <v>2327485.9278206676</v>
      </c>
      <c r="K79" s="48">
        <f>+SUMIFS('Input Data'!$AK:$AK,'Input Data'!$G:$G,$C79,'Input Data'!$V:$V,"FUL")</f>
        <v>2544859.32882442</v>
      </c>
      <c r="L79" s="21">
        <f>+SUMIFS('Input Data'!$AY:$AY,'Input Data'!$G:$G,$C79,'Input Data'!$V:$V,"FUL")</f>
        <v>508971.86576488405</v>
      </c>
      <c r="M79" s="21">
        <f>+SUMIFS('Input Data'!$AO:$AO,'Input Data'!$G:$G,$C79,'Input Data'!$V:$V,"FUL")</f>
        <v>0</v>
      </c>
      <c r="N79" s="21">
        <f>+SUMIFS('Input Data'!$BH:$BH,'Input Data'!$G:$G,$C79,'Input Data'!$V:$V,"FUL")</f>
        <v>1017943.731529768</v>
      </c>
      <c r="O79" s="21">
        <f t="shared" si="11"/>
        <v>1017943.731529768</v>
      </c>
      <c r="P79" s="21">
        <f t="shared" si="12"/>
        <v>0</v>
      </c>
      <c r="Q79" s="191">
        <f t="shared" si="13"/>
        <v>1017943.731529768</v>
      </c>
      <c r="R79" s="48">
        <f>+SUMIFS('Input Data'!$AK:$AK,'Input Data'!$G:$G,$C79,'Input Data'!$V:$V,"FIID")</f>
        <v>0</v>
      </c>
      <c r="S79" s="21">
        <f>+SUMIFS('Input Data'!$AY:$AY,'Input Data'!$G:$G,$C79,'Input Data'!$V:$V,"FIID")</f>
        <v>0</v>
      </c>
      <c r="T79" s="21">
        <f>+SUMIFS('Input Data'!$AO:$AO,'Input Data'!$G:$G,$C79,'Input Data'!$V:$V,"FIID")</f>
        <v>0</v>
      </c>
      <c r="U79" s="21">
        <f>+SUMIFS('Input Data'!$BH:$BH,'Input Data'!$G:$G,$C79,'Input Data'!$V:$V,"FIID")</f>
        <v>0</v>
      </c>
      <c r="V79" s="21">
        <f t="shared" si="14"/>
        <v>0</v>
      </c>
      <c r="W79" s="21">
        <f t="shared" si="15"/>
        <v>0</v>
      </c>
      <c r="X79" s="191">
        <f t="shared" si="16"/>
        <v>0</v>
      </c>
      <c r="Y79" s="48">
        <f>+SUMIFS('Input Data'!$AK:$AK,'Input Data'!$G:$G,$C79,'Input Data'!$V:$V,"FIBL")</f>
        <v>0</v>
      </c>
      <c r="Z79" s="21">
        <f>+SUMIFS('Input Data'!$AH:$AH,'Input Data'!$G:$G,$C79)</f>
        <v>79526.854025763125</v>
      </c>
      <c r="AA79" s="21">
        <f>+SUMIFS('Input Data'!$AY:$AY,'Input Data'!$G:$G,$C79,'Input Data'!$V:$V,"FIBL")</f>
        <v>0</v>
      </c>
      <c r="AB79" s="431">
        <f>+SUMIFS('Input Data'!$AO:$AO,'Input Data'!$G:$G,$C79,'Input Data'!$V:$V,"FIBL")</f>
        <v>0</v>
      </c>
      <c r="AC79" s="21">
        <v>0</v>
      </c>
      <c r="AD79" s="21">
        <f t="shared" si="17"/>
        <v>0</v>
      </c>
      <c r="AE79" s="21">
        <v>0</v>
      </c>
      <c r="AF79" s="191">
        <f t="shared" si="18"/>
        <v>0</v>
      </c>
      <c r="AK79" s="46">
        <f t="shared" si="19"/>
        <v>1017943.731529768</v>
      </c>
      <c r="AL79" s="46">
        <f>+SUMIFS('Input Data'!$BE:$BE,'Input Data'!$G:$G,$C79)</f>
        <v>212071.61073536836</v>
      </c>
      <c r="AM79" s="46">
        <f t="shared" si="21"/>
        <v>1309542.1962908995</v>
      </c>
    </row>
    <row r="80" spans="2:39" x14ac:dyDescent="0.35">
      <c r="B80" t="str">
        <v>BSAT 4B</v>
      </c>
      <c r="C80">
        <v>12491</v>
      </c>
      <c r="D80" s="48">
        <f>+SUMIFS('Input Data'!$AK:$AK,'Input Data'!$G:$G,$C80)</f>
        <v>2939010.0213085599</v>
      </c>
      <c r="E80" s="21">
        <f>+SUMIFS('Input Data'!$AH:$AH,'Input Data'!$G:$G,$C80)</f>
        <v>91844.063165892498</v>
      </c>
      <c r="F80" s="21">
        <f>+SUMIFS('Input Data'!$AY:$AY,'Input Data'!$G:$G,$C80)</f>
        <v>587802.00426171196</v>
      </c>
      <c r="G80" s="21">
        <f>+SUMIFS('Input Data'!AO:AO,'Input Data'!$G:$G,$C80)</f>
        <v>0</v>
      </c>
      <c r="H80" s="21">
        <v>0</v>
      </c>
      <c r="I80" s="191">
        <f>+SUMIFS('Input Data'!$BF:$BF,'Input Data'!$G:$G,$C80)</f>
        <v>2351208.0170468478</v>
      </c>
      <c r="J80" s="21">
        <f t="shared" si="20"/>
        <v>2687969.5819884534</v>
      </c>
      <c r="K80" s="48">
        <f>+SUMIFS('Input Data'!$AK:$AK,'Input Data'!$G:$G,$C80,'Input Data'!$V:$V,"FUL")</f>
        <v>2939010.0213085599</v>
      </c>
      <c r="L80" s="21">
        <f>+SUMIFS('Input Data'!$AY:$AY,'Input Data'!$G:$G,$C80,'Input Data'!$V:$V,"FUL")</f>
        <v>587802.00426171196</v>
      </c>
      <c r="M80" s="21">
        <f>+SUMIFS('Input Data'!$AO:$AO,'Input Data'!$G:$G,$C80,'Input Data'!$V:$V,"FUL")</f>
        <v>0</v>
      </c>
      <c r="N80" s="21">
        <f>+SUMIFS('Input Data'!$BH:$BH,'Input Data'!$G:$G,$C80,'Input Data'!$V:$V,"FUL")</f>
        <v>1175604.0085234239</v>
      </c>
      <c r="O80" s="21">
        <f t="shared" si="11"/>
        <v>1175604.0085234239</v>
      </c>
      <c r="P80" s="21">
        <f t="shared" si="12"/>
        <v>0</v>
      </c>
      <c r="Q80" s="191">
        <f t="shared" si="13"/>
        <v>1175604.0085234239</v>
      </c>
      <c r="R80" s="48">
        <f>+SUMIFS('Input Data'!$AK:$AK,'Input Data'!$G:$G,$C80,'Input Data'!$V:$V,"FIID")</f>
        <v>0</v>
      </c>
      <c r="S80" s="21">
        <f>+SUMIFS('Input Data'!$AY:$AY,'Input Data'!$G:$G,$C80,'Input Data'!$V:$V,"FIID")</f>
        <v>0</v>
      </c>
      <c r="T80" s="21">
        <f>+SUMIFS('Input Data'!$AO:$AO,'Input Data'!$G:$G,$C80,'Input Data'!$V:$V,"FIID")</f>
        <v>0</v>
      </c>
      <c r="U80" s="21">
        <f>+SUMIFS('Input Data'!$BH:$BH,'Input Data'!$G:$G,$C80,'Input Data'!$V:$V,"FIID")</f>
        <v>0</v>
      </c>
      <c r="V80" s="21">
        <f t="shared" si="14"/>
        <v>0</v>
      </c>
      <c r="W80" s="21">
        <f t="shared" si="15"/>
        <v>0</v>
      </c>
      <c r="X80" s="191">
        <f t="shared" si="16"/>
        <v>0</v>
      </c>
      <c r="Y80" s="48">
        <f>+SUMIFS('Input Data'!$AK:$AK,'Input Data'!$G:$G,$C80,'Input Data'!$V:$V,"FIBL")</f>
        <v>0</v>
      </c>
      <c r="Z80" s="21">
        <f>+SUMIFS('Input Data'!$AH:$AH,'Input Data'!$G:$G,$C80)</f>
        <v>91844.063165892498</v>
      </c>
      <c r="AA80" s="21">
        <f>+SUMIFS('Input Data'!$AY:$AY,'Input Data'!$G:$G,$C80,'Input Data'!$V:$V,"FIBL")</f>
        <v>0</v>
      </c>
      <c r="AB80" s="431">
        <f>+SUMIFS('Input Data'!$AO:$AO,'Input Data'!$G:$G,$C80,'Input Data'!$V:$V,"FIBL")</f>
        <v>0</v>
      </c>
      <c r="AC80" s="21">
        <v>0</v>
      </c>
      <c r="AD80" s="21">
        <f t="shared" si="17"/>
        <v>0</v>
      </c>
      <c r="AE80" s="21">
        <v>0</v>
      </c>
      <c r="AF80" s="191">
        <f t="shared" si="18"/>
        <v>0</v>
      </c>
      <c r="AK80" s="46">
        <f t="shared" si="19"/>
        <v>1175604.0085234239</v>
      </c>
      <c r="AL80" s="46">
        <f>+SUMIFS('Input Data'!$BE:$BE,'Input Data'!$G:$G,$C80)</f>
        <v>244917.50177571332</v>
      </c>
      <c r="AM80" s="46">
        <f t="shared" si="21"/>
        <v>1512365.5734650297</v>
      </c>
    </row>
    <row r="81" spans="2:39" x14ac:dyDescent="0.35">
      <c r="B81" t="str">
        <v>WORLDVIEW 1</v>
      </c>
      <c r="C81">
        <v>7894</v>
      </c>
      <c r="D81" s="48">
        <f>+SUMIFS('Input Data'!$AK:$AK,'Input Data'!$G:$G,$C81)</f>
        <v>4329895.6628866</v>
      </c>
      <c r="E81" s="21">
        <f>+SUMIFS('Input Data'!$AH:$AH,'Input Data'!$G:$G,$C81)</f>
        <v>135309.23946520625</v>
      </c>
      <c r="F81" s="21">
        <f>+SUMIFS('Input Data'!$AY:$AY,'Input Data'!$G:$G,$C81)</f>
        <v>865979.1325773201</v>
      </c>
      <c r="G81" s="21">
        <f>+SUMIFS('Input Data'!AO:AO,'Input Data'!$G:$G,$C81)</f>
        <v>0</v>
      </c>
      <c r="H81" s="21">
        <v>0</v>
      </c>
      <c r="I81" s="191">
        <f>+SUMIFS('Input Data'!$BF:$BF,'Input Data'!$G:$G,$C81)</f>
        <v>3463916.5303092799</v>
      </c>
      <c r="J81" s="21">
        <f t="shared" si="20"/>
        <v>3960050.4083483699</v>
      </c>
      <c r="K81" s="48">
        <f>+SUMIFS('Input Data'!$AK:$AK,'Input Data'!$G:$G,$C81,'Input Data'!$V:$V,"FUL")</f>
        <v>4329895.6628866</v>
      </c>
      <c r="L81" s="21">
        <f>+SUMIFS('Input Data'!$AY:$AY,'Input Data'!$G:$G,$C81,'Input Data'!$V:$V,"FUL")</f>
        <v>865979.1325773201</v>
      </c>
      <c r="M81" s="21">
        <f>+SUMIFS('Input Data'!$AO:$AO,'Input Data'!$G:$G,$C81,'Input Data'!$V:$V,"FUL")</f>
        <v>0</v>
      </c>
      <c r="N81" s="21">
        <f>+SUMIFS('Input Data'!$BH:$BH,'Input Data'!$G:$G,$C81,'Input Data'!$V:$V,"FUL")</f>
        <v>1731958.26515464</v>
      </c>
      <c r="O81" s="21">
        <f t="shared" si="11"/>
        <v>1731958.26515464</v>
      </c>
      <c r="P81" s="21">
        <f t="shared" si="12"/>
        <v>0</v>
      </c>
      <c r="Q81" s="191">
        <f t="shared" si="13"/>
        <v>1731958.26515464</v>
      </c>
      <c r="R81" s="48">
        <f>+SUMIFS('Input Data'!$AK:$AK,'Input Data'!$G:$G,$C81,'Input Data'!$V:$V,"FIID")</f>
        <v>0</v>
      </c>
      <c r="S81" s="21">
        <f>+SUMIFS('Input Data'!$AY:$AY,'Input Data'!$G:$G,$C81,'Input Data'!$V:$V,"FIID")</f>
        <v>0</v>
      </c>
      <c r="T81" s="21">
        <f>+SUMIFS('Input Data'!$AO:$AO,'Input Data'!$G:$G,$C81,'Input Data'!$V:$V,"FIID")</f>
        <v>0</v>
      </c>
      <c r="U81" s="21">
        <f>+SUMIFS('Input Data'!$BH:$BH,'Input Data'!$G:$G,$C81,'Input Data'!$V:$V,"FIID")</f>
        <v>0</v>
      </c>
      <c r="V81" s="21">
        <f t="shared" si="14"/>
        <v>0</v>
      </c>
      <c r="W81" s="21">
        <f t="shared" si="15"/>
        <v>0</v>
      </c>
      <c r="X81" s="191">
        <f t="shared" si="16"/>
        <v>0</v>
      </c>
      <c r="Y81" s="48">
        <f>+SUMIFS('Input Data'!$AK:$AK,'Input Data'!$G:$G,$C81,'Input Data'!$V:$V,"FIBL")</f>
        <v>0</v>
      </c>
      <c r="Z81" s="21">
        <f>+SUMIFS('Input Data'!$AH:$AH,'Input Data'!$G:$G,$C81)</f>
        <v>135309.23946520625</v>
      </c>
      <c r="AA81" s="21">
        <f>+SUMIFS('Input Data'!$AY:$AY,'Input Data'!$G:$G,$C81,'Input Data'!$V:$V,"FIBL")</f>
        <v>0</v>
      </c>
      <c r="AB81" s="431">
        <f>+SUMIFS('Input Data'!$AO:$AO,'Input Data'!$G:$G,$C81,'Input Data'!$V:$V,"FIBL")</f>
        <v>0</v>
      </c>
      <c r="AC81" s="21">
        <v>0</v>
      </c>
      <c r="AD81" s="21">
        <f t="shared" si="17"/>
        <v>0</v>
      </c>
      <c r="AE81" s="21">
        <v>0</v>
      </c>
      <c r="AF81" s="191">
        <f t="shared" si="18"/>
        <v>0</v>
      </c>
      <c r="AK81" s="46">
        <f t="shared" si="19"/>
        <v>1731958.26515464</v>
      </c>
      <c r="AL81" s="46">
        <f>+SUMIFS('Input Data'!$BE:$BE,'Input Data'!$G:$G,$C81)</f>
        <v>360824.63857388339</v>
      </c>
      <c r="AM81" s="46">
        <f t="shared" si="21"/>
        <v>2228092.1431937297</v>
      </c>
    </row>
    <row r="82" spans="2:39" x14ac:dyDescent="0.35">
      <c r="B82" t="str">
        <v>WORLDVIEW 3</v>
      </c>
      <c r="C82">
        <v>9033</v>
      </c>
      <c r="D82" s="48">
        <f>+SUMIFS('Input Data'!$AK:$AK,'Input Data'!$G:$G,$C82)</f>
        <v>7731957.5128865996</v>
      </c>
      <c r="E82" s="21">
        <f>+SUMIFS('Input Data'!$AH:$AH,'Input Data'!$G:$G,$C82)</f>
        <v>241623.67227770621</v>
      </c>
      <c r="F82" s="21">
        <f>+SUMIFS('Input Data'!$AY:$AY,'Input Data'!$G:$G,$C82)</f>
        <v>1546391.50257732</v>
      </c>
      <c r="G82" s="21">
        <f>+SUMIFS('Input Data'!AO:AO,'Input Data'!$G:$G,$C82)</f>
        <v>0</v>
      </c>
      <c r="H82" s="21">
        <v>0</v>
      </c>
      <c r="I82" s="191">
        <f>+SUMIFS('Input Data'!$BF:$BF,'Input Data'!$G:$G,$C82)</f>
        <v>6185566.0103092799</v>
      </c>
      <c r="J82" s="21">
        <f t="shared" si="20"/>
        <v>7071519.4753275365</v>
      </c>
      <c r="K82" s="48">
        <f>+SUMIFS('Input Data'!$AK:$AK,'Input Data'!$G:$G,$C82,'Input Data'!$V:$V,"FUL")</f>
        <v>7731957.5128865996</v>
      </c>
      <c r="L82" s="21">
        <f>+SUMIFS('Input Data'!$AY:$AY,'Input Data'!$G:$G,$C82,'Input Data'!$V:$V,"FUL")</f>
        <v>1546391.50257732</v>
      </c>
      <c r="M82" s="21">
        <f>+SUMIFS('Input Data'!$AO:$AO,'Input Data'!$G:$G,$C82,'Input Data'!$V:$V,"FUL")</f>
        <v>0</v>
      </c>
      <c r="N82" s="21">
        <f>+SUMIFS('Input Data'!$BH:$BH,'Input Data'!$G:$G,$C82,'Input Data'!$V:$V,"FUL")</f>
        <v>3092783.0051546399</v>
      </c>
      <c r="O82" s="21">
        <f t="shared" si="11"/>
        <v>3092783.0051546399</v>
      </c>
      <c r="P82" s="21">
        <f t="shared" si="12"/>
        <v>0</v>
      </c>
      <c r="Q82" s="191">
        <f t="shared" si="13"/>
        <v>3092783.0051546399</v>
      </c>
      <c r="R82" s="48">
        <f>+SUMIFS('Input Data'!$AK:$AK,'Input Data'!$G:$G,$C82,'Input Data'!$V:$V,"FIID")</f>
        <v>0</v>
      </c>
      <c r="S82" s="21">
        <f>+SUMIFS('Input Data'!$AY:$AY,'Input Data'!$G:$G,$C82,'Input Data'!$V:$V,"FIID")</f>
        <v>0</v>
      </c>
      <c r="T82" s="21">
        <f>+SUMIFS('Input Data'!$AO:$AO,'Input Data'!$G:$G,$C82,'Input Data'!$V:$V,"FIID")</f>
        <v>0</v>
      </c>
      <c r="U82" s="21">
        <f>+SUMIFS('Input Data'!$BH:$BH,'Input Data'!$G:$G,$C82,'Input Data'!$V:$V,"FIID")</f>
        <v>0</v>
      </c>
      <c r="V82" s="21">
        <f t="shared" si="14"/>
        <v>0</v>
      </c>
      <c r="W82" s="21">
        <f t="shared" si="15"/>
        <v>0</v>
      </c>
      <c r="X82" s="191">
        <f t="shared" si="16"/>
        <v>0</v>
      </c>
      <c r="Y82" s="48">
        <f>+SUMIFS('Input Data'!$AK:$AK,'Input Data'!$G:$G,$C82,'Input Data'!$V:$V,"FIBL")</f>
        <v>0</v>
      </c>
      <c r="Z82" s="21">
        <f>+SUMIFS('Input Data'!$AH:$AH,'Input Data'!$G:$G,$C82)</f>
        <v>241623.67227770621</v>
      </c>
      <c r="AA82" s="21">
        <f>+SUMIFS('Input Data'!$AY:$AY,'Input Data'!$G:$G,$C82,'Input Data'!$V:$V,"FIBL")</f>
        <v>0</v>
      </c>
      <c r="AB82" s="431">
        <f>+SUMIFS('Input Data'!$AO:$AO,'Input Data'!$G:$G,$C82,'Input Data'!$V:$V,"FIBL")</f>
        <v>0</v>
      </c>
      <c r="AC82" s="21">
        <v>0</v>
      </c>
      <c r="AD82" s="21">
        <f t="shared" si="17"/>
        <v>0</v>
      </c>
      <c r="AE82" s="21">
        <v>0</v>
      </c>
      <c r="AF82" s="191">
        <f t="shared" si="18"/>
        <v>0</v>
      </c>
      <c r="AK82" s="46">
        <f t="shared" si="19"/>
        <v>3092783.0051546399</v>
      </c>
      <c r="AL82" s="46">
        <f>+SUMIFS('Input Data'!$BE:$BE,'Input Data'!$G:$G,$C82)</f>
        <v>644329.79274055001</v>
      </c>
      <c r="AM82" s="46">
        <f t="shared" si="21"/>
        <v>3978736.470172896</v>
      </c>
    </row>
    <row r="83" spans="2:39" x14ac:dyDescent="0.35">
      <c r="B83" t="str">
        <v>WORLDVIEW 2</v>
      </c>
      <c r="C83">
        <v>8170</v>
      </c>
      <c r="D83" s="48">
        <f>+SUMIFS('Input Data'!$AK:$AK,'Input Data'!$G:$G,$C83)</f>
        <v>4329895.6628866</v>
      </c>
      <c r="E83" s="21">
        <f>+SUMIFS('Input Data'!$AH:$AH,'Input Data'!$G:$G,$C83)</f>
        <v>135309.23946520625</v>
      </c>
      <c r="F83" s="21">
        <f>+SUMIFS('Input Data'!$AY:$AY,'Input Data'!$G:$G,$C83)</f>
        <v>865979.1325773201</v>
      </c>
      <c r="G83" s="21">
        <f>+SUMIFS('Input Data'!AO:AO,'Input Data'!$G:$G,$C83)</f>
        <v>0</v>
      </c>
      <c r="H83" s="21">
        <v>0</v>
      </c>
      <c r="I83" s="191">
        <f>+SUMIFS('Input Data'!$BF:$BF,'Input Data'!$G:$G,$C83)</f>
        <v>3463916.5303092799</v>
      </c>
      <c r="J83" s="21">
        <f t="shared" si="20"/>
        <v>3960050.4083483699</v>
      </c>
      <c r="K83" s="48">
        <f>+SUMIFS('Input Data'!$AK:$AK,'Input Data'!$G:$G,$C83,'Input Data'!$V:$V,"FUL")</f>
        <v>4329895.6628866</v>
      </c>
      <c r="L83" s="21">
        <f>+SUMIFS('Input Data'!$AY:$AY,'Input Data'!$G:$G,$C83,'Input Data'!$V:$V,"FUL")</f>
        <v>865979.1325773201</v>
      </c>
      <c r="M83" s="21">
        <f>+SUMIFS('Input Data'!$AO:$AO,'Input Data'!$G:$G,$C83,'Input Data'!$V:$V,"FUL")</f>
        <v>0</v>
      </c>
      <c r="N83" s="21">
        <f>+SUMIFS('Input Data'!$BH:$BH,'Input Data'!$G:$G,$C83,'Input Data'!$V:$V,"FUL")</f>
        <v>1731958.26515464</v>
      </c>
      <c r="O83" s="21">
        <f t="shared" si="11"/>
        <v>1731958.26515464</v>
      </c>
      <c r="P83" s="21">
        <f t="shared" si="12"/>
        <v>0</v>
      </c>
      <c r="Q83" s="191">
        <f t="shared" si="13"/>
        <v>1731958.26515464</v>
      </c>
      <c r="R83" s="48">
        <f>+SUMIFS('Input Data'!$AK:$AK,'Input Data'!$G:$G,$C83,'Input Data'!$V:$V,"FIID")</f>
        <v>0</v>
      </c>
      <c r="S83" s="21">
        <f>+SUMIFS('Input Data'!$AY:$AY,'Input Data'!$G:$G,$C83,'Input Data'!$V:$V,"FIID")</f>
        <v>0</v>
      </c>
      <c r="T83" s="21">
        <f>+SUMIFS('Input Data'!$AO:$AO,'Input Data'!$G:$G,$C83,'Input Data'!$V:$V,"FIID")</f>
        <v>0</v>
      </c>
      <c r="U83" s="21">
        <f>+SUMIFS('Input Data'!$BH:$BH,'Input Data'!$G:$G,$C83,'Input Data'!$V:$V,"FIID")</f>
        <v>0</v>
      </c>
      <c r="V83" s="21">
        <f t="shared" si="14"/>
        <v>0</v>
      </c>
      <c r="W83" s="21">
        <f t="shared" si="15"/>
        <v>0</v>
      </c>
      <c r="X83" s="191">
        <f t="shared" si="16"/>
        <v>0</v>
      </c>
      <c r="Y83" s="48">
        <f>+SUMIFS('Input Data'!$AK:$AK,'Input Data'!$G:$G,$C83,'Input Data'!$V:$V,"FIBL")</f>
        <v>0</v>
      </c>
      <c r="Z83" s="21">
        <f>+SUMIFS('Input Data'!$AH:$AH,'Input Data'!$G:$G,$C83)</f>
        <v>135309.23946520625</v>
      </c>
      <c r="AA83" s="21">
        <f>+SUMIFS('Input Data'!$AY:$AY,'Input Data'!$G:$G,$C83,'Input Data'!$V:$V,"FIBL")</f>
        <v>0</v>
      </c>
      <c r="AB83" s="431">
        <f>+SUMIFS('Input Data'!$AO:$AO,'Input Data'!$G:$G,$C83,'Input Data'!$V:$V,"FIBL")</f>
        <v>0</v>
      </c>
      <c r="AC83" s="21">
        <v>0</v>
      </c>
      <c r="AD83" s="21">
        <f t="shared" si="17"/>
        <v>0</v>
      </c>
      <c r="AE83" s="21">
        <v>0</v>
      </c>
      <c r="AF83" s="191">
        <f t="shared" si="18"/>
        <v>0</v>
      </c>
      <c r="AK83" s="46">
        <f t="shared" si="19"/>
        <v>1731958.26515464</v>
      </c>
      <c r="AL83" s="46">
        <f>+SUMIFS('Input Data'!$BE:$BE,'Input Data'!$G:$G,$C83)</f>
        <v>360824.63857388339</v>
      </c>
      <c r="AM83" s="46">
        <f t="shared" si="21"/>
        <v>2228092.1431937297</v>
      </c>
    </row>
    <row r="84" spans="2:39" x14ac:dyDescent="0.35">
      <c r="B84" t="str">
        <v>VIASAT-3 F2</v>
      </c>
      <c r="C84">
        <v>10709</v>
      </c>
      <c r="D84" s="48">
        <f>+SUMIFS('Input Data'!$AK:$AK,'Input Data'!$G:$G,$C84)</f>
        <v>18556701</v>
      </c>
      <c r="E84" s="21">
        <f>+SUMIFS('Input Data'!$AH:$AH,'Input Data'!$G:$G,$C84)</f>
        <v>579896.90625</v>
      </c>
      <c r="F84" s="21">
        <f>+SUMIFS('Input Data'!$AY:$AY,'Input Data'!$G:$G,$C84)</f>
        <v>3711340.2</v>
      </c>
      <c r="G84" s="21">
        <f>+SUMIFS('Input Data'!AO:AO,'Input Data'!$G:$G,$C84)</f>
        <v>0</v>
      </c>
      <c r="H84" s="21">
        <v>0</v>
      </c>
      <c r="I84" s="191">
        <f>+SUMIFS('Input Data'!$BF:$BF,'Input Data'!$G:$G,$C84)</f>
        <v>14845360.800000001</v>
      </c>
      <c r="J84" s="21">
        <f t="shared" si="20"/>
        <v>16971649.456250001</v>
      </c>
      <c r="K84" s="48">
        <f>+SUMIFS('Input Data'!$AK:$AK,'Input Data'!$G:$G,$C84,'Input Data'!$V:$V,"FUL")</f>
        <v>18556701</v>
      </c>
      <c r="L84" s="21">
        <f>+SUMIFS('Input Data'!$AY:$AY,'Input Data'!$G:$G,$C84,'Input Data'!$V:$V,"FUL")</f>
        <v>3711340.2</v>
      </c>
      <c r="M84" s="21">
        <f>+SUMIFS('Input Data'!$AO:$AO,'Input Data'!$G:$G,$C84,'Input Data'!$V:$V,"FUL")</f>
        <v>0</v>
      </c>
      <c r="N84" s="21">
        <f>+SUMIFS('Input Data'!$BH:$BH,'Input Data'!$G:$G,$C84,'Input Data'!$V:$V,"FUL")</f>
        <v>7422680.4000000004</v>
      </c>
      <c r="O84" s="21">
        <f t="shared" si="11"/>
        <v>7422680.4000000004</v>
      </c>
      <c r="P84" s="21">
        <f t="shared" si="12"/>
        <v>0</v>
      </c>
      <c r="Q84" s="191">
        <f t="shared" si="13"/>
        <v>7422680.4000000004</v>
      </c>
      <c r="R84" s="48">
        <f>+SUMIFS('Input Data'!$AK:$AK,'Input Data'!$G:$G,$C84,'Input Data'!$V:$V,"FIID")</f>
        <v>0</v>
      </c>
      <c r="S84" s="21">
        <f>+SUMIFS('Input Data'!$AY:$AY,'Input Data'!$G:$G,$C84,'Input Data'!$V:$V,"FIID")</f>
        <v>0</v>
      </c>
      <c r="T84" s="21">
        <f>+SUMIFS('Input Data'!$AO:$AO,'Input Data'!$G:$G,$C84,'Input Data'!$V:$V,"FIID")</f>
        <v>0</v>
      </c>
      <c r="U84" s="21">
        <f>+SUMIFS('Input Data'!$BH:$BH,'Input Data'!$G:$G,$C84,'Input Data'!$V:$V,"FIID")</f>
        <v>0</v>
      </c>
      <c r="V84" s="21">
        <f t="shared" si="14"/>
        <v>0</v>
      </c>
      <c r="W84" s="21">
        <f t="shared" si="15"/>
        <v>0</v>
      </c>
      <c r="X84" s="191">
        <f t="shared" si="16"/>
        <v>0</v>
      </c>
      <c r="Y84" s="48">
        <f>+SUMIFS('Input Data'!$AK:$AK,'Input Data'!$G:$G,$C84,'Input Data'!$V:$V,"FIBL")</f>
        <v>0</v>
      </c>
      <c r="Z84" s="21">
        <f>+SUMIFS('Input Data'!$AH:$AH,'Input Data'!$G:$G,$C84)</f>
        <v>579896.90625</v>
      </c>
      <c r="AA84" s="21">
        <f>+SUMIFS('Input Data'!$AY:$AY,'Input Data'!$G:$G,$C84,'Input Data'!$V:$V,"FIBL")</f>
        <v>0</v>
      </c>
      <c r="AB84" s="431">
        <f>+SUMIFS('Input Data'!$AO:$AO,'Input Data'!$G:$G,$C84,'Input Data'!$V:$V,"FIBL")</f>
        <v>0</v>
      </c>
      <c r="AC84" s="21">
        <v>0</v>
      </c>
      <c r="AD84" s="21">
        <f t="shared" si="17"/>
        <v>0</v>
      </c>
      <c r="AE84" s="21">
        <v>0</v>
      </c>
      <c r="AF84" s="191">
        <f t="shared" si="18"/>
        <v>0</v>
      </c>
      <c r="AK84" s="46">
        <f t="shared" si="19"/>
        <v>7422680.4000000004</v>
      </c>
      <c r="AL84" s="46">
        <f>+SUMIFS('Input Data'!$BE:$BE,'Input Data'!$G:$G,$C84)</f>
        <v>1546391.7500000002</v>
      </c>
      <c r="AM84" s="46">
        <f t="shared" si="21"/>
        <v>9548969.0562500004</v>
      </c>
    </row>
    <row r="85" spans="2:39" x14ac:dyDescent="0.35">
      <c r="B85" t="str">
        <v>ES'HAIL 2</v>
      </c>
      <c r="C85">
        <v>9780</v>
      </c>
      <c r="D85" s="48">
        <f>+SUMIFS('Input Data'!$AK:$AK,'Input Data'!$G:$G,$C85)</f>
        <v>9896912.1484535802</v>
      </c>
      <c r="E85" s="21">
        <f>+SUMIFS('Input Data'!$AH:$AH,'Input Data'!$G:$G,$C85)</f>
        <v>309278.50463917438</v>
      </c>
      <c r="F85" s="21">
        <f>+SUMIFS('Input Data'!$AY:$AY,'Input Data'!$G:$G,$C85)</f>
        <v>1979382.4296907161</v>
      </c>
      <c r="G85" s="21">
        <f>+SUMIFS('Input Data'!AO:AO,'Input Data'!$G:$G,$C85)</f>
        <v>0</v>
      </c>
      <c r="H85" s="21">
        <v>0</v>
      </c>
      <c r="I85" s="191">
        <f>+SUMIFS('Input Data'!$BF:$BF,'Input Data'!$G:$G,$C85)</f>
        <v>7917529.7187628644</v>
      </c>
      <c r="J85" s="21">
        <f t="shared" si="20"/>
        <v>9051550.9024398383</v>
      </c>
      <c r="K85" s="48">
        <f>+SUMIFS('Input Data'!$AK:$AK,'Input Data'!$G:$G,$C85,'Input Data'!$V:$V,"FUL")</f>
        <v>9896912.1484535802</v>
      </c>
      <c r="L85" s="21">
        <f>+SUMIFS('Input Data'!$AY:$AY,'Input Data'!$G:$G,$C85,'Input Data'!$V:$V,"FUL")</f>
        <v>1979382.4296907161</v>
      </c>
      <c r="M85" s="21">
        <f>+SUMIFS('Input Data'!$AO:$AO,'Input Data'!$G:$G,$C85,'Input Data'!$V:$V,"FUL")</f>
        <v>0</v>
      </c>
      <c r="N85" s="21">
        <f>+SUMIFS('Input Data'!$BH:$BH,'Input Data'!$G:$G,$C85,'Input Data'!$V:$V,"FUL")</f>
        <v>3958764.8593814322</v>
      </c>
      <c r="O85" s="21">
        <f t="shared" si="11"/>
        <v>3958764.8593814322</v>
      </c>
      <c r="P85" s="21">
        <f t="shared" si="12"/>
        <v>0</v>
      </c>
      <c r="Q85" s="191">
        <f t="shared" si="13"/>
        <v>3958764.8593814322</v>
      </c>
      <c r="R85" s="48">
        <f>+SUMIFS('Input Data'!$AK:$AK,'Input Data'!$G:$G,$C85,'Input Data'!$V:$V,"FIID")</f>
        <v>0</v>
      </c>
      <c r="S85" s="21">
        <f>+SUMIFS('Input Data'!$AY:$AY,'Input Data'!$G:$G,$C85,'Input Data'!$V:$V,"FIID")</f>
        <v>0</v>
      </c>
      <c r="T85" s="21">
        <f>+SUMIFS('Input Data'!$AO:$AO,'Input Data'!$G:$G,$C85,'Input Data'!$V:$V,"FIID")</f>
        <v>0</v>
      </c>
      <c r="U85" s="21">
        <f>+SUMIFS('Input Data'!$BH:$BH,'Input Data'!$G:$G,$C85,'Input Data'!$V:$V,"FIID")</f>
        <v>0</v>
      </c>
      <c r="V85" s="21">
        <f t="shared" si="14"/>
        <v>0</v>
      </c>
      <c r="W85" s="21">
        <f t="shared" si="15"/>
        <v>0</v>
      </c>
      <c r="X85" s="191">
        <f t="shared" si="16"/>
        <v>0</v>
      </c>
      <c r="Y85" s="48">
        <f>+SUMIFS('Input Data'!$AK:$AK,'Input Data'!$G:$G,$C85,'Input Data'!$V:$V,"FIBL")</f>
        <v>0</v>
      </c>
      <c r="Z85" s="21">
        <f>+SUMIFS('Input Data'!$AH:$AH,'Input Data'!$G:$G,$C85)</f>
        <v>309278.50463917438</v>
      </c>
      <c r="AA85" s="21">
        <f>+SUMIFS('Input Data'!$AY:$AY,'Input Data'!$G:$G,$C85,'Input Data'!$V:$V,"FIBL")</f>
        <v>0</v>
      </c>
      <c r="AB85" s="431">
        <f>+SUMIFS('Input Data'!$AO:$AO,'Input Data'!$G:$G,$C85,'Input Data'!$V:$V,"FIBL")</f>
        <v>0</v>
      </c>
      <c r="AC85" s="21">
        <v>0</v>
      </c>
      <c r="AD85" s="21">
        <f t="shared" si="17"/>
        <v>0</v>
      </c>
      <c r="AE85" s="21">
        <v>0</v>
      </c>
      <c r="AF85" s="191">
        <f t="shared" si="18"/>
        <v>0</v>
      </c>
      <c r="AK85" s="46">
        <f t="shared" si="19"/>
        <v>3958764.8593814322</v>
      </c>
      <c r="AL85" s="46">
        <f>+SUMIFS('Input Data'!$BE:$BE,'Input Data'!$G:$G,$C85)</f>
        <v>824742.67903779843</v>
      </c>
      <c r="AM85" s="46">
        <f t="shared" si="21"/>
        <v>5092786.0430584056</v>
      </c>
    </row>
    <row r="86" spans="2:39" x14ac:dyDescent="0.35">
      <c r="B86" t="str">
        <v>ES'HAIL 1</v>
      </c>
      <c r="C86">
        <v>8993</v>
      </c>
      <c r="D86" s="48">
        <f>+SUMIFS('Input Data'!$AK:$AK,'Input Data'!$G:$G,$C86)</f>
        <v>13360819.771546399</v>
      </c>
      <c r="E86" s="21">
        <f>+SUMIFS('Input Data'!$AH:$AH,'Input Data'!$G:$G,$C86)</f>
        <v>417525.61786082498</v>
      </c>
      <c r="F86" s="21">
        <f>+SUMIFS('Input Data'!$AY:$AY,'Input Data'!$G:$G,$C86)</f>
        <v>2672163.95430928</v>
      </c>
      <c r="G86" s="21">
        <f>+SUMIFS('Input Data'!AO:AO,'Input Data'!$G:$G,$C86)</f>
        <v>0</v>
      </c>
      <c r="H86" s="21">
        <v>0</v>
      </c>
      <c r="I86" s="191">
        <f>+SUMIFS('Input Data'!$BF:$BF,'Input Data'!$G:$G,$C86)</f>
        <v>10688655.81723712</v>
      </c>
      <c r="J86" s="21">
        <f t="shared" si="20"/>
        <v>12219583.082726812</v>
      </c>
      <c r="K86" s="48">
        <f>+SUMIFS('Input Data'!$AK:$AK,'Input Data'!$G:$G,$C86,'Input Data'!$V:$V,"FUL")</f>
        <v>13360819.771546399</v>
      </c>
      <c r="L86" s="21">
        <f>+SUMIFS('Input Data'!$AY:$AY,'Input Data'!$G:$G,$C86,'Input Data'!$V:$V,"FUL")</f>
        <v>2672163.95430928</v>
      </c>
      <c r="M86" s="21">
        <f>+SUMIFS('Input Data'!$AO:$AO,'Input Data'!$G:$G,$C86,'Input Data'!$V:$V,"FUL")</f>
        <v>0</v>
      </c>
      <c r="N86" s="21">
        <f>+SUMIFS('Input Data'!$BH:$BH,'Input Data'!$G:$G,$C86,'Input Data'!$V:$V,"FUL")</f>
        <v>5344327.9086185601</v>
      </c>
      <c r="O86" s="21">
        <f t="shared" si="11"/>
        <v>5344327.9086185601</v>
      </c>
      <c r="P86" s="21">
        <f t="shared" si="12"/>
        <v>0</v>
      </c>
      <c r="Q86" s="191">
        <f t="shared" si="13"/>
        <v>5344327.9086185601</v>
      </c>
      <c r="R86" s="48">
        <f>+SUMIFS('Input Data'!$AK:$AK,'Input Data'!$G:$G,$C86,'Input Data'!$V:$V,"FIID")</f>
        <v>0</v>
      </c>
      <c r="S86" s="21">
        <f>+SUMIFS('Input Data'!$AY:$AY,'Input Data'!$G:$G,$C86,'Input Data'!$V:$V,"FIID")</f>
        <v>0</v>
      </c>
      <c r="T86" s="21">
        <f>+SUMIFS('Input Data'!$AO:$AO,'Input Data'!$G:$G,$C86,'Input Data'!$V:$V,"FIID")</f>
        <v>0</v>
      </c>
      <c r="U86" s="21">
        <f>+SUMIFS('Input Data'!$BH:$BH,'Input Data'!$G:$G,$C86,'Input Data'!$V:$V,"FIID")</f>
        <v>0</v>
      </c>
      <c r="V86" s="21">
        <f t="shared" si="14"/>
        <v>0</v>
      </c>
      <c r="W86" s="21">
        <f t="shared" si="15"/>
        <v>0</v>
      </c>
      <c r="X86" s="191">
        <f t="shared" si="16"/>
        <v>0</v>
      </c>
      <c r="Y86" s="48">
        <f>+SUMIFS('Input Data'!$AK:$AK,'Input Data'!$G:$G,$C86,'Input Data'!$V:$V,"FIBL")</f>
        <v>0</v>
      </c>
      <c r="Z86" s="21">
        <f>+SUMIFS('Input Data'!$AH:$AH,'Input Data'!$G:$G,$C86)</f>
        <v>417525.61786082498</v>
      </c>
      <c r="AA86" s="21">
        <f>+SUMIFS('Input Data'!$AY:$AY,'Input Data'!$G:$G,$C86,'Input Data'!$V:$V,"FIBL")</f>
        <v>0</v>
      </c>
      <c r="AB86" s="431">
        <f>+SUMIFS('Input Data'!$AO:$AO,'Input Data'!$G:$G,$C86,'Input Data'!$V:$V,"FIBL")</f>
        <v>0</v>
      </c>
      <c r="AC86" s="21">
        <v>0</v>
      </c>
      <c r="AD86" s="21">
        <f t="shared" si="17"/>
        <v>0</v>
      </c>
      <c r="AE86" s="21">
        <v>0</v>
      </c>
      <c r="AF86" s="191">
        <f t="shared" si="18"/>
        <v>0</v>
      </c>
      <c r="AK86" s="46">
        <f t="shared" si="19"/>
        <v>5344327.9086185601</v>
      </c>
      <c r="AL86" s="46">
        <f>+SUMIFS('Input Data'!$BE:$BE,'Input Data'!$G:$G,$C86)</f>
        <v>1113401.6476288668</v>
      </c>
      <c r="AM86" s="46">
        <f t="shared" si="21"/>
        <v>6875255.1741082519</v>
      </c>
    </row>
    <row r="87" spans="2:39" x14ac:dyDescent="0.35">
      <c r="B87" t="str">
        <v>KOMPSAT 7</v>
      </c>
      <c r="C87">
        <v>13099</v>
      </c>
      <c r="D87" s="48">
        <f>+SUMIFS('Input Data'!$AK:$AK,'Input Data'!$G:$G,$C87)</f>
        <v>2003355.3188081901</v>
      </c>
      <c r="E87" s="21">
        <f>+SUMIFS('Input Data'!$AH:$AH,'Input Data'!$G:$G,$C87)</f>
        <v>62604.853712755939</v>
      </c>
      <c r="F87" s="21">
        <f>+SUMIFS('Input Data'!$AY:$AY,'Input Data'!$G:$G,$C87)</f>
        <v>400671.06376163801</v>
      </c>
      <c r="G87" s="21">
        <f>+SUMIFS('Input Data'!AO:AO,'Input Data'!$G:$G,$C87)</f>
        <v>0</v>
      </c>
      <c r="H87" s="21">
        <v>0</v>
      </c>
      <c r="I87" s="191">
        <f>+SUMIFS('Input Data'!$BF:$BF,'Input Data'!$G:$G,$C87)</f>
        <v>1602684.255046552</v>
      </c>
      <c r="J87" s="21">
        <f t="shared" si="20"/>
        <v>1832235.3853266572</v>
      </c>
      <c r="K87" s="48">
        <f>+SUMIFS('Input Data'!$AK:$AK,'Input Data'!$G:$G,$C87,'Input Data'!$V:$V,"FUL")</f>
        <v>2003355.3188081901</v>
      </c>
      <c r="L87" s="21">
        <f>+SUMIFS('Input Data'!$AY:$AY,'Input Data'!$G:$G,$C87,'Input Data'!$V:$V,"FUL")</f>
        <v>400671.06376163801</v>
      </c>
      <c r="M87" s="21">
        <f>+SUMIFS('Input Data'!$AO:$AO,'Input Data'!$G:$G,$C87,'Input Data'!$V:$V,"FUL")</f>
        <v>0</v>
      </c>
      <c r="N87" s="21">
        <f>+SUMIFS('Input Data'!$BH:$BH,'Input Data'!$G:$G,$C87,'Input Data'!$V:$V,"FUL")</f>
        <v>801342.12752327602</v>
      </c>
      <c r="O87" s="21">
        <f t="shared" si="11"/>
        <v>801342.12752327602</v>
      </c>
      <c r="P87" s="21">
        <f t="shared" si="12"/>
        <v>0</v>
      </c>
      <c r="Q87" s="191">
        <f t="shared" si="13"/>
        <v>801342.12752327602</v>
      </c>
      <c r="R87" s="48">
        <f>+SUMIFS('Input Data'!$AK:$AK,'Input Data'!$G:$G,$C87,'Input Data'!$V:$V,"FIID")</f>
        <v>0</v>
      </c>
      <c r="S87" s="21">
        <f>+SUMIFS('Input Data'!$AY:$AY,'Input Data'!$G:$G,$C87,'Input Data'!$V:$V,"FIID")</f>
        <v>0</v>
      </c>
      <c r="T87" s="21">
        <f>+SUMIFS('Input Data'!$AO:$AO,'Input Data'!$G:$G,$C87,'Input Data'!$V:$V,"FIID")</f>
        <v>0</v>
      </c>
      <c r="U87" s="21">
        <f>+SUMIFS('Input Data'!$BH:$BH,'Input Data'!$G:$G,$C87,'Input Data'!$V:$V,"FIID")</f>
        <v>0</v>
      </c>
      <c r="V87" s="21">
        <f t="shared" si="14"/>
        <v>0</v>
      </c>
      <c r="W87" s="21">
        <f t="shared" si="15"/>
        <v>0</v>
      </c>
      <c r="X87" s="191">
        <f t="shared" si="16"/>
        <v>0</v>
      </c>
      <c r="Y87" s="48">
        <f>+SUMIFS('Input Data'!$AK:$AK,'Input Data'!$G:$G,$C87,'Input Data'!$V:$V,"FIBL")</f>
        <v>0</v>
      </c>
      <c r="Z87" s="21">
        <f>+SUMIFS('Input Data'!$AH:$AH,'Input Data'!$G:$G,$C87)</f>
        <v>62604.853712755939</v>
      </c>
      <c r="AA87" s="21">
        <f>+SUMIFS('Input Data'!$AY:$AY,'Input Data'!$G:$G,$C87,'Input Data'!$V:$V,"FIBL")</f>
        <v>0</v>
      </c>
      <c r="AB87" s="431">
        <f>+SUMIFS('Input Data'!$AO:$AO,'Input Data'!$G:$G,$C87,'Input Data'!$V:$V,"FIBL")</f>
        <v>0</v>
      </c>
      <c r="AC87" s="21">
        <v>0</v>
      </c>
      <c r="AD87" s="21">
        <f t="shared" si="17"/>
        <v>0</v>
      </c>
      <c r="AE87" s="21">
        <v>0</v>
      </c>
      <c r="AF87" s="191">
        <f t="shared" si="18"/>
        <v>0</v>
      </c>
      <c r="AK87" s="46">
        <f t="shared" si="19"/>
        <v>801342.12752327602</v>
      </c>
      <c r="AL87" s="46">
        <f>+SUMIFS('Input Data'!$BE:$BE,'Input Data'!$G:$G,$C87)</f>
        <v>166946.27656734918</v>
      </c>
      <c r="AM87" s="46">
        <f t="shared" si="21"/>
        <v>1030893.2578033812</v>
      </c>
    </row>
    <row r="88" spans="2:39" x14ac:dyDescent="0.35">
      <c r="B88" t="str">
        <v>TIBA 1 (NAVISAT 12A)</v>
      </c>
      <c r="C88">
        <v>11840</v>
      </c>
      <c r="D88" s="48">
        <f>+SUMIFS('Input Data'!$AK:$AK,'Input Data'!$G:$G,$C88)</f>
        <v>21459222.698865999</v>
      </c>
      <c r="E88" s="21">
        <f>+SUMIFS('Input Data'!$AH:$AH,'Input Data'!$G:$G,$C88)</f>
        <v>670600.70933956245</v>
      </c>
      <c r="F88" s="21">
        <f>+SUMIFS('Input Data'!$AY:$AY,'Input Data'!$G:$G,$C88)</f>
        <v>4291844.5397731997</v>
      </c>
      <c r="G88" s="21">
        <f>+SUMIFS('Input Data'!AO:AO,'Input Data'!$G:$G,$C88)</f>
        <v>0</v>
      </c>
      <c r="H88" s="21">
        <v>0</v>
      </c>
      <c r="I88" s="191">
        <f>+SUMIFS('Input Data'!$BF:$BF,'Input Data'!$G:$G,$C88)</f>
        <v>17167378.159092799</v>
      </c>
      <c r="J88" s="21">
        <f t="shared" si="20"/>
        <v>19626247.426671196</v>
      </c>
      <c r="K88" s="48">
        <f>+SUMIFS('Input Data'!$AK:$AK,'Input Data'!$G:$G,$C88,'Input Data'!$V:$V,"FUL")</f>
        <v>21459222.698865999</v>
      </c>
      <c r="L88" s="21">
        <f>+SUMIFS('Input Data'!$AY:$AY,'Input Data'!$G:$G,$C88,'Input Data'!$V:$V,"FUL")</f>
        <v>4291844.5397731997</v>
      </c>
      <c r="M88" s="21">
        <f>+SUMIFS('Input Data'!$AO:$AO,'Input Data'!$G:$G,$C88,'Input Data'!$V:$V,"FUL")</f>
        <v>0</v>
      </c>
      <c r="N88" s="21">
        <f>+SUMIFS('Input Data'!$BH:$BH,'Input Data'!$G:$G,$C88,'Input Data'!$V:$V,"FUL")</f>
        <v>8583689.0795463994</v>
      </c>
      <c r="O88" s="21">
        <f t="shared" si="11"/>
        <v>8583689.0795463994</v>
      </c>
      <c r="P88" s="21">
        <f t="shared" si="12"/>
        <v>0</v>
      </c>
      <c r="Q88" s="191">
        <f t="shared" si="13"/>
        <v>8583689.0795463994</v>
      </c>
      <c r="R88" s="48">
        <f>+SUMIFS('Input Data'!$AK:$AK,'Input Data'!$G:$G,$C88,'Input Data'!$V:$V,"FIID")</f>
        <v>0</v>
      </c>
      <c r="S88" s="21">
        <f>+SUMIFS('Input Data'!$AY:$AY,'Input Data'!$G:$G,$C88,'Input Data'!$V:$V,"FIID")</f>
        <v>0</v>
      </c>
      <c r="T88" s="21">
        <f>+SUMIFS('Input Data'!$AO:$AO,'Input Data'!$G:$G,$C88,'Input Data'!$V:$V,"FIID")</f>
        <v>0</v>
      </c>
      <c r="U88" s="21">
        <f>+SUMIFS('Input Data'!$BH:$BH,'Input Data'!$G:$G,$C88,'Input Data'!$V:$V,"FIID")</f>
        <v>0</v>
      </c>
      <c r="V88" s="21">
        <f t="shared" si="14"/>
        <v>0</v>
      </c>
      <c r="W88" s="21">
        <f t="shared" si="15"/>
        <v>0</v>
      </c>
      <c r="X88" s="191">
        <f t="shared" si="16"/>
        <v>0</v>
      </c>
      <c r="Y88" s="48">
        <f>+SUMIFS('Input Data'!$AK:$AK,'Input Data'!$G:$G,$C88,'Input Data'!$V:$V,"FIBL")</f>
        <v>0</v>
      </c>
      <c r="Z88" s="21">
        <f>+SUMIFS('Input Data'!$AH:$AH,'Input Data'!$G:$G,$C88)</f>
        <v>670600.70933956245</v>
      </c>
      <c r="AA88" s="21">
        <f>+SUMIFS('Input Data'!$AY:$AY,'Input Data'!$G:$G,$C88,'Input Data'!$V:$V,"FIBL")</f>
        <v>0</v>
      </c>
      <c r="AB88" s="431">
        <f>+SUMIFS('Input Data'!$AO:$AO,'Input Data'!$G:$G,$C88,'Input Data'!$V:$V,"FIBL")</f>
        <v>0</v>
      </c>
      <c r="AC88" s="21">
        <v>0</v>
      </c>
      <c r="AD88" s="21">
        <f t="shared" si="17"/>
        <v>0</v>
      </c>
      <c r="AE88" s="21">
        <v>0</v>
      </c>
      <c r="AF88" s="191">
        <f t="shared" si="18"/>
        <v>0</v>
      </c>
      <c r="AK88" s="46">
        <f t="shared" si="19"/>
        <v>8583689.0795463994</v>
      </c>
      <c r="AL88" s="46">
        <f>+SUMIFS('Input Data'!$BE:$BE,'Input Data'!$G:$G,$C88)</f>
        <v>1788268.5582388332</v>
      </c>
      <c r="AM88" s="46">
        <f t="shared" si="21"/>
        <v>11042558.347124796</v>
      </c>
    </row>
    <row r="89" spans="2:39" x14ac:dyDescent="0.35">
      <c r="B89" t="str">
        <v>MEASAT 3A (1R)</v>
      </c>
      <c r="C89">
        <v>4142</v>
      </c>
      <c r="D89" s="48">
        <f>+SUMIFS('Input Data'!$AK:$AK,'Input Data'!$G:$G,$C89)</f>
        <v>989690.72</v>
      </c>
      <c r="E89" s="21">
        <f>+SUMIFS('Input Data'!$AH:$AH,'Input Data'!$G:$G,$C89)</f>
        <v>30927.834999999995</v>
      </c>
      <c r="F89" s="21">
        <f>+SUMIFS('Input Data'!$AY:$AY,'Input Data'!$G:$G,$C89)</f>
        <v>197938.144</v>
      </c>
      <c r="G89" s="21">
        <f>+SUMIFS('Input Data'!AO:AO,'Input Data'!$G:$G,$C89)</f>
        <v>0</v>
      </c>
      <c r="H89" s="21">
        <v>0</v>
      </c>
      <c r="I89" s="191">
        <f>+SUMIFS('Input Data'!$BF:$BF,'Input Data'!$G:$G,$C89)</f>
        <v>791752.576</v>
      </c>
      <c r="J89" s="21">
        <f t="shared" si="20"/>
        <v>905154.63766666665</v>
      </c>
      <c r="K89" s="48">
        <f>+SUMIFS('Input Data'!$AK:$AK,'Input Data'!$G:$G,$C89,'Input Data'!$V:$V,"FUL")</f>
        <v>989690.72</v>
      </c>
      <c r="L89" s="21">
        <f>+SUMIFS('Input Data'!$AY:$AY,'Input Data'!$G:$G,$C89,'Input Data'!$V:$V,"FUL")</f>
        <v>197938.144</v>
      </c>
      <c r="M89" s="21">
        <f>+SUMIFS('Input Data'!$AO:$AO,'Input Data'!$G:$G,$C89,'Input Data'!$V:$V,"FUL")</f>
        <v>0</v>
      </c>
      <c r="N89" s="21">
        <f>+SUMIFS('Input Data'!$BH:$BH,'Input Data'!$G:$G,$C89,'Input Data'!$V:$V,"FUL")</f>
        <v>395876.288</v>
      </c>
      <c r="O89" s="21">
        <f t="shared" si="11"/>
        <v>395876.288</v>
      </c>
      <c r="P89" s="21">
        <f t="shared" si="12"/>
        <v>0</v>
      </c>
      <c r="Q89" s="191">
        <f t="shared" si="13"/>
        <v>395876.288</v>
      </c>
      <c r="R89" s="48">
        <f>+SUMIFS('Input Data'!$AK:$AK,'Input Data'!$G:$G,$C89,'Input Data'!$V:$V,"FIID")</f>
        <v>0</v>
      </c>
      <c r="S89" s="21">
        <f>+SUMIFS('Input Data'!$AY:$AY,'Input Data'!$G:$G,$C89,'Input Data'!$V:$V,"FIID")</f>
        <v>0</v>
      </c>
      <c r="T89" s="21">
        <f>+SUMIFS('Input Data'!$AO:$AO,'Input Data'!$G:$G,$C89,'Input Data'!$V:$V,"FIID")</f>
        <v>0</v>
      </c>
      <c r="U89" s="21">
        <f>+SUMIFS('Input Data'!$BH:$BH,'Input Data'!$G:$G,$C89,'Input Data'!$V:$V,"FIID")</f>
        <v>0</v>
      </c>
      <c r="V89" s="21">
        <f t="shared" si="14"/>
        <v>0</v>
      </c>
      <c r="W89" s="21">
        <f t="shared" si="15"/>
        <v>0</v>
      </c>
      <c r="X89" s="191">
        <f t="shared" si="16"/>
        <v>0</v>
      </c>
      <c r="Y89" s="48">
        <f>+SUMIFS('Input Data'!$AK:$AK,'Input Data'!$G:$G,$C89,'Input Data'!$V:$V,"FIBL")</f>
        <v>0</v>
      </c>
      <c r="Z89" s="21">
        <f>+SUMIFS('Input Data'!$AH:$AH,'Input Data'!$G:$G,$C89)</f>
        <v>30927.834999999995</v>
      </c>
      <c r="AA89" s="21">
        <f>+SUMIFS('Input Data'!$AY:$AY,'Input Data'!$G:$G,$C89,'Input Data'!$V:$V,"FIBL")</f>
        <v>0</v>
      </c>
      <c r="AB89" s="431">
        <f>+SUMIFS('Input Data'!$AO:$AO,'Input Data'!$G:$G,$C89,'Input Data'!$V:$V,"FIBL")</f>
        <v>0</v>
      </c>
      <c r="AC89" s="21">
        <v>0</v>
      </c>
      <c r="AD89" s="21">
        <f t="shared" si="17"/>
        <v>0</v>
      </c>
      <c r="AE89" s="21">
        <v>0</v>
      </c>
      <c r="AF89" s="191">
        <f t="shared" si="18"/>
        <v>0</v>
      </c>
      <c r="AK89" s="46">
        <f t="shared" si="19"/>
        <v>395876.288</v>
      </c>
      <c r="AL89" s="46">
        <f>+SUMIFS('Input Data'!$BE:$BE,'Input Data'!$G:$G,$C89)</f>
        <v>82474.226666666669</v>
      </c>
      <c r="AM89" s="46">
        <f t="shared" si="21"/>
        <v>509278.34966666671</v>
      </c>
    </row>
    <row r="90" spans="2:39" x14ac:dyDescent="0.35">
      <c r="B90" t="str">
        <v>MEASAT 3B</v>
      </c>
      <c r="C90">
        <v>9181</v>
      </c>
      <c r="D90" s="48">
        <f>+SUMIFS('Input Data'!$AK:$AK,'Input Data'!$G:$G,$C90)</f>
        <v>5257731.9499999797</v>
      </c>
      <c r="E90" s="21">
        <f>+SUMIFS('Input Data'!$AH:$AH,'Input Data'!$G:$G,$C90)</f>
        <v>164304.12343749937</v>
      </c>
      <c r="F90" s="21">
        <f>+SUMIFS('Input Data'!$AY:$AY,'Input Data'!$G:$G,$C90)</f>
        <v>1051546.3899999959</v>
      </c>
      <c r="G90" s="21">
        <f>+SUMIFS('Input Data'!AO:AO,'Input Data'!$G:$G,$C90)</f>
        <v>0</v>
      </c>
      <c r="H90" s="21">
        <v>0</v>
      </c>
      <c r="I90" s="191">
        <f>+SUMIFS('Input Data'!$BF:$BF,'Input Data'!$G:$G,$C90)</f>
        <v>4206185.5599999838</v>
      </c>
      <c r="J90" s="21">
        <f t="shared" si="20"/>
        <v>4808634.0126041481</v>
      </c>
      <c r="K90" s="48">
        <f>+SUMIFS('Input Data'!$AK:$AK,'Input Data'!$G:$G,$C90,'Input Data'!$V:$V,"FUL")</f>
        <v>5257731.9499999797</v>
      </c>
      <c r="L90" s="21">
        <f>+SUMIFS('Input Data'!$AY:$AY,'Input Data'!$G:$G,$C90,'Input Data'!$V:$V,"FUL")</f>
        <v>1051546.3899999959</v>
      </c>
      <c r="M90" s="21">
        <f>+SUMIFS('Input Data'!$AO:$AO,'Input Data'!$G:$G,$C90,'Input Data'!$V:$V,"FUL")</f>
        <v>0</v>
      </c>
      <c r="N90" s="21">
        <f>+SUMIFS('Input Data'!$BH:$BH,'Input Data'!$G:$G,$C90,'Input Data'!$V:$V,"FUL")</f>
        <v>2103092.7799999919</v>
      </c>
      <c r="O90" s="21">
        <f t="shared" si="11"/>
        <v>2103092.7799999919</v>
      </c>
      <c r="P90" s="21">
        <f t="shared" si="12"/>
        <v>0</v>
      </c>
      <c r="Q90" s="191">
        <f t="shared" si="13"/>
        <v>2103092.7799999919</v>
      </c>
      <c r="R90" s="48">
        <f>+SUMIFS('Input Data'!$AK:$AK,'Input Data'!$G:$G,$C90,'Input Data'!$V:$V,"FIID")</f>
        <v>0</v>
      </c>
      <c r="S90" s="21">
        <f>+SUMIFS('Input Data'!$AY:$AY,'Input Data'!$G:$G,$C90,'Input Data'!$V:$V,"FIID")</f>
        <v>0</v>
      </c>
      <c r="T90" s="21">
        <f>+SUMIFS('Input Data'!$AO:$AO,'Input Data'!$G:$G,$C90,'Input Data'!$V:$V,"FIID")</f>
        <v>0</v>
      </c>
      <c r="U90" s="21">
        <f>+SUMIFS('Input Data'!$BH:$BH,'Input Data'!$G:$G,$C90,'Input Data'!$V:$V,"FIID")</f>
        <v>0</v>
      </c>
      <c r="V90" s="21">
        <f t="shared" si="14"/>
        <v>0</v>
      </c>
      <c r="W90" s="21">
        <f t="shared" si="15"/>
        <v>0</v>
      </c>
      <c r="X90" s="191">
        <f t="shared" si="16"/>
        <v>0</v>
      </c>
      <c r="Y90" s="48">
        <f>+SUMIFS('Input Data'!$AK:$AK,'Input Data'!$G:$G,$C90,'Input Data'!$V:$V,"FIBL")</f>
        <v>0</v>
      </c>
      <c r="Z90" s="21">
        <f>+SUMIFS('Input Data'!$AH:$AH,'Input Data'!$G:$G,$C90)</f>
        <v>164304.12343749937</v>
      </c>
      <c r="AA90" s="21">
        <f>+SUMIFS('Input Data'!$AY:$AY,'Input Data'!$G:$G,$C90,'Input Data'!$V:$V,"FIBL")</f>
        <v>0</v>
      </c>
      <c r="AB90" s="431">
        <f>+SUMIFS('Input Data'!$AO:$AO,'Input Data'!$G:$G,$C90,'Input Data'!$V:$V,"FIBL")</f>
        <v>0</v>
      </c>
      <c r="AC90" s="21">
        <v>0</v>
      </c>
      <c r="AD90" s="21">
        <f t="shared" si="17"/>
        <v>0</v>
      </c>
      <c r="AE90" s="21">
        <v>0</v>
      </c>
      <c r="AF90" s="191">
        <f t="shared" si="18"/>
        <v>0</v>
      </c>
      <c r="AK90" s="46">
        <f t="shared" si="19"/>
        <v>2103092.7799999919</v>
      </c>
      <c r="AL90" s="46">
        <f>+SUMIFS('Input Data'!$BE:$BE,'Input Data'!$G:$G,$C90)</f>
        <v>438144.32916666497</v>
      </c>
      <c r="AM90" s="46">
        <f t="shared" si="21"/>
        <v>2705541.2326041558</v>
      </c>
    </row>
    <row r="91" spans="2:39" x14ac:dyDescent="0.35">
      <c r="B91" t="str">
        <v>MEASAT 3D</v>
      </c>
      <c r="C91">
        <v>13555</v>
      </c>
      <c r="D91" s="48">
        <f>+SUMIFS('Input Data'!$AK:$AK,'Input Data'!$G:$G,$C91)</f>
        <v>12989690.69999999</v>
      </c>
      <c r="E91" s="21">
        <f>+SUMIFS('Input Data'!$AH:$AH,'Input Data'!$G:$G,$C91)</f>
        <v>405927.83437499969</v>
      </c>
      <c r="F91" s="21">
        <f>+SUMIFS('Input Data'!$AY:$AY,'Input Data'!$G:$G,$C91)</f>
        <v>2597938.1399999983</v>
      </c>
      <c r="G91" s="21">
        <f>+SUMIFS('Input Data'!AO:AO,'Input Data'!$G:$G,$C91)</f>
        <v>0</v>
      </c>
      <c r="H91" s="21">
        <v>0</v>
      </c>
      <c r="I91" s="191">
        <f>+SUMIFS('Input Data'!$BF:$BF,'Input Data'!$G:$G,$C91)</f>
        <v>10391752.559999993</v>
      </c>
      <c r="J91" s="21">
        <f t="shared" si="20"/>
        <v>11880154.619374992</v>
      </c>
      <c r="K91" s="48">
        <f>+SUMIFS('Input Data'!$AK:$AK,'Input Data'!$G:$G,$C91,'Input Data'!$V:$V,"FUL")</f>
        <v>12989690.69999999</v>
      </c>
      <c r="L91" s="21">
        <f>+SUMIFS('Input Data'!$AY:$AY,'Input Data'!$G:$G,$C91,'Input Data'!$V:$V,"FUL")</f>
        <v>2597938.1399999983</v>
      </c>
      <c r="M91" s="21">
        <f>+SUMIFS('Input Data'!$AO:$AO,'Input Data'!$G:$G,$C91,'Input Data'!$V:$V,"FUL")</f>
        <v>0</v>
      </c>
      <c r="N91" s="21">
        <f>+SUMIFS('Input Data'!$BH:$BH,'Input Data'!$G:$G,$C91,'Input Data'!$V:$V,"FUL")</f>
        <v>5195876.2799999965</v>
      </c>
      <c r="O91" s="21">
        <f t="shared" si="11"/>
        <v>5195876.2799999947</v>
      </c>
      <c r="P91" s="21">
        <f t="shared" si="12"/>
        <v>0</v>
      </c>
      <c r="Q91" s="191">
        <f t="shared" si="13"/>
        <v>5195876.2799999947</v>
      </c>
      <c r="R91" s="48">
        <f>+SUMIFS('Input Data'!$AK:$AK,'Input Data'!$G:$G,$C91,'Input Data'!$V:$V,"FIID")</f>
        <v>0</v>
      </c>
      <c r="S91" s="21">
        <f>+SUMIFS('Input Data'!$AY:$AY,'Input Data'!$G:$G,$C91,'Input Data'!$V:$V,"FIID")</f>
        <v>0</v>
      </c>
      <c r="T91" s="21">
        <f>+SUMIFS('Input Data'!$AO:$AO,'Input Data'!$G:$G,$C91,'Input Data'!$V:$V,"FIID")</f>
        <v>0</v>
      </c>
      <c r="U91" s="21">
        <f>+SUMIFS('Input Data'!$BH:$BH,'Input Data'!$G:$G,$C91,'Input Data'!$V:$V,"FIID")</f>
        <v>0</v>
      </c>
      <c r="V91" s="21">
        <f t="shared" si="14"/>
        <v>0</v>
      </c>
      <c r="W91" s="21">
        <f t="shared" si="15"/>
        <v>0</v>
      </c>
      <c r="X91" s="191">
        <f t="shared" si="16"/>
        <v>0</v>
      </c>
      <c r="Y91" s="48">
        <f>+SUMIFS('Input Data'!$AK:$AK,'Input Data'!$G:$G,$C91,'Input Data'!$V:$V,"FIBL")</f>
        <v>0</v>
      </c>
      <c r="Z91" s="21">
        <f>+SUMIFS('Input Data'!$AH:$AH,'Input Data'!$G:$G,$C91)</f>
        <v>405927.83437499969</v>
      </c>
      <c r="AA91" s="21">
        <f>+SUMIFS('Input Data'!$AY:$AY,'Input Data'!$G:$G,$C91,'Input Data'!$V:$V,"FIBL")</f>
        <v>0</v>
      </c>
      <c r="AB91" s="431">
        <f>+SUMIFS('Input Data'!$AO:$AO,'Input Data'!$G:$G,$C91,'Input Data'!$V:$V,"FIBL")</f>
        <v>0</v>
      </c>
      <c r="AC91" s="21">
        <v>0</v>
      </c>
      <c r="AD91" s="21">
        <f t="shared" si="17"/>
        <v>0</v>
      </c>
      <c r="AE91" s="21">
        <v>0</v>
      </c>
      <c r="AF91" s="191">
        <f t="shared" si="18"/>
        <v>0</v>
      </c>
      <c r="AK91" s="46">
        <f t="shared" si="19"/>
        <v>5195876.2799999965</v>
      </c>
      <c r="AL91" s="46">
        <f>+SUMIFS('Input Data'!$BE:$BE,'Input Data'!$G:$G,$C91)</f>
        <v>1082474.2249999992</v>
      </c>
      <c r="AM91" s="46">
        <f t="shared" si="21"/>
        <v>6684278.3393749949</v>
      </c>
    </row>
    <row r="92" spans="2:39" x14ac:dyDescent="0.35">
      <c r="B92" t="str">
        <v>SATRIA</v>
      </c>
      <c r="C92">
        <v>13554</v>
      </c>
      <c r="D92" s="48">
        <f>+SUMIFS('Input Data'!$AK:$AK,'Input Data'!$G:$G,$C92)</f>
        <v>18739856.257426601</v>
      </c>
      <c r="E92" s="21">
        <f>+SUMIFS('Input Data'!$AH:$AH,'Input Data'!$G:$G,$C92)</f>
        <v>585620.50804458128</v>
      </c>
      <c r="F92" s="21">
        <f>+SUMIFS('Input Data'!$AY:$AY,'Input Data'!$G:$G,$C92)</f>
        <v>3747971.2514853203</v>
      </c>
      <c r="G92" s="21">
        <f>+SUMIFS('Input Data'!AO:AO,'Input Data'!$G:$G,$C92)</f>
        <v>0</v>
      </c>
      <c r="H92" s="21">
        <v>0</v>
      </c>
      <c r="I92" s="191">
        <f>+SUMIFS('Input Data'!$BF:$BF,'Input Data'!$G:$G,$C92)</f>
        <v>14991885.005941281</v>
      </c>
      <c r="J92" s="21">
        <f t="shared" si="20"/>
        <v>17139160.202104747</v>
      </c>
      <c r="K92" s="48">
        <f>+SUMIFS('Input Data'!$AK:$AK,'Input Data'!$G:$G,$C92,'Input Data'!$V:$V,"FUL")</f>
        <v>18739856.257426601</v>
      </c>
      <c r="L92" s="21">
        <f>+SUMIFS('Input Data'!$AY:$AY,'Input Data'!$G:$G,$C92,'Input Data'!$V:$V,"FUL")</f>
        <v>3747971.2514853203</v>
      </c>
      <c r="M92" s="21">
        <f>+SUMIFS('Input Data'!$AO:$AO,'Input Data'!$G:$G,$C92,'Input Data'!$V:$V,"FUL")</f>
        <v>0</v>
      </c>
      <c r="N92" s="21">
        <f>+SUMIFS('Input Data'!$BH:$BH,'Input Data'!$G:$G,$C92,'Input Data'!$V:$V,"FUL")</f>
        <v>7495942.5029706405</v>
      </c>
      <c r="O92" s="21">
        <f t="shared" si="11"/>
        <v>7495942.5029706405</v>
      </c>
      <c r="P92" s="21">
        <f t="shared" si="12"/>
        <v>0</v>
      </c>
      <c r="Q92" s="191">
        <f t="shared" si="13"/>
        <v>7495942.5029706405</v>
      </c>
      <c r="R92" s="48">
        <f>+SUMIFS('Input Data'!$AK:$AK,'Input Data'!$G:$G,$C92,'Input Data'!$V:$V,"FIID")</f>
        <v>0</v>
      </c>
      <c r="S92" s="21">
        <f>+SUMIFS('Input Data'!$AY:$AY,'Input Data'!$G:$G,$C92,'Input Data'!$V:$V,"FIID")</f>
        <v>0</v>
      </c>
      <c r="T92" s="21">
        <f>+SUMIFS('Input Data'!$AO:$AO,'Input Data'!$G:$G,$C92,'Input Data'!$V:$V,"FIID")</f>
        <v>0</v>
      </c>
      <c r="U92" s="21">
        <f>+SUMIFS('Input Data'!$BH:$BH,'Input Data'!$G:$G,$C92,'Input Data'!$V:$V,"FIID")</f>
        <v>0</v>
      </c>
      <c r="V92" s="21">
        <f t="shared" si="14"/>
        <v>0</v>
      </c>
      <c r="W92" s="21">
        <f t="shared" si="15"/>
        <v>0</v>
      </c>
      <c r="X92" s="191">
        <f t="shared" si="16"/>
        <v>0</v>
      </c>
      <c r="Y92" s="48">
        <f>+SUMIFS('Input Data'!$AK:$AK,'Input Data'!$G:$G,$C92,'Input Data'!$V:$V,"FIBL")</f>
        <v>0</v>
      </c>
      <c r="Z92" s="21">
        <f>+SUMIFS('Input Data'!$AH:$AH,'Input Data'!$G:$G,$C92)</f>
        <v>585620.50804458128</v>
      </c>
      <c r="AA92" s="21">
        <f>+SUMIFS('Input Data'!$AY:$AY,'Input Data'!$G:$G,$C92,'Input Data'!$V:$V,"FIBL")</f>
        <v>0</v>
      </c>
      <c r="AB92" s="431">
        <f>+SUMIFS('Input Data'!$AO:$AO,'Input Data'!$G:$G,$C92,'Input Data'!$V:$V,"FIBL")</f>
        <v>0</v>
      </c>
      <c r="AC92" s="21">
        <v>0</v>
      </c>
      <c r="AD92" s="21">
        <f t="shared" si="17"/>
        <v>0</v>
      </c>
      <c r="AE92" s="21">
        <v>0</v>
      </c>
      <c r="AF92" s="191">
        <f t="shared" si="18"/>
        <v>0</v>
      </c>
      <c r="AK92" s="46">
        <f t="shared" si="19"/>
        <v>7495942.5029706405</v>
      </c>
      <c r="AL92" s="46">
        <f>+SUMIFS('Input Data'!$BE:$BE,'Input Data'!$G:$G,$C92)</f>
        <v>1561654.6881188834</v>
      </c>
      <c r="AM92" s="46">
        <f t="shared" si="21"/>
        <v>9643217.6991341058</v>
      </c>
    </row>
    <row r="93" spans="2:39" x14ac:dyDescent="0.35">
      <c r="B93" t="str">
        <v>TURKSAT 4A</v>
      </c>
      <c r="C93">
        <v>8880</v>
      </c>
      <c r="D93" s="48">
        <f>+SUMIFS('Input Data'!$AK:$AK,'Input Data'!$G:$G,$C93)</f>
        <v>4690650.9200173002</v>
      </c>
      <c r="E93" s="21">
        <f>+SUMIFS('Input Data'!$AH:$AH,'Input Data'!$G:$G,$C93)</f>
        <v>146582.8412505406</v>
      </c>
      <c r="F93" s="21">
        <f>+SUMIFS('Input Data'!$AY:$AY,'Input Data'!$G:$G,$C93)</f>
        <v>938130.18400345999</v>
      </c>
      <c r="G93" s="21">
        <f>+SUMIFS('Input Data'!AO:AO,'Input Data'!$G:$G,$C93)</f>
        <v>0</v>
      </c>
      <c r="H93" s="21">
        <v>0</v>
      </c>
      <c r="I93" s="191">
        <f>+SUMIFS('Input Data'!$BF:$BF,'Input Data'!$G:$G,$C93)</f>
        <v>3752520.73601384</v>
      </c>
      <c r="J93" s="21">
        <f t="shared" si="20"/>
        <v>4289991.1539324895</v>
      </c>
      <c r="K93" s="48">
        <f>+SUMIFS('Input Data'!$AK:$AK,'Input Data'!$G:$G,$C93,'Input Data'!$V:$V,"FUL")</f>
        <v>4690650.9200173002</v>
      </c>
      <c r="L93" s="21">
        <f>+SUMIFS('Input Data'!$AY:$AY,'Input Data'!$G:$G,$C93,'Input Data'!$V:$V,"FUL")</f>
        <v>938130.18400345999</v>
      </c>
      <c r="M93" s="21">
        <f>+SUMIFS('Input Data'!$AO:$AO,'Input Data'!$G:$G,$C93,'Input Data'!$V:$V,"FUL")</f>
        <v>0</v>
      </c>
      <c r="N93" s="21">
        <f>+SUMIFS('Input Data'!$BH:$BH,'Input Data'!$G:$G,$C93,'Input Data'!$V:$V,"FUL")</f>
        <v>1876260.36800692</v>
      </c>
      <c r="O93" s="21">
        <f t="shared" si="11"/>
        <v>1876260.36800692</v>
      </c>
      <c r="P93" s="21">
        <f t="shared" si="12"/>
        <v>0</v>
      </c>
      <c r="Q93" s="191">
        <f t="shared" si="13"/>
        <v>1876260.36800692</v>
      </c>
      <c r="R93" s="48">
        <f>+SUMIFS('Input Data'!$AK:$AK,'Input Data'!$G:$G,$C93,'Input Data'!$V:$V,"FIID")</f>
        <v>0</v>
      </c>
      <c r="S93" s="21">
        <f>+SUMIFS('Input Data'!$AY:$AY,'Input Data'!$G:$G,$C93,'Input Data'!$V:$V,"FIID")</f>
        <v>0</v>
      </c>
      <c r="T93" s="21">
        <f>+SUMIFS('Input Data'!$AO:$AO,'Input Data'!$G:$G,$C93,'Input Data'!$V:$V,"FIID")</f>
        <v>0</v>
      </c>
      <c r="U93" s="21">
        <f>+SUMIFS('Input Data'!$BH:$BH,'Input Data'!$G:$G,$C93,'Input Data'!$V:$V,"FIID")</f>
        <v>0</v>
      </c>
      <c r="V93" s="21">
        <f t="shared" si="14"/>
        <v>0</v>
      </c>
      <c r="W93" s="21">
        <f t="shared" si="15"/>
        <v>0</v>
      </c>
      <c r="X93" s="191">
        <f t="shared" si="16"/>
        <v>0</v>
      </c>
      <c r="Y93" s="48">
        <f>+SUMIFS('Input Data'!$AK:$AK,'Input Data'!$G:$G,$C93,'Input Data'!$V:$V,"FIBL")</f>
        <v>0</v>
      </c>
      <c r="Z93" s="21">
        <f>+SUMIFS('Input Data'!$AH:$AH,'Input Data'!$G:$G,$C93)</f>
        <v>146582.8412505406</v>
      </c>
      <c r="AA93" s="21">
        <f>+SUMIFS('Input Data'!$AY:$AY,'Input Data'!$G:$G,$C93,'Input Data'!$V:$V,"FIBL")</f>
        <v>0</v>
      </c>
      <c r="AB93" s="431">
        <f>+SUMIFS('Input Data'!$AO:$AO,'Input Data'!$G:$G,$C93,'Input Data'!$V:$V,"FIBL")</f>
        <v>0</v>
      </c>
      <c r="AC93" s="21">
        <v>0</v>
      </c>
      <c r="AD93" s="21">
        <f t="shared" si="17"/>
        <v>0</v>
      </c>
      <c r="AE93" s="21">
        <v>0</v>
      </c>
      <c r="AF93" s="191">
        <f t="shared" si="18"/>
        <v>0</v>
      </c>
      <c r="AK93" s="46">
        <f t="shared" si="19"/>
        <v>1876260.36800692</v>
      </c>
      <c r="AL93" s="46">
        <f>+SUMIFS('Input Data'!$BE:$BE,'Input Data'!$G:$G,$C93)</f>
        <v>390887.57666810835</v>
      </c>
      <c r="AM93" s="46">
        <f t="shared" si="21"/>
        <v>2413730.785925569</v>
      </c>
    </row>
    <row r="94" spans="2:39" x14ac:dyDescent="0.35">
      <c r="B94" t="str">
        <v>TURKSAT 5B</v>
      </c>
      <c r="C94">
        <v>12133</v>
      </c>
      <c r="D94" s="48">
        <f>+SUMIFS('Input Data'!$AK:$AK,'Input Data'!$G:$G,$C94)</f>
        <v>12702481.834499288</v>
      </c>
      <c r="E94" s="21">
        <f>+SUMIFS('Input Data'!$AH:$AH,'Input Data'!$G:$G,$C94)</f>
        <v>396952.55732810276</v>
      </c>
      <c r="F94" s="21">
        <f>+SUMIFS('Input Data'!$AY:$AY,'Input Data'!$G:$G,$C94)</f>
        <v>2540496.3668998582</v>
      </c>
      <c r="G94" s="21">
        <f>+SUMIFS('Input Data'!AO:AO,'Input Data'!$G:$G,$C94)</f>
        <v>0</v>
      </c>
      <c r="H94" s="21">
        <v>0</v>
      </c>
      <c r="I94" s="191">
        <f>+SUMIFS('Input Data'!$BF:$BF,'Input Data'!$G:$G,$C94)</f>
        <v>10161985.467599431</v>
      </c>
      <c r="J94" s="21">
        <f t="shared" si="20"/>
        <v>11617478.177802475</v>
      </c>
      <c r="K94" s="48">
        <f>+SUMIFS('Input Data'!$AK:$AK,'Input Data'!$G:$G,$C94,'Input Data'!$V:$V,"FUL")</f>
        <v>12702481.834499288</v>
      </c>
      <c r="L94" s="21">
        <f>+SUMIFS('Input Data'!$AY:$AY,'Input Data'!$G:$G,$C94,'Input Data'!$V:$V,"FUL")</f>
        <v>2540496.3668998582</v>
      </c>
      <c r="M94" s="21">
        <f>+SUMIFS('Input Data'!$AO:$AO,'Input Data'!$G:$G,$C94,'Input Data'!$V:$V,"FUL")</f>
        <v>0</v>
      </c>
      <c r="N94" s="21">
        <f>+SUMIFS('Input Data'!$BH:$BH,'Input Data'!$G:$G,$C94,'Input Data'!$V:$V,"FUL")</f>
        <v>5080992.7337997155</v>
      </c>
      <c r="O94" s="21">
        <f t="shared" si="11"/>
        <v>5080992.7337997137</v>
      </c>
      <c r="P94" s="21">
        <f t="shared" si="12"/>
        <v>0</v>
      </c>
      <c r="Q94" s="191">
        <f t="shared" si="13"/>
        <v>5080992.7337997137</v>
      </c>
      <c r="R94" s="48">
        <f>+SUMIFS('Input Data'!$AK:$AK,'Input Data'!$G:$G,$C94,'Input Data'!$V:$V,"FIID")</f>
        <v>0</v>
      </c>
      <c r="S94" s="21">
        <f>+SUMIFS('Input Data'!$AY:$AY,'Input Data'!$G:$G,$C94,'Input Data'!$V:$V,"FIID")</f>
        <v>0</v>
      </c>
      <c r="T94" s="21">
        <f>+SUMIFS('Input Data'!$AO:$AO,'Input Data'!$G:$G,$C94,'Input Data'!$V:$V,"FIID")</f>
        <v>0</v>
      </c>
      <c r="U94" s="21">
        <f>+SUMIFS('Input Data'!$BH:$BH,'Input Data'!$G:$G,$C94,'Input Data'!$V:$V,"FIID")</f>
        <v>0</v>
      </c>
      <c r="V94" s="21">
        <f t="shared" si="14"/>
        <v>0</v>
      </c>
      <c r="W94" s="21">
        <f t="shared" si="15"/>
        <v>0</v>
      </c>
      <c r="X94" s="191">
        <f t="shared" si="16"/>
        <v>0</v>
      </c>
      <c r="Y94" s="48">
        <f>+SUMIFS('Input Data'!$AK:$AK,'Input Data'!$G:$G,$C94,'Input Data'!$V:$V,"FIBL")</f>
        <v>0</v>
      </c>
      <c r="Z94" s="21">
        <f>+SUMIFS('Input Data'!$AH:$AH,'Input Data'!$G:$G,$C94)</f>
        <v>396952.55732810276</v>
      </c>
      <c r="AA94" s="21">
        <f>+SUMIFS('Input Data'!$AY:$AY,'Input Data'!$G:$G,$C94,'Input Data'!$V:$V,"FIBL")</f>
        <v>0</v>
      </c>
      <c r="AB94" s="431">
        <f>+SUMIFS('Input Data'!$AO:$AO,'Input Data'!$G:$G,$C94,'Input Data'!$V:$V,"FIBL")</f>
        <v>0</v>
      </c>
      <c r="AC94" s="21">
        <v>0</v>
      </c>
      <c r="AD94" s="21">
        <f t="shared" si="17"/>
        <v>0</v>
      </c>
      <c r="AE94" s="21">
        <v>0</v>
      </c>
      <c r="AF94" s="191">
        <f t="shared" si="18"/>
        <v>0</v>
      </c>
      <c r="AK94" s="46">
        <f t="shared" si="19"/>
        <v>5080992.7337997155</v>
      </c>
      <c r="AL94" s="46">
        <f>+SUMIFS('Input Data'!$BE:$BE,'Input Data'!$G:$G,$C94)</f>
        <v>1058540.1528749408</v>
      </c>
      <c r="AM94" s="46">
        <f t="shared" si="21"/>
        <v>6536485.4440027596</v>
      </c>
    </row>
    <row r="95" spans="2:39" x14ac:dyDescent="0.35">
      <c r="B95" t="str">
        <v>TURKSAT 5A</v>
      </c>
      <c r="C95">
        <v>9285</v>
      </c>
      <c r="D95" s="48">
        <f>+SUMIFS('Input Data'!$AK:$AK,'Input Data'!$G:$G,$C95)</f>
        <v>12110083.278785599</v>
      </c>
      <c r="E95" s="21">
        <f>+SUMIFS('Input Data'!$AH:$AH,'Input Data'!$G:$G,$C95)</f>
        <v>378440.10246204998</v>
      </c>
      <c r="F95" s="21">
        <f>+SUMIFS('Input Data'!$AY:$AY,'Input Data'!$G:$G,$C95)</f>
        <v>2422016.6557571199</v>
      </c>
      <c r="G95" s="21">
        <f>+SUMIFS('Input Data'!AO:AO,'Input Data'!$G:$G,$C95)</f>
        <v>0</v>
      </c>
      <c r="H95" s="21">
        <v>0</v>
      </c>
      <c r="I95" s="191">
        <f>+SUMIFS('Input Data'!$BF:$BF,'Input Data'!$G:$G,$C95)</f>
        <v>9688066.6230284795</v>
      </c>
      <c r="J95" s="21">
        <f t="shared" si="20"/>
        <v>11075680.332055995</v>
      </c>
      <c r="K95" s="48">
        <f>+SUMIFS('Input Data'!$AK:$AK,'Input Data'!$G:$G,$C95,'Input Data'!$V:$V,"FUL")</f>
        <v>12110083.278785599</v>
      </c>
      <c r="L95" s="21">
        <f>+SUMIFS('Input Data'!$AY:$AY,'Input Data'!$G:$G,$C95,'Input Data'!$V:$V,"FUL")</f>
        <v>2422016.6557571199</v>
      </c>
      <c r="M95" s="21">
        <f>+SUMIFS('Input Data'!$AO:$AO,'Input Data'!$G:$G,$C95,'Input Data'!$V:$V,"FUL")</f>
        <v>0</v>
      </c>
      <c r="N95" s="21">
        <f>+SUMIFS('Input Data'!$BH:$BH,'Input Data'!$G:$G,$C95,'Input Data'!$V:$V,"FUL")</f>
        <v>4844033.3115142398</v>
      </c>
      <c r="O95" s="21">
        <f t="shared" si="11"/>
        <v>4844033.3115142398</v>
      </c>
      <c r="P95" s="21">
        <f t="shared" si="12"/>
        <v>0</v>
      </c>
      <c r="Q95" s="191">
        <f t="shared" si="13"/>
        <v>4844033.3115142398</v>
      </c>
      <c r="R95" s="48">
        <f>+SUMIFS('Input Data'!$AK:$AK,'Input Data'!$G:$G,$C95,'Input Data'!$V:$V,"FIID")</f>
        <v>0</v>
      </c>
      <c r="S95" s="21">
        <f>+SUMIFS('Input Data'!$AY:$AY,'Input Data'!$G:$G,$C95,'Input Data'!$V:$V,"FIID")</f>
        <v>0</v>
      </c>
      <c r="T95" s="21">
        <f>+SUMIFS('Input Data'!$AO:$AO,'Input Data'!$G:$G,$C95,'Input Data'!$V:$V,"FIID")</f>
        <v>0</v>
      </c>
      <c r="U95" s="21">
        <f>+SUMIFS('Input Data'!$BH:$BH,'Input Data'!$G:$G,$C95,'Input Data'!$V:$V,"FIID")</f>
        <v>0</v>
      </c>
      <c r="V95" s="21">
        <f t="shared" si="14"/>
        <v>0</v>
      </c>
      <c r="W95" s="21">
        <f t="shared" si="15"/>
        <v>0</v>
      </c>
      <c r="X95" s="191">
        <f t="shared" si="16"/>
        <v>0</v>
      </c>
      <c r="Y95" s="48">
        <f>+SUMIFS('Input Data'!$AK:$AK,'Input Data'!$G:$G,$C95,'Input Data'!$V:$V,"FIBL")</f>
        <v>0</v>
      </c>
      <c r="Z95" s="21">
        <f>+SUMIFS('Input Data'!$AH:$AH,'Input Data'!$G:$G,$C95)</f>
        <v>378440.10246204998</v>
      </c>
      <c r="AA95" s="21">
        <f>+SUMIFS('Input Data'!$AY:$AY,'Input Data'!$G:$G,$C95,'Input Data'!$V:$V,"FIBL")</f>
        <v>0</v>
      </c>
      <c r="AB95" s="431">
        <f>+SUMIFS('Input Data'!$AO:$AO,'Input Data'!$G:$G,$C95,'Input Data'!$V:$V,"FIBL")</f>
        <v>0</v>
      </c>
      <c r="AC95" s="21">
        <v>0</v>
      </c>
      <c r="AD95" s="21">
        <f t="shared" si="17"/>
        <v>0</v>
      </c>
      <c r="AE95" s="21">
        <v>0</v>
      </c>
      <c r="AF95" s="191">
        <f t="shared" si="18"/>
        <v>0</v>
      </c>
      <c r="AK95" s="46">
        <f t="shared" si="19"/>
        <v>4844033.3115142398</v>
      </c>
      <c r="AL95" s="46">
        <f>+SUMIFS('Input Data'!$BE:$BE,'Input Data'!$G:$G,$C95)</f>
        <v>1009173.6065654666</v>
      </c>
      <c r="AM95" s="46">
        <f t="shared" si="21"/>
        <v>6231647.0205417555</v>
      </c>
    </row>
    <row r="96" spans="2:39" x14ac:dyDescent="0.35">
      <c r="B96" t="str">
        <v>TURKSAT 4B</v>
      </c>
      <c r="C96">
        <v>9133</v>
      </c>
      <c r="D96" s="48">
        <f>+SUMIFS('Input Data'!$AK:$AK,'Input Data'!$G:$G,$C96)</f>
        <v>6129567.8248355901</v>
      </c>
      <c r="E96" s="21">
        <f>+SUMIFS('Input Data'!$AH:$AH,'Input Data'!$G:$G,$C96)</f>
        <v>191548.99452611219</v>
      </c>
      <c r="F96" s="21">
        <f>+SUMIFS('Input Data'!$AY:$AY,'Input Data'!$G:$G,$C96)</f>
        <v>1225913.5649671182</v>
      </c>
      <c r="G96" s="21">
        <f>+SUMIFS('Input Data'!AO:AO,'Input Data'!$G:$G,$C96)</f>
        <v>0</v>
      </c>
      <c r="H96" s="21">
        <v>0</v>
      </c>
      <c r="I96" s="191">
        <f>+SUMIFS('Input Data'!$BF:$BF,'Input Data'!$G:$G,$C96)</f>
        <v>4903654.2598684719</v>
      </c>
      <c r="J96" s="21">
        <f t="shared" si="20"/>
        <v>5606000.5731308833</v>
      </c>
      <c r="K96" s="48">
        <f>+SUMIFS('Input Data'!$AK:$AK,'Input Data'!$G:$G,$C96,'Input Data'!$V:$V,"FUL")</f>
        <v>6129567.8248355901</v>
      </c>
      <c r="L96" s="21">
        <f>+SUMIFS('Input Data'!$AY:$AY,'Input Data'!$G:$G,$C96,'Input Data'!$V:$V,"FUL")</f>
        <v>1225913.5649671182</v>
      </c>
      <c r="M96" s="21">
        <f>+SUMIFS('Input Data'!$AO:$AO,'Input Data'!$G:$G,$C96,'Input Data'!$V:$V,"FUL")</f>
        <v>0</v>
      </c>
      <c r="N96" s="21">
        <f>+SUMIFS('Input Data'!$BH:$BH,'Input Data'!$G:$G,$C96,'Input Data'!$V:$V,"FUL")</f>
        <v>2451827.1299342359</v>
      </c>
      <c r="O96" s="21">
        <f t="shared" si="11"/>
        <v>2451827.1299342359</v>
      </c>
      <c r="P96" s="21">
        <f t="shared" si="12"/>
        <v>0</v>
      </c>
      <c r="Q96" s="191">
        <f t="shared" si="13"/>
        <v>2451827.1299342359</v>
      </c>
      <c r="R96" s="48">
        <f>+SUMIFS('Input Data'!$AK:$AK,'Input Data'!$G:$G,$C96,'Input Data'!$V:$V,"FIID")</f>
        <v>0</v>
      </c>
      <c r="S96" s="21">
        <f>+SUMIFS('Input Data'!$AY:$AY,'Input Data'!$G:$G,$C96,'Input Data'!$V:$V,"FIID")</f>
        <v>0</v>
      </c>
      <c r="T96" s="21">
        <f>+SUMIFS('Input Data'!$AO:$AO,'Input Data'!$G:$G,$C96,'Input Data'!$V:$V,"FIID")</f>
        <v>0</v>
      </c>
      <c r="U96" s="21">
        <f>+SUMIFS('Input Data'!$BH:$BH,'Input Data'!$G:$G,$C96,'Input Data'!$V:$V,"FIID")</f>
        <v>0</v>
      </c>
      <c r="V96" s="21">
        <f t="shared" si="14"/>
        <v>0</v>
      </c>
      <c r="W96" s="21">
        <f t="shared" si="15"/>
        <v>0</v>
      </c>
      <c r="X96" s="191">
        <f t="shared" si="16"/>
        <v>0</v>
      </c>
      <c r="Y96" s="48">
        <f>+SUMIFS('Input Data'!$AK:$AK,'Input Data'!$G:$G,$C96,'Input Data'!$V:$V,"FIBL")</f>
        <v>0</v>
      </c>
      <c r="Z96" s="21">
        <f>+SUMIFS('Input Data'!$AH:$AH,'Input Data'!$G:$G,$C96)</f>
        <v>191548.99452611219</v>
      </c>
      <c r="AA96" s="21">
        <f>+SUMIFS('Input Data'!$AY:$AY,'Input Data'!$G:$G,$C96,'Input Data'!$V:$V,"FIBL")</f>
        <v>0</v>
      </c>
      <c r="AB96" s="431">
        <f>+SUMIFS('Input Data'!$AO:$AO,'Input Data'!$G:$G,$C96,'Input Data'!$V:$V,"FIBL")</f>
        <v>0</v>
      </c>
      <c r="AC96" s="21">
        <v>0</v>
      </c>
      <c r="AD96" s="21">
        <f t="shared" si="17"/>
        <v>0</v>
      </c>
      <c r="AE96" s="21">
        <v>0</v>
      </c>
      <c r="AF96" s="191">
        <f t="shared" si="18"/>
        <v>0</v>
      </c>
      <c r="AK96" s="46">
        <f t="shared" si="19"/>
        <v>2451827.1299342359</v>
      </c>
      <c r="AL96" s="46">
        <f>+SUMIFS('Input Data'!$BE:$BE,'Input Data'!$G:$G,$C96)</f>
        <v>510797.31873629917</v>
      </c>
      <c r="AM96" s="46">
        <f t="shared" si="21"/>
        <v>3154173.4431966473</v>
      </c>
    </row>
    <row r="97" spans="2:39" x14ac:dyDescent="0.35">
      <c r="B97" t="str">
        <v>FALCON EYE 2</v>
      </c>
      <c r="C97">
        <v>9694</v>
      </c>
      <c r="D97" s="48">
        <f>+SUMIFS('Input Data'!$AK:$AK,'Input Data'!$G:$G,$C97)</f>
        <v>7891909.7200426897</v>
      </c>
      <c r="E97" s="21">
        <f>+SUMIFS('Input Data'!$AH:$AH,'Input Data'!$G:$G,$C97)</f>
        <v>246622.17875133405</v>
      </c>
      <c r="F97" s="21">
        <f>+SUMIFS('Input Data'!$AY:$AY,'Input Data'!$G:$G,$C97)</f>
        <v>1578381.944008538</v>
      </c>
      <c r="G97" s="21">
        <f>+SUMIFS('Input Data'!AO:AO,'Input Data'!$G:$G,$C97)</f>
        <v>0</v>
      </c>
      <c r="H97" s="21">
        <v>0</v>
      </c>
      <c r="I97" s="191">
        <f>+SUMIFS('Input Data'!$BF:$BF,'Input Data'!$G:$G,$C97)</f>
        <v>6313527.7760341521</v>
      </c>
      <c r="J97" s="21">
        <f t="shared" si="20"/>
        <v>7217809.0981223769</v>
      </c>
      <c r="K97" s="48">
        <f>+SUMIFS('Input Data'!$AK:$AK,'Input Data'!$G:$G,$C97,'Input Data'!$V:$V,"FUL")</f>
        <v>7891909.7200426897</v>
      </c>
      <c r="L97" s="21">
        <f>+SUMIFS('Input Data'!$AY:$AY,'Input Data'!$G:$G,$C97,'Input Data'!$V:$V,"FUL")</f>
        <v>1578381.944008538</v>
      </c>
      <c r="M97" s="21">
        <f>+SUMIFS('Input Data'!$AO:$AO,'Input Data'!$G:$G,$C97,'Input Data'!$V:$V,"FUL")</f>
        <v>0</v>
      </c>
      <c r="N97" s="21">
        <f>+SUMIFS('Input Data'!$BH:$BH,'Input Data'!$G:$G,$C97,'Input Data'!$V:$V,"FUL")</f>
        <v>3156763.8880170761</v>
      </c>
      <c r="O97" s="21">
        <f t="shared" si="11"/>
        <v>3156763.8880170761</v>
      </c>
      <c r="P97" s="21">
        <f t="shared" si="12"/>
        <v>0</v>
      </c>
      <c r="Q97" s="191">
        <f t="shared" si="13"/>
        <v>3156763.8880170761</v>
      </c>
      <c r="R97" s="48">
        <f>+SUMIFS('Input Data'!$AK:$AK,'Input Data'!$G:$G,$C97,'Input Data'!$V:$V,"FIID")</f>
        <v>0</v>
      </c>
      <c r="S97" s="21">
        <f>+SUMIFS('Input Data'!$AY:$AY,'Input Data'!$G:$G,$C97,'Input Data'!$V:$V,"FIID")</f>
        <v>0</v>
      </c>
      <c r="T97" s="21">
        <f>+SUMIFS('Input Data'!$AO:$AO,'Input Data'!$G:$G,$C97,'Input Data'!$V:$V,"FIID")</f>
        <v>0</v>
      </c>
      <c r="U97" s="21">
        <f>+SUMIFS('Input Data'!$BH:$BH,'Input Data'!$G:$G,$C97,'Input Data'!$V:$V,"FIID")</f>
        <v>0</v>
      </c>
      <c r="V97" s="21">
        <f t="shared" si="14"/>
        <v>0</v>
      </c>
      <c r="W97" s="21">
        <f t="shared" si="15"/>
        <v>0</v>
      </c>
      <c r="X97" s="191">
        <f t="shared" si="16"/>
        <v>0</v>
      </c>
      <c r="Y97" s="48">
        <f>+SUMIFS('Input Data'!$AK:$AK,'Input Data'!$G:$G,$C97,'Input Data'!$V:$V,"FIBL")</f>
        <v>0</v>
      </c>
      <c r="Z97" s="21">
        <f>+SUMIFS('Input Data'!$AH:$AH,'Input Data'!$G:$G,$C97)</f>
        <v>246622.17875133405</v>
      </c>
      <c r="AA97" s="21">
        <f>+SUMIFS('Input Data'!$AY:$AY,'Input Data'!$G:$G,$C97,'Input Data'!$V:$V,"FIBL")</f>
        <v>0</v>
      </c>
      <c r="AB97" s="431">
        <f>+SUMIFS('Input Data'!$AO:$AO,'Input Data'!$G:$G,$C97,'Input Data'!$V:$V,"FIBL")</f>
        <v>0</v>
      </c>
      <c r="AC97" s="21">
        <v>0</v>
      </c>
      <c r="AD97" s="21">
        <f t="shared" si="17"/>
        <v>0</v>
      </c>
      <c r="AE97" s="21">
        <v>0</v>
      </c>
      <c r="AF97" s="191">
        <f t="shared" si="18"/>
        <v>0</v>
      </c>
      <c r="AK97" s="46">
        <f t="shared" si="19"/>
        <v>3156763.8880170761</v>
      </c>
      <c r="AL97" s="46">
        <f>+SUMIFS('Input Data'!$BE:$BE,'Input Data'!$G:$G,$C97)</f>
        <v>657659.14333689085</v>
      </c>
      <c r="AM97" s="46">
        <f t="shared" si="21"/>
        <v>4061045.2101053009</v>
      </c>
    </row>
    <row r="98" spans="2:39" x14ac:dyDescent="0.35">
      <c r="B98" t="str">
        <v>STAR ONE D1</v>
      </c>
      <c r="C98">
        <v>9609</v>
      </c>
      <c r="D98" s="48">
        <f>+SUMIFS('Input Data'!$AK:$AK,'Input Data'!$G:$G,$C98)</f>
        <v>4369474.0133360904</v>
      </c>
      <c r="E98" s="21">
        <f>+SUMIFS('Input Data'!$AH:$AH,'Input Data'!$G:$G,$C98)</f>
        <v>136546.06291675279</v>
      </c>
      <c r="F98" s="21">
        <f>+SUMIFS('Input Data'!$AY:$AY,'Input Data'!$G:$G,$C98)</f>
        <v>873894.80266721803</v>
      </c>
      <c r="G98" s="21">
        <f>+SUMIFS('Input Data'!AO:AO,'Input Data'!$G:$G,$C98)</f>
        <v>0</v>
      </c>
      <c r="H98" s="21">
        <v>0</v>
      </c>
      <c r="I98" s="191">
        <f>+SUMIFS('Input Data'!$BF:$BF,'Input Data'!$G:$G,$C98)</f>
        <v>3495579.2106688721</v>
      </c>
      <c r="J98" s="21">
        <f t="shared" si="20"/>
        <v>3996248.1080302992</v>
      </c>
      <c r="K98" s="48">
        <f>+SUMIFS('Input Data'!$AK:$AK,'Input Data'!$G:$G,$C98,'Input Data'!$V:$V,"FUL")</f>
        <v>4369474.0133360904</v>
      </c>
      <c r="L98" s="21">
        <f>+SUMIFS('Input Data'!$AY:$AY,'Input Data'!$G:$G,$C98,'Input Data'!$V:$V,"FUL")</f>
        <v>873894.80266721803</v>
      </c>
      <c r="M98" s="21">
        <f>+SUMIFS('Input Data'!$AO:$AO,'Input Data'!$G:$G,$C98,'Input Data'!$V:$V,"FUL")</f>
        <v>0</v>
      </c>
      <c r="N98" s="21">
        <f>+SUMIFS('Input Data'!$BH:$BH,'Input Data'!$G:$G,$C98,'Input Data'!$V:$V,"FUL")</f>
        <v>1747789.6053344361</v>
      </c>
      <c r="O98" s="21">
        <f t="shared" si="11"/>
        <v>1747789.6053344361</v>
      </c>
      <c r="P98" s="21">
        <f t="shared" si="12"/>
        <v>0</v>
      </c>
      <c r="Q98" s="191">
        <f t="shared" si="13"/>
        <v>1747789.6053344361</v>
      </c>
      <c r="R98" s="48">
        <f>+SUMIFS('Input Data'!$AK:$AK,'Input Data'!$G:$G,$C98,'Input Data'!$V:$V,"FIID")</f>
        <v>0</v>
      </c>
      <c r="S98" s="21">
        <f>+SUMIFS('Input Data'!$AY:$AY,'Input Data'!$G:$G,$C98,'Input Data'!$V:$V,"FIID")</f>
        <v>0</v>
      </c>
      <c r="T98" s="21">
        <f>+SUMIFS('Input Data'!$AO:$AO,'Input Data'!$G:$G,$C98,'Input Data'!$V:$V,"FIID")</f>
        <v>0</v>
      </c>
      <c r="U98" s="21">
        <f>+SUMIFS('Input Data'!$BH:$BH,'Input Data'!$G:$G,$C98,'Input Data'!$V:$V,"FIID")</f>
        <v>0</v>
      </c>
      <c r="V98" s="21">
        <f t="shared" si="14"/>
        <v>0</v>
      </c>
      <c r="W98" s="21">
        <f t="shared" si="15"/>
        <v>0</v>
      </c>
      <c r="X98" s="191">
        <f t="shared" si="16"/>
        <v>0</v>
      </c>
      <c r="Y98" s="48">
        <f>+SUMIFS('Input Data'!$AK:$AK,'Input Data'!$G:$G,$C98,'Input Data'!$V:$V,"FIBL")</f>
        <v>0</v>
      </c>
      <c r="Z98" s="21">
        <f>+SUMIFS('Input Data'!$AH:$AH,'Input Data'!$G:$G,$C98)</f>
        <v>136546.06291675279</v>
      </c>
      <c r="AA98" s="21">
        <f>+SUMIFS('Input Data'!$AY:$AY,'Input Data'!$G:$G,$C98,'Input Data'!$V:$V,"FIBL")</f>
        <v>0</v>
      </c>
      <c r="AB98" s="431">
        <f>+SUMIFS('Input Data'!$AO:$AO,'Input Data'!$G:$G,$C98,'Input Data'!$V:$V,"FIBL")</f>
        <v>0</v>
      </c>
      <c r="AC98" s="21">
        <v>0</v>
      </c>
      <c r="AD98" s="21">
        <f t="shared" si="17"/>
        <v>0</v>
      </c>
      <c r="AE98" s="21">
        <v>0</v>
      </c>
      <c r="AF98" s="191">
        <f t="shared" si="18"/>
        <v>0</v>
      </c>
      <c r="AK98" s="46">
        <f t="shared" si="19"/>
        <v>1747789.6053344361</v>
      </c>
      <c r="AL98" s="46">
        <f>+SUMIFS('Input Data'!$BE:$BE,'Input Data'!$G:$G,$C98)</f>
        <v>364122.8344446742</v>
      </c>
      <c r="AM98" s="46">
        <f t="shared" si="21"/>
        <v>2248458.5026958631</v>
      </c>
    </row>
    <row r="99" spans="2:39" x14ac:dyDescent="0.35">
      <c r="B99" t="str">
        <v>STAR ONE D2</v>
      </c>
      <c r="C99">
        <v>12148</v>
      </c>
      <c r="D99" s="48">
        <f>+SUMIFS('Input Data'!$AK:$AK,'Input Data'!$G:$G,$C99)</f>
        <v>18218369.660357591</v>
      </c>
      <c r="E99" s="21">
        <f>+SUMIFS('Input Data'!$AH:$AH,'Input Data'!$G:$G,$C99)</f>
        <v>569324.05188617459</v>
      </c>
      <c r="F99" s="21">
        <f>+SUMIFS('Input Data'!$AY:$AY,'Input Data'!$G:$G,$C99)</f>
        <v>3643673.9320715182</v>
      </c>
      <c r="G99" s="21">
        <f>+SUMIFS('Input Data'!AO:AO,'Input Data'!$G:$G,$C99)</f>
        <v>0</v>
      </c>
      <c r="H99" s="21">
        <v>0</v>
      </c>
      <c r="I99" s="191">
        <f>+SUMIFS('Input Data'!$BF:$BF,'Input Data'!$G:$G,$C99)</f>
        <v>14574695.728286073</v>
      </c>
      <c r="J99" s="21">
        <f t="shared" si="20"/>
        <v>16662217.251868714</v>
      </c>
      <c r="K99" s="48">
        <f>+SUMIFS('Input Data'!$AK:$AK,'Input Data'!$G:$G,$C99,'Input Data'!$V:$V,"FUL")</f>
        <v>18218369.660357591</v>
      </c>
      <c r="L99" s="21">
        <f>+SUMIFS('Input Data'!$AY:$AY,'Input Data'!$G:$G,$C99,'Input Data'!$V:$V,"FUL")</f>
        <v>3643673.9320715182</v>
      </c>
      <c r="M99" s="21">
        <f>+SUMIFS('Input Data'!$AO:$AO,'Input Data'!$G:$G,$C99,'Input Data'!$V:$V,"FUL")</f>
        <v>0</v>
      </c>
      <c r="N99" s="21">
        <f>+SUMIFS('Input Data'!$BH:$BH,'Input Data'!$G:$G,$C99,'Input Data'!$V:$V,"FUL")</f>
        <v>7287347.8641430363</v>
      </c>
      <c r="O99" s="21">
        <f t="shared" si="11"/>
        <v>7287347.8641430363</v>
      </c>
      <c r="P99" s="21">
        <f t="shared" si="12"/>
        <v>0</v>
      </c>
      <c r="Q99" s="191">
        <f t="shared" si="13"/>
        <v>7287347.8641430363</v>
      </c>
      <c r="R99" s="48">
        <f>+SUMIFS('Input Data'!$AK:$AK,'Input Data'!$G:$G,$C99,'Input Data'!$V:$V,"FIID")</f>
        <v>0</v>
      </c>
      <c r="S99" s="21">
        <f>+SUMIFS('Input Data'!$AY:$AY,'Input Data'!$G:$G,$C99,'Input Data'!$V:$V,"FIID")</f>
        <v>0</v>
      </c>
      <c r="T99" s="21">
        <f>+SUMIFS('Input Data'!$AO:$AO,'Input Data'!$G:$G,$C99,'Input Data'!$V:$V,"FIID")</f>
        <v>0</v>
      </c>
      <c r="U99" s="21">
        <f>+SUMIFS('Input Data'!$BH:$BH,'Input Data'!$G:$G,$C99,'Input Data'!$V:$V,"FIID")</f>
        <v>0</v>
      </c>
      <c r="V99" s="21">
        <f t="shared" si="14"/>
        <v>0</v>
      </c>
      <c r="W99" s="21">
        <f t="shared" si="15"/>
        <v>0</v>
      </c>
      <c r="X99" s="191">
        <f t="shared" si="16"/>
        <v>0</v>
      </c>
      <c r="Y99" s="48">
        <f>+SUMIFS('Input Data'!$AK:$AK,'Input Data'!$G:$G,$C99,'Input Data'!$V:$V,"FIBL")</f>
        <v>0</v>
      </c>
      <c r="Z99" s="21">
        <f>+SUMIFS('Input Data'!$AH:$AH,'Input Data'!$G:$G,$C99)</f>
        <v>569324.05188617459</v>
      </c>
      <c r="AA99" s="21">
        <f>+SUMIFS('Input Data'!$AY:$AY,'Input Data'!$G:$G,$C99,'Input Data'!$V:$V,"FIBL")</f>
        <v>0</v>
      </c>
      <c r="AB99" s="431">
        <f>+SUMIFS('Input Data'!$AO:$AO,'Input Data'!$G:$G,$C99,'Input Data'!$V:$V,"FIBL")</f>
        <v>0</v>
      </c>
      <c r="AC99" s="21">
        <v>0</v>
      </c>
      <c r="AD99" s="21">
        <f t="shared" si="17"/>
        <v>0</v>
      </c>
      <c r="AE99" s="21">
        <v>0</v>
      </c>
      <c r="AF99" s="191">
        <f t="shared" si="18"/>
        <v>0</v>
      </c>
      <c r="AK99" s="46">
        <f t="shared" si="19"/>
        <v>7287347.8641430363</v>
      </c>
      <c r="AL99" s="46">
        <f>+SUMIFS('Input Data'!$BE:$BE,'Input Data'!$G:$G,$C99)</f>
        <v>1518197.4716964657</v>
      </c>
      <c r="AM99" s="46">
        <f t="shared" si="21"/>
        <v>9374869.3877256773</v>
      </c>
    </row>
    <row r="100" spans="2:39" x14ac:dyDescent="0.35">
      <c r="B100" t="str">
        <v>AMAZONAS 3</v>
      </c>
      <c r="C100">
        <v>9005</v>
      </c>
      <c r="D100" s="48">
        <f>+SUMIFS('Input Data'!$AK:$AK,'Input Data'!$G:$G,$C100)</f>
        <v>1482955.12364109</v>
      </c>
      <c r="E100" s="21">
        <f>+SUMIFS('Input Data'!$AH:$AH,'Input Data'!$G:$G,$C100)</f>
        <v>46342.347613784063</v>
      </c>
      <c r="F100" s="21">
        <f>+SUMIFS('Input Data'!$AY:$AY,'Input Data'!$G:$G,$C100)</f>
        <v>296591.02472821804</v>
      </c>
      <c r="G100" s="21">
        <f>+SUMIFS('Input Data'!AO:AO,'Input Data'!$G:$G,$C100)</f>
        <v>0</v>
      </c>
      <c r="H100" s="21">
        <v>0</v>
      </c>
      <c r="I100" s="191">
        <f>+SUMIFS('Input Data'!$BF:$BF,'Input Data'!$G:$G,$C100)</f>
        <v>1186364.0989128719</v>
      </c>
      <c r="J100" s="21">
        <f t="shared" si="20"/>
        <v>1356286.0401634134</v>
      </c>
      <c r="K100" s="48">
        <f>+SUMIFS('Input Data'!$AK:$AK,'Input Data'!$G:$G,$C100,'Input Data'!$V:$V,"FUL")</f>
        <v>0</v>
      </c>
      <c r="L100" s="21">
        <f>+SUMIFS('Input Data'!$AY:$AY,'Input Data'!$G:$G,$C100,'Input Data'!$V:$V,"FUL")</f>
        <v>0</v>
      </c>
      <c r="M100" s="21">
        <f>+SUMIFS('Input Data'!$AO:$AO,'Input Data'!$G:$G,$C100,'Input Data'!$V:$V,"FUL")</f>
        <v>0</v>
      </c>
      <c r="N100" s="21">
        <f>+SUMIFS('Input Data'!$BH:$BH,'Input Data'!$G:$G,$C100,'Input Data'!$V:$V,"FUL")</f>
        <v>0</v>
      </c>
      <c r="O100" s="21">
        <f t="shared" si="11"/>
        <v>0</v>
      </c>
      <c r="P100" s="21">
        <f t="shared" si="12"/>
        <v>0</v>
      </c>
      <c r="Q100" s="191">
        <f t="shared" si="13"/>
        <v>0</v>
      </c>
      <c r="R100" s="48">
        <f>+SUMIFS('Input Data'!$AK:$AK,'Input Data'!$G:$G,$C100,'Input Data'!$V:$V,"FIID")</f>
        <v>1482955.12364109</v>
      </c>
      <c r="S100" s="21">
        <f>+SUMIFS('Input Data'!$AY:$AY,'Input Data'!$G:$G,$C100,'Input Data'!$V:$V,"FIID")</f>
        <v>296591.02472821804</v>
      </c>
      <c r="T100" s="21">
        <f>+SUMIFS('Input Data'!$AO:$AO,'Input Data'!$G:$G,$C100,'Input Data'!$V:$V,"FIID")</f>
        <v>0</v>
      </c>
      <c r="U100" s="21">
        <f>+SUMIFS('Input Data'!$BH:$BH,'Input Data'!$G:$G,$C100,'Input Data'!$V:$V,"FIID")</f>
        <v>1008409.4840759411</v>
      </c>
      <c r="V100" s="21">
        <f t="shared" si="14"/>
        <v>177954.61483693076</v>
      </c>
      <c r="W100" s="21">
        <f t="shared" si="15"/>
        <v>0</v>
      </c>
      <c r="X100" s="191">
        <f t="shared" si="16"/>
        <v>177954.61483693076</v>
      </c>
      <c r="Y100" s="48">
        <f>+SUMIFS('Input Data'!$AK:$AK,'Input Data'!$G:$G,$C100,'Input Data'!$V:$V,"FIBL")</f>
        <v>0</v>
      </c>
      <c r="Z100" s="21">
        <f>+SUMIFS('Input Data'!$AH:$AH,'Input Data'!$G:$G,$C100)</f>
        <v>46342.347613784063</v>
      </c>
      <c r="AA100" s="21">
        <f>+SUMIFS('Input Data'!$AY:$AY,'Input Data'!$G:$G,$C100,'Input Data'!$V:$V,"FIBL")</f>
        <v>0</v>
      </c>
      <c r="AB100" s="431">
        <f>+SUMIFS('Input Data'!$AO:$AO,'Input Data'!$G:$G,$C100,'Input Data'!$V:$V,"FIBL")</f>
        <v>0</v>
      </c>
      <c r="AC100" s="21">
        <v>0</v>
      </c>
      <c r="AD100" s="21">
        <f t="shared" si="17"/>
        <v>0</v>
      </c>
      <c r="AE100" s="21">
        <v>0</v>
      </c>
      <c r="AF100" s="191">
        <f t="shared" si="18"/>
        <v>0</v>
      </c>
      <c r="AK100" s="46">
        <f t="shared" si="19"/>
        <v>1008409.4840759411</v>
      </c>
      <c r="AL100" s="46">
        <f>+SUMIFS('Input Data'!$BE:$BE,'Input Data'!$G:$G,$C100)</f>
        <v>123579.59363675752</v>
      </c>
      <c r="AM100" s="46">
        <f t="shared" si="21"/>
        <v>1178331.4253264826</v>
      </c>
    </row>
    <row r="101" spans="2:39" x14ac:dyDescent="0.35">
      <c r="B101" t="str">
        <v>HISPASAT 30W-6 (HISPASAT 1F)</v>
      </c>
      <c r="C101">
        <v>10144</v>
      </c>
      <c r="D101" s="48">
        <f>+SUMIFS('Input Data'!$AK:$AK,'Input Data'!$G:$G,$C101)</f>
        <v>7618716.1751617799</v>
      </c>
      <c r="E101" s="21">
        <f>+SUMIFS('Input Data'!$AH:$AH,'Input Data'!$G:$G,$C101)</f>
        <v>238084.88047380565</v>
      </c>
      <c r="F101" s="21">
        <f>+SUMIFS('Input Data'!$AY:$AY,'Input Data'!$G:$G,$C101)</f>
        <v>1523743.2350323561</v>
      </c>
      <c r="G101" s="21">
        <f>+SUMIFS('Input Data'!AO:AO,'Input Data'!$G:$G,$C101)</f>
        <v>0</v>
      </c>
      <c r="H101" s="21">
        <v>0</v>
      </c>
      <c r="I101" s="191">
        <f>+SUMIFS('Input Data'!$BF:$BF,'Input Data'!$G:$G,$C101)</f>
        <v>6094972.9401294235</v>
      </c>
      <c r="J101" s="21">
        <f t="shared" si="20"/>
        <v>6967950.8352000443</v>
      </c>
      <c r="K101" s="48">
        <f>+SUMIFS('Input Data'!$AK:$AK,'Input Data'!$G:$G,$C101,'Input Data'!$V:$V,"FUL")</f>
        <v>0</v>
      </c>
      <c r="L101" s="21">
        <f>+SUMIFS('Input Data'!$AY:$AY,'Input Data'!$G:$G,$C101,'Input Data'!$V:$V,"FUL")</f>
        <v>0</v>
      </c>
      <c r="M101" s="21">
        <f>+SUMIFS('Input Data'!$AO:$AO,'Input Data'!$G:$G,$C101,'Input Data'!$V:$V,"FUL")</f>
        <v>0</v>
      </c>
      <c r="N101" s="21">
        <f>+SUMIFS('Input Data'!$BH:$BH,'Input Data'!$G:$G,$C101,'Input Data'!$V:$V,"FUL")</f>
        <v>0</v>
      </c>
      <c r="O101" s="21">
        <f t="shared" si="11"/>
        <v>0</v>
      </c>
      <c r="P101" s="21">
        <f t="shared" si="12"/>
        <v>0</v>
      </c>
      <c r="Q101" s="191">
        <f t="shared" si="13"/>
        <v>0</v>
      </c>
      <c r="R101" s="48">
        <f>+SUMIFS('Input Data'!$AK:$AK,'Input Data'!$G:$G,$C101,'Input Data'!$V:$V,"FIID")</f>
        <v>7618716.1751617799</v>
      </c>
      <c r="S101" s="21">
        <f>+SUMIFS('Input Data'!$AY:$AY,'Input Data'!$G:$G,$C101,'Input Data'!$V:$V,"FIID")</f>
        <v>1523743.2350323561</v>
      </c>
      <c r="T101" s="21">
        <f>+SUMIFS('Input Data'!$AO:$AO,'Input Data'!$G:$G,$C101,'Input Data'!$V:$V,"FIID")</f>
        <v>0</v>
      </c>
      <c r="U101" s="21">
        <f>+SUMIFS('Input Data'!$BH:$BH,'Input Data'!$G:$G,$C101,'Input Data'!$V:$V,"FIID")</f>
        <v>5180726.9991100095</v>
      </c>
      <c r="V101" s="21">
        <f t="shared" si="14"/>
        <v>914245.94101941399</v>
      </c>
      <c r="W101" s="21">
        <f t="shared" si="15"/>
        <v>0</v>
      </c>
      <c r="X101" s="191">
        <f t="shared" si="16"/>
        <v>914245.94101941399</v>
      </c>
      <c r="Y101" s="48">
        <f>+SUMIFS('Input Data'!$AK:$AK,'Input Data'!$G:$G,$C101,'Input Data'!$V:$V,"FIBL")</f>
        <v>0</v>
      </c>
      <c r="Z101" s="21">
        <f>+SUMIFS('Input Data'!$AH:$AH,'Input Data'!$G:$G,$C101)</f>
        <v>238084.88047380565</v>
      </c>
      <c r="AA101" s="21">
        <f>+SUMIFS('Input Data'!$AY:$AY,'Input Data'!$G:$G,$C101,'Input Data'!$V:$V,"FIBL")</f>
        <v>0</v>
      </c>
      <c r="AB101" s="431">
        <f>+SUMIFS('Input Data'!$AO:$AO,'Input Data'!$G:$G,$C101,'Input Data'!$V:$V,"FIBL")</f>
        <v>0</v>
      </c>
      <c r="AC101" s="21">
        <v>0</v>
      </c>
      <c r="AD101" s="21">
        <f t="shared" si="17"/>
        <v>0</v>
      </c>
      <c r="AE101" s="21">
        <v>0</v>
      </c>
      <c r="AF101" s="191">
        <f t="shared" si="18"/>
        <v>0</v>
      </c>
      <c r="AK101" s="46">
        <f t="shared" si="19"/>
        <v>5180726.9991100095</v>
      </c>
      <c r="AL101" s="46">
        <f>+SUMIFS('Input Data'!$BE:$BE,'Input Data'!$G:$G,$C101)</f>
        <v>634893.0145968151</v>
      </c>
      <c r="AM101" s="46">
        <f t="shared" si="21"/>
        <v>6053704.8941806303</v>
      </c>
    </row>
    <row r="102" spans="2:39" x14ac:dyDescent="0.35">
      <c r="B102" t="str">
        <v>AMAZONAS 5</v>
      </c>
      <c r="C102">
        <v>10280</v>
      </c>
      <c r="D102" s="48">
        <f>+SUMIFS('Input Data'!$AK:$AK,'Input Data'!$G:$G,$C102)</f>
        <v>3877050.83890505</v>
      </c>
      <c r="E102" s="21">
        <f>+SUMIFS('Input Data'!$AH:$AH,'Input Data'!$G:$G,$C102)</f>
        <v>121157.83871578281</v>
      </c>
      <c r="F102" s="21">
        <f>+SUMIFS('Input Data'!$AY:$AY,'Input Data'!$G:$G,$C102)</f>
        <v>775410.16778101004</v>
      </c>
      <c r="G102" s="21">
        <f>+SUMIFS('Input Data'!AO:AO,'Input Data'!$G:$G,$C102)</f>
        <v>0</v>
      </c>
      <c r="H102" s="21">
        <v>0</v>
      </c>
      <c r="I102" s="191">
        <f>+SUMIFS('Input Data'!$BF:$BF,'Input Data'!$G:$G,$C102)</f>
        <v>3101640.6711240401</v>
      </c>
      <c r="J102" s="21">
        <f t="shared" si="20"/>
        <v>3545886.0797485774</v>
      </c>
      <c r="K102" s="48">
        <f>+SUMIFS('Input Data'!$AK:$AK,'Input Data'!$G:$G,$C102,'Input Data'!$V:$V,"FUL")</f>
        <v>0</v>
      </c>
      <c r="L102" s="21">
        <f>+SUMIFS('Input Data'!$AY:$AY,'Input Data'!$G:$G,$C102,'Input Data'!$V:$V,"FUL")</f>
        <v>0</v>
      </c>
      <c r="M102" s="21">
        <f>+SUMIFS('Input Data'!$AO:$AO,'Input Data'!$G:$G,$C102,'Input Data'!$V:$V,"FUL")</f>
        <v>0</v>
      </c>
      <c r="N102" s="21">
        <f>+SUMIFS('Input Data'!$BH:$BH,'Input Data'!$G:$G,$C102,'Input Data'!$V:$V,"FUL")</f>
        <v>0</v>
      </c>
      <c r="O102" s="21">
        <f t="shared" si="11"/>
        <v>0</v>
      </c>
      <c r="P102" s="21">
        <f t="shared" si="12"/>
        <v>0</v>
      </c>
      <c r="Q102" s="191">
        <f t="shared" si="13"/>
        <v>0</v>
      </c>
      <c r="R102" s="48">
        <f>+SUMIFS('Input Data'!$AK:$AK,'Input Data'!$G:$G,$C102,'Input Data'!$V:$V,"FIID")</f>
        <v>3877050.83890505</v>
      </c>
      <c r="S102" s="21">
        <f>+SUMIFS('Input Data'!$AY:$AY,'Input Data'!$G:$G,$C102,'Input Data'!$V:$V,"FIID")</f>
        <v>775410.16778101004</v>
      </c>
      <c r="T102" s="21">
        <f>+SUMIFS('Input Data'!$AO:$AO,'Input Data'!$G:$G,$C102,'Input Data'!$V:$V,"FIID")</f>
        <v>0</v>
      </c>
      <c r="U102" s="21">
        <f>+SUMIFS('Input Data'!$BH:$BH,'Input Data'!$G:$G,$C102,'Input Data'!$V:$V,"FIID")</f>
        <v>2636394.5704554343</v>
      </c>
      <c r="V102" s="21">
        <f t="shared" si="14"/>
        <v>465246.10066860588</v>
      </c>
      <c r="W102" s="21">
        <f t="shared" si="15"/>
        <v>0</v>
      </c>
      <c r="X102" s="191">
        <f t="shared" si="16"/>
        <v>465246.10066860588</v>
      </c>
      <c r="Y102" s="48">
        <f>+SUMIFS('Input Data'!$AK:$AK,'Input Data'!$G:$G,$C102,'Input Data'!$V:$V,"FIBL")</f>
        <v>0</v>
      </c>
      <c r="Z102" s="21">
        <f>+SUMIFS('Input Data'!$AH:$AH,'Input Data'!$G:$G,$C102)</f>
        <v>121157.83871578281</v>
      </c>
      <c r="AA102" s="21">
        <f>+SUMIFS('Input Data'!$AY:$AY,'Input Data'!$G:$G,$C102,'Input Data'!$V:$V,"FIBL")</f>
        <v>0</v>
      </c>
      <c r="AB102" s="431">
        <f>+SUMIFS('Input Data'!$AO:$AO,'Input Data'!$G:$G,$C102,'Input Data'!$V:$V,"FIBL")</f>
        <v>0</v>
      </c>
      <c r="AC102" s="21">
        <v>0</v>
      </c>
      <c r="AD102" s="21">
        <f t="shared" si="17"/>
        <v>0</v>
      </c>
      <c r="AE102" s="21">
        <v>0</v>
      </c>
      <c r="AF102" s="191">
        <f t="shared" si="18"/>
        <v>0</v>
      </c>
      <c r="AK102" s="46">
        <f t="shared" si="19"/>
        <v>2636394.5704554343</v>
      </c>
      <c r="AL102" s="46">
        <f>+SUMIFS('Input Data'!$BE:$BE,'Input Data'!$G:$G,$C102)</f>
        <v>323087.5699087542</v>
      </c>
      <c r="AM102" s="46">
        <f t="shared" si="21"/>
        <v>3080639.9790799716</v>
      </c>
    </row>
    <row r="103" spans="2:39" x14ac:dyDescent="0.35">
      <c r="B103" t="str">
        <v>HISPASAT 30W-5 (HISPASAT 1E)</v>
      </c>
      <c r="C103">
        <v>5646</v>
      </c>
      <c r="D103" s="48">
        <f>+SUMIFS('Input Data'!$AK:$AK,'Input Data'!$G:$G,$C103)</f>
        <v>1908722.49728835</v>
      </c>
      <c r="E103" s="21">
        <f>+SUMIFS('Input Data'!$AH:$AH,'Input Data'!$G:$G,$C103)</f>
        <v>59647.578040260938</v>
      </c>
      <c r="F103" s="21">
        <f>+SUMIFS('Input Data'!$AY:$AY,'Input Data'!$G:$G,$C103)</f>
        <v>381744.49945767003</v>
      </c>
      <c r="G103" s="21">
        <f>+SUMIFS('Input Data'!AO:AO,'Input Data'!$G:$G,$C103)</f>
        <v>0</v>
      </c>
      <c r="H103" s="21">
        <v>0</v>
      </c>
      <c r="I103" s="191">
        <f>+SUMIFS('Input Data'!$BF:$BF,'Input Data'!$G:$G,$C103)</f>
        <v>1526977.9978306801</v>
      </c>
      <c r="J103" s="21">
        <f t="shared" si="20"/>
        <v>1745685.7839783034</v>
      </c>
      <c r="K103" s="48">
        <f>+SUMIFS('Input Data'!$AK:$AK,'Input Data'!$G:$G,$C103,'Input Data'!$V:$V,"FUL")</f>
        <v>0</v>
      </c>
      <c r="L103" s="21">
        <f>+SUMIFS('Input Data'!$AY:$AY,'Input Data'!$G:$G,$C103,'Input Data'!$V:$V,"FUL")</f>
        <v>0</v>
      </c>
      <c r="M103" s="21">
        <f>+SUMIFS('Input Data'!$AO:$AO,'Input Data'!$G:$G,$C103,'Input Data'!$V:$V,"FUL")</f>
        <v>0</v>
      </c>
      <c r="N103" s="21">
        <f>+SUMIFS('Input Data'!$BH:$BH,'Input Data'!$G:$G,$C103,'Input Data'!$V:$V,"FUL")</f>
        <v>0</v>
      </c>
      <c r="O103" s="21">
        <f t="shared" si="11"/>
        <v>0</v>
      </c>
      <c r="P103" s="21">
        <f t="shared" si="12"/>
        <v>0</v>
      </c>
      <c r="Q103" s="191">
        <f t="shared" si="13"/>
        <v>0</v>
      </c>
      <c r="R103" s="48">
        <f>+SUMIFS('Input Data'!$AK:$AK,'Input Data'!$G:$G,$C103,'Input Data'!$V:$V,"FIID")</f>
        <v>1908722.49728835</v>
      </c>
      <c r="S103" s="21">
        <f>+SUMIFS('Input Data'!$AY:$AY,'Input Data'!$G:$G,$C103,'Input Data'!$V:$V,"FIID")</f>
        <v>381744.49945767003</v>
      </c>
      <c r="T103" s="21">
        <f>+SUMIFS('Input Data'!$AO:$AO,'Input Data'!$G:$G,$C103,'Input Data'!$V:$V,"FIID")</f>
        <v>0</v>
      </c>
      <c r="U103" s="21">
        <f>+SUMIFS('Input Data'!$BH:$BH,'Input Data'!$G:$G,$C103,'Input Data'!$V:$V,"FIID")</f>
        <v>1297931.298156078</v>
      </c>
      <c r="V103" s="21">
        <f t="shared" si="14"/>
        <v>229046.69967460213</v>
      </c>
      <c r="W103" s="21">
        <f t="shared" si="15"/>
        <v>0</v>
      </c>
      <c r="X103" s="191">
        <f t="shared" si="16"/>
        <v>229046.69967460213</v>
      </c>
      <c r="Y103" s="48">
        <f>+SUMIFS('Input Data'!$AK:$AK,'Input Data'!$G:$G,$C103,'Input Data'!$V:$V,"FIBL")</f>
        <v>0</v>
      </c>
      <c r="Z103" s="21">
        <f>+SUMIFS('Input Data'!$AH:$AH,'Input Data'!$G:$G,$C103)</f>
        <v>59647.578040260938</v>
      </c>
      <c r="AA103" s="21">
        <f>+SUMIFS('Input Data'!$AY:$AY,'Input Data'!$G:$G,$C103,'Input Data'!$V:$V,"FIBL")</f>
        <v>0</v>
      </c>
      <c r="AB103" s="431">
        <f>+SUMIFS('Input Data'!$AO:$AO,'Input Data'!$G:$G,$C103,'Input Data'!$V:$V,"FIBL")</f>
        <v>0</v>
      </c>
      <c r="AC103" s="21">
        <v>0</v>
      </c>
      <c r="AD103" s="21">
        <f t="shared" si="17"/>
        <v>0</v>
      </c>
      <c r="AE103" s="21">
        <v>0</v>
      </c>
      <c r="AF103" s="191">
        <f t="shared" si="18"/>
        <v>0</v>
      </c>
      <c r="AK103" s="46">
        <f t="shared" si="19"/>
        <v>1297931.298156078</v>
      </c>
      <c r="AL103" s="46">
        <f>+SUMIFS('Input Data'!$BE:$BE,'Input Data'!$G:$G,$C103)</f>
        <v>159060.20810736253</v>
      </c>
      <c r="AM103" s="46">
        <f t="shared" si="21"/>
        <v>1516639.0843037013</v>
      </c>
    </row>
    <row r="104" spans="2:39" x14ac:dyDescent="0.35">
      <c r="B104" t="str">
        <v>STAR ONE C4</v>
      </c>
      <c r="C104">
        <v>9558</v>
      </c>
      <c r="D104" s="48">
        <f>+SUMIFS('Input Data'!$AK:$AK,'Input Data'!$G:$G,$C104)</f>
        <v>1324629.2761428</v>
      </c>
      <c r="E104" s="21">
        <f>+SUMIFS('Input Data'!$AH:$AH,'Input Data'!$G:$G,$C104)</f>
        <v>41394.6648794625</v>
      </c>
      <c r="F104" s="21">
        <f>+SUMIFS('Input Data'!$AY:$AY,'Input Data'!$G:$G,$C104)</f>
        <v>264925.85522855999</v>
      </c>
      <c r="G104" s="21">
        <f>+SUMIFS('Input Data'!AO:AO,'Input Data'!$G:$G,$C104)</f>
        <v>0</v>
      </c>
      <c r="H104" s="21">
        <v>0</v>
      </c>
      <c r="I104" s="191">
        <f>+SUMIFS('Input Data'!$BF:$BF,'Input Data'!$G:$G,$C104)</f>
        <v>1059703.4209142399</v>
      </c>
      <c r="J104" s="21">
        <f t="shared" si="20"/>
        <v>1211483.8588056024</v>
      </c>
      <c r="K104" s="48">
        <f>+SUMIFS('Input Data'!$AK:$AK,'Input Data'!$G:$G,$C104,'Input Data'!$V:$V,"FUL")</f>
        <v>1324629.2761428</v>
      </c>
      <c r="L104" s="21">
        <f>+SUMIFS('Input Data'!$AY:$AY,'Input Data'!$G:$G,$C104,'Input Data'!$V:$V,"FUL")</f>
        <v>264925.85522855999</v>
      </c>
      <c r="M104" s="21">
        <f>+SUMIFS('Input Data'!$AO:$AO,'Input Data'!$G:$G,$C104,'Input Data'!$V:$V,"FUL")</f>
        <v>0</v>
      </c>
      <c r="N104" s="21">
        <f>+SUMIFS('Input Data'!$BH:$BH,'Input Data'!$G:$G,$C104,'Input Data'!$V:$V,"FUL")</f>
        <v>529851.71045711997</v>
      </c>
      <c r="O104" s="21">
        <f t="shared" ref="O104:O127" si="22">K104-L104-M104-N104</f>
        <v>529851.71045711997</v>
      </c>
      <c r="P104" s="21">
        <f t="shared" ref="P104:P127" si="23">IF(O104&gt;FUL_Deductible,MIN(O104-FUL_Deductible,FUL_Limit),0)</f>
        <v>0</v>
      </c>
      <c r="Q104" s="191">
        <f t="shared" ref="Q104:Q127" si="24">K104-L104-M104-N104-P104</f>
        <v>529851.71045711997</v>
      </c>
      <c r="R104" s="48">
        <f>+SUMIFS('Input Data'!$AK:$AK,'Input Data'!$G:$G,$C104,'Input Data'!$V:$V,"FIID")</f>
        <v>0</v>
      </c>
      <c r="S104" s="21">
        <f>+SUMIFS('Input Data'!$AY:$AY,'Input Data'!$G:$G,$C104,'Input Data'!$V:$V,"FIID")</f>
        <v>0</v>
      </c>
      <c r="T104" s="21">
        <f>+SUMIFS('Input Data'!$AO:$AO,'Input Data'!$G:$G,$C104,'Input Data'!$V:$V,"FIID")</f>
        <v>0</v>
      </c>
      <c r="U104" s="21">
        <f>+SUMIFS('Input Data'!$BH:$BH,'Input Data'!$G:$G,$C104,'Input Data'!$V:$V,"FIID")</f>
        <v>0</v>
      </c>
      <c r="V104" s="21">
        <f t="shared" ref="V104:V127" si="25">R104-S104-T104-U104</f>
        <v>0</v>
      </c>
      <c r="W104" s="21">
        <f t="shared" ref="W104:W127" si="26">IF(V104&gt;FIID_Deductible,MIN(V104-FIID_Deductible,FIID_Limit),0)</f>
        <v>0</v>
      </c>
      <c r="X104" s="191">
        <f t="shared" ref="X104:X127" si="27">R104-S104-T104-U104-W104</f>
        <v>0</v>
      </c>
      <c r="Y104" s="48">
        <f>+SUMIFS('Input Data'!$AK:$AK,'Input Data'!$G:$G,$C104,'Input Data'!$V:$V,"FIBL")</f>
        <v>0</v>
      </c>
      <c r="Z104" s="21">
        <f>+SUMIFS('Input Data'!$AH:$AH,'Input Data'!$G:$G,$C104)</f>
        <v>41394.6648794625</v>
      </c>
      <c r="AA104" s="21">
        <f>+SUMIFS('Input Data'!$AY:$AY,'Input Data'!$G:$G,$C104,'Input Data'!$V:$V,"FIBL")</f>
        <v>0</v>
      </c>
      <c r="AB104" s="431">
        <f>+SUMIFS('Input Data'!$AO:$AO,'Input Data'!$G:$G,$C104,'Input Data'!$V:$V,"FIBL")</f>
        <v>0</v>
      </c>
      <c r="AC104" s="21">
        <v>0</v>
      </c>
      <c r="AD104" s="21">
        <f t="shared" ref="AD104:AD127" si="28">Y104-AA104-AB104-AC104</f>
        <v>0</v>
      </c>
      <c r="AE104" s="21">
        <v>0</v>
      </c>
      <c r="AF104" s="191">
        <f t="shared" ref="AF104:AF127" si="29">Y104-AA104-AB104-AC104-AE104</f>
        <v>0</v>
      </c>
      <c r="AK104" s="46">
        <f t="shared" si="19"/>
        <v>529851.71045711997</v>
      </c>
      <c r="AL104" s="46">
        <f>+SUMIFS('Input Data'!$BE:$BE,'Input Data'!$G:$G,$C104)</f>
        <v>110385.7730119</v>
      </c>
      <c r="AM104" s="46">
        <f t="shared" si="21"/>
        <v>681632.14834848244</v>
      </c>
    </row>
    <row r="105" spans="2:39" x14ac:dyDescent="0.35">
      <c r="B105" t="str">
        <v>AZERSPACE-1/AFRICASAT 1A</v>
      </c>
      <c r="C105">
        <v>8878</v>
      </c>
      <c r="D105" s="48">
        <f>+SUMIFS('Input Data'!$AK:$AK,'Input Data'!$G:$G,$C105)</f>
        <v>6576079.0788000003</v>
      </c>
      <c r="E105" s="21">
        <f>+SUMIFS('Input Data'!$AH:$AH,'Input Data'!$G:$G,$C105)</f>
        <v>246602.965455</v>
      </c>
      <c r="F105" s="21">
        <f>+SUMIFS('Input Data'!$AY:$AY,'Input Data'!$G:$G,$C105)</f>
        <v>1315215.8157600001</v>
      </c>
      <c r="G105" s="21">
        <f>+SUMIFS('Input Data'!AO:AO,'Input Data'!$G:$G,$C105)</f>
        <v>0</v>
      </c>
      <c r="H105" s="21">
        <v>0</v>
      </c>
      <c r="I105" s="191">
        <f>+SUMIFS('Input Data'!$BF:$BF,'Input Data'!$G:$G,$C105)</f>
        <v>5260863.2630400006</v>
      </c>
      <c r="J105" s="21">
        <f t="shared" si="20"/>
        <v>6165074.1363750007</v>
      </c>
      <c r="K105" s="48">
        <f>+SUMIFS('Input Data'!$AK:$AK,'Input Data'!$G:$G,$C105,'Input Data'!$V:$V,"FUL")</f>
        <v>6576079.0788000003</v>
      </c>
      <c r="L105" s="21">
        <f>+SUMIFS('Input Data'!$AY:$AY,'Input Data'!$G:$G,$C105,'Input Data'!$V:$V,"FUL")</f>
        <v>1315215.8157600001</v>
      </c>
      <c r="M105" s="21">
        <f>+SUMIFS('Input Data'!$AO:$AO,'Input Data'!$G:$G,$C105,'Input Data'!$V:$V,"FUL")</f>
        <v>0</v>
      </c>
      <c r="N105" s="21">
        <f>+SUMIFS('Input Data'!$BH:$BH,'Input Data'!$G:$G,$C105,'Input Data'!$V:$V,"FUL")</f>
        <v>2630431.6315200003</v>
      </c>
      <c r="O105" s="21">
        <f t="shared" si="22"/>
        <v>2630431.6315200003</v>
      </c>
      <c r="P105" s="21">
        <f t="shared" si="23"/>
        <v>0</v>
      </c>
      <c r="Q105" s="191">
        <f t="shared" si="24"/>
        <v>2630431.6315200003</v>
      </c>
      <c r="R105" s="48">
        <f>+SUMIFS('Input Data'!$AK:$AK,'Input Data'!$G:$G,$C105,'Input Data'!$V:$V,"FIID")</f>
        <v>0</v>
      </c>
      <c r="S105" s="21">
        <f>+SUMIFS('Input Data'!$AY:$AY,'Input Data'!$G:$G,$C105,'Input Data'!$V:$V,"FIID")</f>
        <v>0</v>
      </c>
      <c r="T105" s="21">
        <f>+SUMIFS('Input Data'!$AO:$AO,'Input Data'!$G:$G,$C105,'Input Data'!$V:$V,"FIID")</f>
        <v>0</v>
      </c>
      <c r="U105" s="21">
        <f>+SUMIFS('Input Data'!$BH:$BH,'Input Data'!$G:$G,$C105,'Input Data'!$V:$V,"FIID")</f>
        <v>0</v>
      </c>
      <c r="V105" s="21">
        <f t="shared" si="25"/>
        <v>0</v>
      </c>
      <c r="W105" s="21">
        <f t="shared" si="26"/>
        <v>0</v>
      </c>
      <c r="X105" s="191">
        <f t="shared" si="27"/>
        <v>0</v>
      </c>
      <c r="Y105" s="48">
        <f>+SUMIFS('Input Data'!$AK:$AK,'Input Data'!$G:$G,$C105,'Input Data'!$V:$V,"FIBL")</f>
        <v>0</v>
      </c>
      <c r="Z105" s="21">
        <f>+SUMIFS('Input Data'!$AH:$AH,'Input Data'!$G:$G,$C105)</f>
        <v>246602.965455</v>
      </c>
      <c r="AA105" s="21">
        <f>+SUMIFS('Input Data'!$AY:$AY,'Input Data'!$G:$G,$C105,'Input Data'!$V:$V,"FIBL")</f>
        <v>0</v>
      </c>
      <c r="AB105" s="431">
        <f>+SUMIFS('Input Data'!$AO:$AO,'Input Data'!$G:$G,$C105,'Input Data'!$V:$V,"FIBL")</f>
        <v>0</v>
      </c>
      <c r="AC105" s="21">
        <v>0</v>
      </c>
      <c r="AD105" s="21">
        <f t="shared" si="28"/>
        <v>0</v>
      </c>
      <c r="AE105" s="21">
        <v>0</v>
      </c>
      <c r="AF105" s="191">
        <f t="shared" si="29"/>
        <v>0</v>
      </c>
      <c r="AK105" s="46">
        <f t="shared" ref="AK105:AK127" si="30">N105+P105+U105+W105</f>
        <v>2630431.6315200003</v>
      </c>
      <c r="AL105" s="46">
        <f>+SUMIFS('Input Data'!$BE:$BE,'Input Data'!$G:$G,$C105)</f>
        <v>657607.90788000007</v>
      </c>
      <c r="AM105" s="46">
        <f t="shared" si="21"/>
        <v>3534642.5048549999</v>
      </c>
    </row>
    <row r="106" spans="2:39" x14ac:dyDescent="0.35">
      <c r="B106" t="str">
        <v>JCSAT-2B (JCSAT-14)</v>
      </c>
      <c r="C106">
        <v>9671</v>
      </c>
      <c r="D106" s="48">
        <f>+SUMIFS('Input Data'!$AK:$AK,'Input Data'!$G:$G,$C106)</f>
        <v>627113.02780526399</v>
      </c>
      <c r="E106" s="21">
        <f>+SUMIFS('Input Data'!$AH:$AH,'Input Data'!$G:$G,$C106)</f>
        <v>23516.7385426974</v>
      </c>
      <c r="F106" s="21">
        <f>+SUMIFS('Input Data'!$AY:$AY,'Input Data'!$G:$G,$C106)</f>
        <v>125422.6055610528</v>
      </c>
      <c r="G106" s="21">
        <f>+SUMIFS('Input Data'!AO:AO,'Input Data'!$G:$G,$C106)</f>
        <v>0</v>
      </c>
      <c r="H106" s="21">
        <v>0</v>
      </c>
      <c r="I106" s="191">
        <f>+SUMIFS('Input Data'!$BF:$BF,'Input Data'!$G:$G,$C106)</f>
        <v>501690.42224421119</v>
      </c>
      <c r="J106" s="21">
        <f t="shared" si="20"/>
        <v>587918.46356743504</v>
      </c>
      <c r="K106" s="48">
        <f>+SUMIFS('Input Data'!$AK:$AK,'Input Data'!$G:$G,$C106,'Input Data'!$V:$V,"FUL")</f>
        <v>627113.02780526399</v>
      </c>
      <c r="L106" s="21">
        <f>+SUMIFS('Input Data'!$AY:$AY,'Input Data'!$G:$G,$C106,'Input Data'!$V:$V,"FUL")</f>
        <v>125422.6055610528</v>
      </c>
      <c r="M106" s="21">
        <f>+SUMIFS('Input Data'!$AO:$AO,'Input Data'!$G:$G,$C106,'Input Data'!$V:$V,"FUL")</f>
        <v>0</v>
      </c>
      <c r="N106" s="21">
        <f>+SUMIFS('Input Data'!$BH:$BH,'Input Data'!$G:$G,$C106,'Input Data'!$V:$V,"FUL")</f>
        <v>250845.2111221056</v>
      </c>
      <c r="O106" s="21">
        <f t="shared" si="22"/>
        <v>250845.2111221056</v>
      </c>
      <c r="P106" s="21">
        <f t="shared" si="23"/>
        <v>0</v>
      </c>
      <c r="Q106" s="191">
        <f t="shared" si="24"/>
        <v>250845.2111221056</v>
      </c>
      <c r="R106" s="48">
        <f>+SUMIFS('Input Data'!$AK:$AK,'Input Data'!$G:$G,$C106,'Input Data'!$V:$V,"FIID")</f>
        <v>0</v>
      </c>
      <c r="S106" s="21">
        <f>+SUMIFS('Input Data'!$AY:$AY,'Input Data'!$G:$G,$C106,'Input Data'!$V:$V,"FIID")</f>
        <v>0</v>
      </c>
      <c r="T106" s="21">
        <f>+SUMIFS('Input Data'!$AO:$AO,'Input Data'!$G:$G,$C106,'Input Data'!$V:$V,"FIID")</f>
        <v>0</v>
      </c>
      <c r="U106" s="21">
        <f>+SUMIFS('Input Data'!$BH:$BH,'Input Data'!$G:$G,$C106,'Input Data'!$V:$V,"FIID")</f>
        <v>0</v>
      </c>
      <c r="V106" s="21">
        <f t="shared" si="25"/>
        <v>0</v>
      </c>
      <c r="W106" s="21">
        <f t="shared" si="26"/>
        <v>0</v>
      </c>
      <c r="X106" s="191">
        <f t="shared" si="27"/>
        <v>0</v>
      </c>
      <c r="Y106" s="48">
        <f>+SUMIFS('Input Data'!$AK:$AK,'Input Data'!$G:$G,$C106,'Input Data'!$V:$V,"FIBL")</f>
        <v>0</v>
      </c>
      <c r="Z106" s="21">
        <f>+SUMIFS('Input Data'!$AH:$AH,'Input Data'!$G:$G,$C106)</f>
        <v>23516.7385426974</v>
      </c>
      <c r="AA106" s="21">
        <f>+SUMIFS('Input Data'!$AY:$AY,'Input Data'!$G:$G,$C106,'Input Data'!$V:$V,"FIBL")</f>
        <v>0</v>
      </c>
      <c r="AB106" s="431">
        <f>+SUMIFS('Input Data'!$AO:$AO,'Input Data'!$G:$G,$C106,'Input Data'!$V:$V,"FIBL")</f>
        <v>0</v>
      </c>
      <c r="AC106" s="21">
        <v>0</v>
      </c>
      <c r="AD106" s="21">
        <f t="shared" si="28"/>
        <v>0</v>
      </c>
      <c r="AE106" s="21">
        <v>0</v>
      </c>
      <c r="AF106" s="191">
        <f t="shared" si="29"/>
        <v>0</v>
      </c>
      <c r="AK106" s="46">
        <f t="shared" si="30"/>
        <v>250845.2111221056</v>
      </c>
      <c r="AL106" s="46">
        <f>+SUMIFS('Input Data'!$BE:$BE,'Input Data'!$G:$G,$C106)</f>
        <v>62711.302780526399</v>
      </c>
      <c r="AM106" s="46">
        <f t="shared" si="21"/>
        <v>337073.25244532939</v>
      </c>
    </row>
    <row r="107" spans="2:39" x14ac:dyDescent="0.35">
      <c r="B107" t="str">
        <v>JCSAT-18/KACIFIC-1</v>
      </c>
      <c r="C107">
        <v>11838</v>
      </c>
      <c r="D107" s="48">
        <f>+SUMIFS('Input Data'!$AK:$AK,'Input Data'!$G:$G,$C107)</f>
        <v>1316631.07608199</v>
      </c>
      <c r="E107" s="21">
        <f>+SUMIFS('Input Data'!$AH:$AH,'Input Data'!$G:$G,$C107)</f>
        <v>49373.665353074626</v>
      </c>
      <c r="F107" s="21">
        <f>+SUMIFS('Input Data'!$AY:$AY,'Input Data'!$G:$G,$C107)</f>
        <v>263326.21521639801</v>
      </c>
      <c r="G107" s="21">
        <f>+SUMIFS('Input Data'!AO:AO,'Input Data'!$G:$G,$C107)</f>
        <v>0</v>
      </c>
      <c r="H107" s="21">
        <v>0</v>
      </c>
      <c r="I107" s="191">
        <f>+SUMIFS('Input Data'!$BF:$BF,'Input Data'!$G:$G,$C107)</f>
        <v>1053304.860865592</v>
      </c>
      <c r="J107" s="21">
        <f t="shared" si="20"/>
        <v>1234341.6338268658</v>
      </c>
      <c r="K107" s="48">
        <f>+SUMIFS('Input Data'!$AK:$AK,'Input Data'!$G:$G,$C107,'Input Data'!$V:$V,"FUL")</f>
        <v>1316631.07608199</v>
      </c>
      <c r="L107" s="21">
        <f>+SUMIFS('Input Data'!$AY:$AY,'Input Data'!$G:$G,$C107,'Input Data'!$V:$V,"FUL")</f>
        <v>263326.21521639801</v>
      </c>
      <c r="M107" s="21">
        <f>+SUMIFS('Input Data'!$AO:$AO,'Input Data'!$G:$G,$C107,'Input Data'!$V:$V,"FUL")</f>
        <v>0</v>
      </c>
      <c r="N107" s="21">
        <f>+SUMIFS('Input Data'!$BH:$BH,'Input Data'!$G:$G,$C107,'Input Data'!$V:$V,"FUL")</f>
        <v>526652.43043279601</v>
      </c>
      <c r="O107" s="21">
        <f t="shared" si="22"/>
        <v>526652.43043279601</v>
      </c>
      <c r="P107" s="21">
        <f t="shared" si="23"/>
        <v>0</v>
      </c>
      <c r="Q107" s="191">
        <f t="shared" si="24"/>
        <v>526652.43043279601</v>
      </c>
      <c r="R107" s="48">
        <f>+SUMIFS('Input Data'!$AK:$AK,'Input Data'!$G:$G,$C107,'Input Data'!$V:$V,"FIID")</f>
        <v>0</v>
      </c>
      <c r="S107" s="21">
        <f>+SUMIFS('Input Data'!$AY:$AY,'Input Data'!$G:$G,$C107,'Input Data'!$V:$V,"FIID")</f>
        <v>0</v>
      </c>
      <c r="T107" s="21">
        <f>+SUMIFS('Input Data'!$AO:$AO,'Input Data'!$G:$G,$C107,'Input Data'!$V:$V,"FIID")</f>
        <v>0</v>
      </c>
      <c r="U107" s="21">
        <f>+SUMIFS('Input Data'!$BH:$BH,'Input Data'!$G:$G,$C107,'Input Data'!$V:$V,"FIID")</f>
        <v>0</v>
      </c>
      <c r="V107" s="21">
        <f t="shared" si="25"/>
        <v>0</v>
      </c>
      <c r="W107" s="21">
        <f t="shared" si="26"/>
        <v>0</v>
      </c>
      <c r="X107" s="191">
        <f t="shared" si="27"/>
        <v>0</v>
      </c>
      <c r="Y107" s="48">
        <f>+SUMIFS('Input Data'!$AK:$AK,'Input Data'!$G:$G,$C107,'Input Data'!$V:$V,"FIBL")</f>
        <v>0</v>
      </c>
      <c r="Z107" s="21">
        <f>+SUMIFS('Input Data'!$AH:$AH,'Input Data'!$G:$G,$C107)</f>
        <v>49373.665353074626</v>
      </c>
      <c r="AA107" s="21">
        <f>+SUMIFS('Input Data'!$AY:$AY,'Input Data'!$G:$G,$C107,'Input Data'!$V:$V,"FIBL")</f>
        <v>0</v>
      </c>
      <c r="AB107" s="431">
        <f>+SUMIFS('Input Data'!$AO:$AO,'Input Data'!$G:$G,$C107,'Input Data'!$V:$V,"FIBL")</f>
        <v>0</v>
      </c>
      <c r="AC107" s="21">
        <v>0</v>
      </c>
      <c r="AD107" s="21">
        <f t="shared" si="28"/>
        <v>0</v>
      </c>
      <c r="AE107" s="21">
        <v>0</v>
      </c>
      <c r="AF107" s="191">
        <f t="shared" si="29"/>
        <v>0</v>
      </c>
      <c r="AK107" s="46">
        <f t="shared" si="30"/>
        <v>526652.43043279601</v>
      </c>
      <c r="AL107" s="46">
        <f>+SUMIFS('Input Data'!$BE:$BE,'Input Data'!$G:$G,$C107)</f>
        <v>131663.107608199</v>
      </c>
      <c r="AM107" s="46">
        <f t="shared" si="21"/>
        <v>707689.20339406969</v>
      </c>
    </row>
    <row r="108" spans="2:39" x14ac:dyDescent="0.35">
      <c r="B108" t="str">
        <v>JCSAT-16</v>
      </c>
      <c r="C108">
        <v>9985</v>
      </c>
      <c r="D108" s="48">
        <f>+SUMIFS('Input Data'!$AK:$AK,'Input Data'!$G:$G,$C108)</f>
        <v>413863.97012056701</v>
      </c>
      <c r="E108" s="21">
        <f>+SUMIFS('Input Data'!$AH:$AH,'Input Data'!$G:$G,$C108)</f>
        <v>15519.898879521263</v>
      </c>
      <c r="F108" s="21">
        <f>+SUMIFS('Input Data'!$AY:$AY,'Input Data'!$G:$G,$C108)</f>
        <v>82772.794024113406</v>
      </c>
      <c r="G108" s="21">
        <f>+SUMIFS('Input Data'!AO:AO,'Input Data'!$G:$G,$C108)</f>
        <v>0</v>
      </c>
      <c r="H108" s="21">
        <v>0</v>
      </c>
      <c r="I108" s="191">
        <f>+SUMIFS('Input Data'!$BF:$BF,'Input Data'!$G:$G,$C108)</f>
        <v>331091.17609645362</v>
      </c>
      <c r="J108" s="21">
        <f t="shared" si="20"/>
        <v>387997.47198803158</v>
      </c>
      <c r="K108" s="48">
        <f>+SUMIFS('Input Data'!$AK:$AK,'Input Data'!$G:$G,$C108,'Input Data'!$V:$V,"FUL")</f>
        <v>413863.97012056701</v>
      </c>
      <c r="L108" s="21">
        <f>+SUMIFS('Input Data'!$AY:$AY,'Input Data'!$G:$G,$C108,'Input Data'!$V:$V,"FUL")</f>
        <v>82772.794024113406</v>
      </c>
      <c r="M108" s="21">
        <f>+SUMIFS('Input Data'!$AO:$AO,'Input Data'!$G:$G,$C108,'Input Data'!$V:$V,"FUL")</f>
        <v>0</v>
      </c>
      <c r="N108" s="21">
        <f>+SUMIFS('Input Data'!$BH:$BH,'Input Data'!$G:$G,$C108,'Input Data'!$V:$V,"FUL")</f>
        <v>165545.58804822681</v>
      </c>
      <c r="O108" s="21">
        <f t="shared" si="22"/>
        <v>165545.58804822681</v>
      </c>
      <c r="P108" s="21">
        <f t="shared" si="23"/>
        <v>0</v>
      </c>
      <c r="Q108" s="191">
        <f t="shared" si="24"/>
        <v>165545.58804822681</v>
      </c>
      <c r="R108" s="48">
        <f>+SUMIFS('Input Data'!$AK:$AK,'Input Data'!$G:$G,$C108,'Input Data'!$V:$V,"FIID")</f>
        <v>0</v>
      </c>
      <c r="S108" s="21">
        <f>+SUMIFS('Input Data'!$AY:$AY,'Input Data'!$G:$G,$C108,'Input Data'!$V:$V,"FIID")</f>
        <v>0</v>
      </c>
      <c r="T108" s="21">
        <f>+SUMIFS('Input Data'!$AO:$AO,'Input Data'!$G:$G,$C108,'Input Data'!$V:$V,"FIID")</f>
        <v>0</v>
      </c>
      <c r="U108" s="21">
        <f>+SUMIFS('Input Data'!$BH:$BH,'Input Data'!$G:$G,$C108,'Input Data'!$V:$V,"FIID")</f>
        <v>0</v>
      </c>
      <c r="V108" s="21">
        <f t="shared" si="25"/>
        <v>0</v>
      </c>
      <c r="W108" s="21">
        <f t="shared" si="26"/>
        <v>0</v>
      </c>
      <c r="X108" s="191">
        <f t="shared" si="27"/>
        <v>0</v>
      </c>
      <c r="Y108" s="48">
        <f>+SUMIFS('Input Data'!$AK:$AK,'Input Data'!$G:$G,$C108,'Input Data'!$V:$V,"FIBL")</f>
        <v>0</v>
      </c>
      <c r="Z108" s="21">
        <f>+SUMIFS('Input Data'!$AH:$AH,'Input Data'!$G:$G,$C108)</f>
        <v>15519.898879521263</v>
      </c>
      <c r="AA108" s="21">
        <f>+SUMIFS('Input Data'!$AY:$AY,'Input Data'!$G:$G,$C108,'Input Data'!$V:$V,"FIBL")</f>
        <v>0</v>
      </c>
      <c r="AB108" s="431">
        <f>+SUMIFS('Input Data'!$AO:$AO,'Input Data'!$G:$G,$C108,'Input Data'!$V:$V,"FIBL")</f>
        <v>0</v>
      </c>
      <c r="AC108" s="21">
        <v>0</v>
      </c>
      <c r="AD108" s="21">
        <f t="shared" si="28"/>
        <v>0</v>
      </c>
      <c r="AE108" s="21">
        <v>0</v>
      </c>
      <c r="AF108" s="191">
        <f t="shared" si="29"/>
        <v>0</v>
      </c>
      <c r="AK108" s="46">
        <f t="shared" si="30"/>
        <v>165545.58804822681</v>
      </c>
      <c r="AL108" s="46">
        <f>+SUMIFS('Input Data'!$BE:$BE,'Input Data'!$G:$G,$C108)</f>
        <v>41386.397012056703</v>
      </c>
      <c r="AM108" s="46">
        <f t="shared" si="21"/>
        <v>222451.88393980477</v>
      </c>
    </row>
    <row r="109" spans="2:39" x14ac:dyDescent="0.35">
      <c r="B109" t="str">
        <v>JCSAT-110A (JCSAT-15)</v>
      </c>
      <c r="C109">
        <v>9984</v>
      </c>
      <c r="D109" s="48">
        <f>+SUMIFS('Input Data'!$AK:$AK,'Input Data'!$G:$G,$C109)</f>
        <v>680712.43189118395</v>
      </c>
      <c r="E109" s="21">
        <f>+SUMIFS('Input Data'!$AH:$AH,'Input Data'!$G:$G,$C109)</f>
        <v>25526.716195919398</v>
      </c>
      <c r="F109" s="21">
        <f>+SUMIFS('Input Data'!$AY:$AY,'Input Data'!$G:$G,$C109)</f>
        <v>136142.48637823679</v>
      </c>
      <c r="G109" s="21">
        <f>+SUMIFS('Input Data'!AO:AO,'Input Data'!$G:$G,$C109)</f>
        <v>0</v>
      </c>
      <c r="H109" s="21">
        <v>0</v>
      </c>
      <c r="I109" s="191">
        <f>+SUMIFS('Input Data'!$BF:$BF,'Input Data'!$G:$G,$C109)</f>
        <v>544569.94551294716</v>
      </c>
      <c r="J109" s="21">
        <f t="shared" si="20"/>
        <v>638167.90489798505</v>
      </c>
      <c r="K109" s="48">
        <f>+SUMIFS('Input Data'!$AK:$AK,'Input Data'!$G:$G,$C109,'Input Data'!$V:$V,"FUL")</f>
        <v>680712.43189118395</v>
      </c>
      <c r="L109" s="21">
        <f>+SUMIFS('Input Data'!$AY:$AY,'Input Data'!$G:$G,$C109,'Input Data'!$V:$V,"FUL")</f>
        <v>136142.48637823679</v>
      </c>
      <c r="M109" s="21">
        <f>+SUMIFS('Input Data'!$AO:$AO,'Input Data'!$G:$G,$C109,'Input Data'!$V:$V,"FUL")</f>
        <v>0</v>
      </c>
      <c r="N109" s="21">
        <f>+SUMIFS('Input Data'!$BH:$BH,'Input Data'!$G:$G,$C109,'Input Data'!$V:$V,"FUL")</f>
        <v>272284.97275647358</v>
      </c>
      <c r="O109" s="21">
        <f t="shared" si="22"/>
        <v>272284.97275647358</v>
      </c>
      <c r="P109" s="21">
        <f t="shared" si="23"/>
        <v>0</v>
      </c>
      <c r="Q109" s="191">
        <f t="shared" si="24"/>
        <v>272284.97275647358</v>
      </c>
      <c r="R109" s="48">
        <f>+SUMIFS('Input Data'!$AK:$AK,'Input Data'!$G:$G,$C109,'Input Data'!$V:$V,"FIID")</f>
        <v>0</v>
      </c>
      <c r="S109" s="21">
        <f>+SUMIFS('Input Data'!$AY:$AY,'Input Data'!$G:$G,$C109,'Input Data'!$V:$V,"FIID")</f>
        <v>0</v>
      </c>
      <c r="T109" s="21">
        <f>+SUMIFS('Input Data'!$AO:$AO,'Input Data'!$G:$G,$C109,'Input Data'!$V:$V,"FIID")</f>
        <v>0</v>
      </c>
      <c r="U109" s="21">
        <f>+SUMIFS('Input Data'!$BH:$BH,'Input Data'!$G:$G,$C109,'Input Data'!$V:$V,"FIID")</f>
        <v>0</v>
      </c>
      <c r="V109" s="21">
        <f t="shared" si="25"/>
        <v>0</v>
      </c>
      <c r="W109" s="21">
        <f t="shared" si="26"/>
        <v>0</v>
      </c>
      <c r="X109" s="191">
        <f t="shared" si="27"/>
        <v>0</v>
      </c>
      <c r="Y109" s="48">
        <f>+SUMIFS('Input Data'!$AK:$AK,'Input Data'!$G:$G,$C109,'Input Data'!$V:$V,"FIBL")</f>
        <v>0</v>
      </c>
      <c r="Z109" s="21">
        <f>+SUMIFS('Input Data'!$AH:$AH,'Input Data'!$G:$G,$C109)</f>
        <v>25526.716195919398</v>
      </c>
      <c r="AA109" s="21">
        <f>+SUMIFS('Input Data'!$AY:$AY,'Input Data'!$G:$G,$C109,'Input Data'!$V:$V,"FIBL")</f>
        <v>0</v>
      </c>
      <c r="AB109" s="431">
        <f>+SUMIFS('Input Data'!$AO:$AO,'Input Data'!$G:$G,$C109,'Input Data'!$V:$V,"FIBL")</f>
        <v>0</v>
      </c>
      <c r="AC109" s="21">
        <v>0</v>
      </c>
      <c r="AD109" s="21">
        <f t="shared" si="28"/>
        <v>0</v>
      </c>
      <c r="AE109" s="21">
        <v>0</v>
      </c>
      <c r="AF109" s="191">
        <f t="shared" si="29"/>
        <v>0</v>
      </c>
      <c r="AK109" s="46">
        <f t="shared" si="30"/>
        <v>272284.97275647358</v>
      </c>
      <c r="AL109" s="46">
        <f>+SUMIFS('Input Data'!$BE:$BE,'Input Data'!$G:$G,$C109)</f>
        <v>68071.243189118395</v>
      </c>
      <c r="AM109" s="46">
        <f t="shared" si="21"/>
        <v>365882.93214151135</v>
      </c>
    </row>
    <row r="110" spans="2:39" x14ac:dyDescent="0.35">
      <c r="B110" t="str">
        <v>AL YAH 1</v>
      </c>
      <c r="C110">
        <v>8529</v>
      </c>
      <c r="D110" s="48">
        <f>+SUMIFS('Input Data'!$AK:$AK,'Input Data'!$G:$G,$C110)</f>
        <v>12009460.186169799</v>
      </c>
      <c r="E110" s="21">
        <f>+SUMIFS('Input Data'!$AH:$AH,'Input Data'!$G:$G,$C110)</f>
        <v>375295.63081780623</v>
      </c>
      <c r="F110" s="21">
        <f>+SUMIFS('Input Data'!$AY:$AY,'Input Data'!$G:$G,$C110)</f>
        <v>2401892.0372339599</v>
      </c>
      <c r="G110" s="21">
        <f>+SUMIFS('Input Data'!AO:AO,'Input Data'!$G:$G,$C110)</f>
        <v>0</v>
      </c>
      <c r="H110" s="21">
        <v>0</v>
      </c>
      <c r="I110" s="191">
        <f>+SUMIFS('Input Data'!$BF:$BF,'Input Data'!$G:$G,$C110)</f>
        <v>9607568.1489358395</v>
      </c>
      <c r="J110" s="21">
        <f t="shared" si="20"/>
        <v>10983652.12860113</v>
      </c>
      <c r="K110" s="48">
        <f>+SUMIFS('Input Data'!$AK:$AK,'Input Data'!$G:$G,$C110,'Input Data'!$V:$V,"FUL")</f>
        <v>12009460.186169799</v>
      </c>
      <c r="L110" s="21">
        <f>+SUMIFS('Input Data'!$AY:$AY,'Input Data'!$G:$G,$C110,'Input Data'!$V:$V,"FUL")</f>
        <v>2401892.0372339599</v>
      </c>
      <c r="M110" s="21">
        <f>+SUMIFS('Input Data'!$AO:$AO,'Input Data'!$G:$G,$C110,'Input Data'!$V:$V,"FUL")</f>
        <v>0</v>
      </c>
      <c r="N110" s="21">
        <f>+SUMIFS('Input Data'!$BH:$BH,'Input Data'!$G:$G,$C110,'Input Data'!$V:$V,"FUL")</f>
        <v>4803784.0744679198</v>
      </c>
      <c r="O110" s="21">
        <f t="shared" si="22"/>
        <v>4803784.0744679198</v>
      </c>
      <c r="P110" s="21">
        <f t="shared" si="23"/>
        <v>0</v>
      </c>
      <c r="Q110" s="191">
        <f t="shared" si="24"/>
        <v>4803784.0744679198</v>
      </c>
      <c r="R110" s="48">
        <f>+SUMIFS('Input Data'!$AK:$AK,'Input Data'!$G:$G,$C110,'Input Data'!$V:$V,"FIID")</f>
        <v>0</v>
      </c>
      <c r="S110" s="21">
        <f>+SUMIFS('Input Data'!$AY:$AY,'Input Data'!$G:$G,$C110,'Input Data'!$V:$V,"FIID")</f>
        <v>0</v>
      </c>
      <c r="T110" s="21">
        <f>+SUMIFS('Input Data'!$AO:$AO,'Input Data'!$G:$G,$C110,'Input Data'!$V:$V,"FIID")</f>
        <v>0</v>
      </c>
      <c r="U110" s="21">
        <f>+SUMIFS('Input Data'!$BH:$BH,'Input Data'!$G:$G,$C110,'Input Data'!$V:$V,"FIID")</f>
        <v>0</v>
      </c>
      <c r="V110" s="21">
        <f t="shared" si="25"/>
        <v>0</v>
      </c>
      <c r="W110" s="21">
        <f t="shared" si="26"/>
        <v>0</v>
      </c>
      <c r="X110" s="191">
        <f t="shared" si="27"/>
        <v>0</v>
      </c>
      <c r="Y110" s="48">
        <f>+SUMIFS('Input Data'!$AK:$AK,'Input Data'!$G:$G,$C110,'Input Data'!$V:$V,"FIBL")</f>
        <v>0</v>
      </c>
      <c r="Z110" s="21">
        <f>+SUMIFS('Input Data'!$AH:$AH,'Input Data'!$G:$G,$C110)</f>
        <v>375295.63081780623</v>
      </c>
      <c r="AA110" s="21">
        <f>+SUMIFS('Input Data'!$AY:$AY,'Input Data'!$G:$G,$C110,'Input Data'!$V:$V,"FIBL")</f>
        <v>0</v>
      </c>
      <c r="AB110" s="431">
        <f>+SUMIFS('Input Data'!$AO:$AO,'Input Data'!$G:$G,$C110,'Input Data'!$V:$V,"FIBL")</f>
        <v>0</v>
      </c>
      <c r="AC110" s="21">
        <v>0</v>
      </c>
      <c r="AD110" s="21">
        <f t="shared" si="28"/>
        <v>0</v>
      </c>
      <c r="AE110" s="21">
        <v>0</v>
      </c>
      <c r="AF110" s="191">
        <f t="shared" si="29"/>
        <v>0</v>
      </c>
      <c r="AK110" s="46">
        <f t="shared" si="30"/>
        <v>4803784.0744679198</v>
      </c>
      <c r="AL110" s="46">
        <f>+SUMIFS('Input Data'!$BE:$BE,'Input Data'!$G:$G,$C110)</f>
        <v>1000788.3488474833</v>
      </c>
      <c r="AM110" s="46">
        <f t="shared" si="21"/>
        <v>6179868.0541332094</v>
      </c>
    </row>
    <row r="111" spans="2:39" x14ac:dyDescent="0.35">
      <c r="B111" t="str">
        <v>AL YAH 2</v>
      </c>
      <c r="C111">
        <v>8375</v>
      </c>
      <c r="D111" s="48">
        <f>+SUMIFS('Input Data'!$AK:$AK,'Input Data'!$G:$G,$C111)</f>
        <v>14760227.604265589</v>
      </c>
      <c r="E111" s="21">
        <f>+SUMIFS('Input Data'!$AH:$AH,'Input Data'!$G:$G,$C111)</f>
        <v>461257.11263329966</v>
      </c>
      <c r="F111" s="21">
        <f>+SUMIFS('Input Data'!$AY:$AY,'Input Data'!$G:$G,$C111)</f>
        <v>2952045.520853118</v>
      </c>
      <c r="G111" s="21">
        <f>+SUMIFS('Input Data'!AO:AO,'Input Data'!$G:$G,$C111)</f>
        <v>0</v>
      </c>
      <c r="H111" s="21">
        <v>0</v>
      </c>
      <c r="I111" s="191">
        <f>+SUMIFS('Input Data'!$BF:$BF,'Input Data'!$G:$G,$C111)</f>
        <v>11808182.083412472</v>
      </c>
      <c r="J111" s="21">
        <f t="shared" si="20"/>
        <v>13499458.163067903</v>
      </c>
      <c r="K111" s="48">
        <f>+SUMIFS('Input Data'!$AK:$AK,'Input Data'!$G:$G,$C111,'Input Data'!$V:$V,"FUL")</f>
        <v>14760227.604265589</v>
      </c>
      <c r="L111" s="21">
        <f>+SUMIFS('Input Data'!$AY:$AY,'Input Data'!$G:$G,$C111,'Input Data'!$V:$V,"FUL")</f>
        <v>2952045.520853118</v>
      </c>
      <c r="M111" s="21">
        <f>+SUMIFS('Input Data'!$AO:$AO,'Input Data'!$G:$G,$C111,'Input Data'!$V:$V,"FUL")</f>
        <v>0</v>
      </c>
      <c r="N111" s="21">
        <f>+SUMIFS('Input Data'!$BH:$BH,'Input Data'!$G:$G,$C111,'Input Data'!$V:$V,"FUL")</f>
        <v>5904091.0417062361</v>
      </c>
      <c r="O111" s="21">
        <f t="shared" si="22"/>
        <v>5904091.0417062361</v>
      </c>
      <c r="P111" s="21">
        <f t="shared" si="23"/>
        <v>0</v>
      </c>
      <c r="Q111" s="191">
        <f t="shared" si="24"/>
        <v>5904091.0417062361</v>
      </c>
      <c r="R111" s="48">
        <f>+SUMIFS('Input Data'!$AK:$AK,'Input Data'!$G:$G,$C111,'Input Data'!$V:$V,"FIID")</f>
        <v>0</v>
      </c>
      <c r="S111" s="21">
        <f>+SUMIFS('Input Data'!$AY:$AY,'Input Data'!$G:$G,$C111,'Input Data'!$V:$V,"FIID")</f>
        <v>0</v>
      </c>
      <c r="T111" s="21">
        <f>+SUMIFS('Input Data'!$AO:$AO,'Input Data'!$G:$G,$C111,'Input Data'!$V:$V,"FIID")</f>
        <v>0</v>
      </c>
      <c r="U111" s="21">
        <f>+SUMIFS('Input Data'!$BH:$BH,'Input Data'!$G:$G,$C111,'Input Data'!$V:$V,"FIID")</f>
        <v>0</v>
      </c>
      <c r="V111" s="21">
        <f t="shared" si="25"/>
        <v>0</v>
      </c>
      <c r="W111" s="21">
        <f t="shared" si="26"/>
        <v>0</v>
      </c>
      <c r="X111" s="191">
        <f t="shared" si="27"/>
        <v>0</v>
      </c>
      <c r="Y111" s="48">
        <f>+SUMIFS('Input Data'!$AK:$AK,'Input Data'!$G:$G,$C111,'Input Data'!$V:$V,"FIBL")</f>
        <v>0</v>
      </c>
      <c r="Z111" s="21">
        <f>+SUMIFS('Input Data'!$AH:$AH,'Input Data'!$G:$G,$C111)</f>
        <v>461257.11263329966</v>
      </c>
      <c r="AA111" s="21">
        <f>+SUMIFS('Input Data'!$AY:$AY,'Input Data'!$G:$G,$C111,'Input Data'!$V:$V,"FIBL")</f>
        <v>0</v>
      </c>
      <c r="AB111" s="431">
        <f>+SUMIFS('Input Data'!$AO:$AO,'Input Data'!$G:$G,$C111,'Input Data'!$V:$V,"FIBL")</f>
        <v>0</v>
      </c>
      <c r="AC111" s="21">
        <v>0</v>
      </c>
      <c r="AD111" s="21">
        <f t="shared" si="28"/>
        <v>0</v>
      </c>
      <c r="AE111" s="21">
        <v>0</v>
      </c>
      <c r="AF111" s="191">
        <f t="shared" si="29"/>
        <v>0</v>
      </c>
      <c r="AK111" s="46">
        <f t="shared" si="30"/>
        <v>5904091.0417062361</v>
      </c>
      <c r="AL111" s="46">
        <f>+SUMIFS('Input Data'!$BE:$BE,'Input Data'!$G:$G,$C111)</f>
        <v>1230018.9670221326</v>
      </c>
      <c r="AM111" s="46">
        <f t="shared" si="21"/>
        <v>7595367.1213616682</v>
      </c>
    </row>
    <row r="112" spans="2:39" x14ac:dyDescent="0.35">
      <c r="B112" t="str">
        <v>THURAYA 4-NGS</v>
      </c>
      <c r="C112">
        <v>8632</v>
      </c>
      <c r="D112" s="48">
        <f>+SUMIFS('Input Data'!$AK:$AK,'Input Data'!$G:$G,$C112)</f>
        <v>18529559.999999899</v>
      </c>
      <c r="E112" s="21">
        <f>+SUMIFS('Input Data'!$AH:$AH,'Input Data'!$G:$G,$C112)</f>
        <v>694858.49999999627</v>
      </c>
      <c r="F112" s="21">
        <f>+SUMIFS('Input Data'!$AY:$AY,'Input Data'!$G:$G,$C112)</f>
        <v>3705911.9999999804</v>
      </c>
      <c r="G112" s="21">
        <f>+SUMIFS('Input Data'!AO:AO,'Input Data'!$G:$G,$C112)</f>
        <v>0</v>
      </c>
      <c r="H112" s="21">
        <v>0</v>
      </c>
      <c r="I112" s="191">
        <f>+SUMIFS('Input Data'!$BF:$BF,'Input Data'!$G:$G,$C112)</f>
        <v>14823647.999999922</v>
      </c>
      <c r="J112" s="21">
        <f t="shared" si="20"/>
        <v>17371462.499999907</v>
      </c>
      <c r="K112" s="48">
        <f>+SUMIFS('Input Data'!$AK:$AK,'Input Data'!$G:$G,$C112,'Input Data'!$V:$V,"FUL")</f>
        <v>18529559.999999899</v>
      </c>
      <c r="L112" s="21">
        <f>+SUMIFS('Input Data'!$AY:$AY,'Input Data'!$G:$G,$C112,'Input Data'!$V:$V,"FUL")</f>
        <v>3705911.9999999804</v>
      </c>
      <c r="M112" s="21">
        <f>+SUMIFS('Input Data'!$AO:$AO,'Input Data'!$G:$G,$C112,'Input Data'!$V:$V,"FUL")</f>
        <v>0</v>
      </c>
      <c r="N112" s="21">
        <f>+SUMIFS('Input Data'!$BH:$BH,'Input Data'!$G:$G,$C112,'Input Data'!$V:$V,"FUL")</f>
        <v>7411823.9999999609</v>
      </c>
      <c r="O112" s="21">
        <f t="shared" si="22"/>
        <v>7411823.9999999572</v>
      </c>
      <c r="P112" s="21">
        <f t="shared" si="23"/>
        <v>0</v>
      </c>
      <c r="Q112" s="191">
        <f t="shared" si="24"/>
        <v>7411823.9999999572</v>
      </c>
      <c r="R112" s="48">
        <f>+SUMIFS('Input Data'!$AK:$AK,'Input Data'!$G:$G,$C112,'Input Data'!$V:$V,"FIID")</f>
        <v>0</v>
      </c>
      <c r="S112" s="21">
        <f>+SUMIFS('Input Data'!$AY:$AY,'Input Data'!$G:$G,$C112,'Input Data'!$V:$V,"FIID")</f>
        <v>0</v>
      </c>
      <c r="T112" s="21">
        <f>+SUMIFS('Input Data'!$AO:$AO,'Input Data'!$G:$G,$C112,'Input Data'!$V:$V,"FIID")</f>
        <v>0</v>
      </c>
      <c r="U112" s="21">
        <f>+SUMIFS('Input Data'!$BH:$BH,'Input Data'!$G:$G,$C112,'Input Data'!$V:$V,"FIID")</f>
        <v>0</v>
      </c>
      <c r="V112" s="21">
        <f t="shared" si="25"/>
        <v>0</v>
      </c>
      <c r="W112" s="21">
        <f t="shared" si="26"/>
        <v>0</v>
      </c>
      <c r="X112" s="191">
        <f t="shared" si="27"/>
        <v>0</v>
      </c>
      <c r="Y112" s="48">
        <f>+SUMIFS('Input Data'!$AK:$AK,'Input Data'!$G:$G,$C112,'Input Data'!$V:$V,"FIBL")</f>
        <v>0</v>
      </c>
      <c r="Z112" s="21">
        <f>+SUMIFS('Input Data'!$AH:$AH,'Input Data'!$G:$G,$C112)</f>
        <v>694858.49999999627</v>
      </c>
      <c r="AA112" s="21">
        <f>+SUMIFS('Input Data'!$AY:$AY,'Input Data'!$G:$G,$C112,'Input Data'!$V:$V,"FIBL")</f>
        <v>0</v>
      </c>
      <c r="AB112" s="431">
        <f>+SUMIFS('Input Data'!$AO:$AO,'Input Data'!$G:$G,$C112,'Input Data'!$V:$V,"FIBL")</f>
        <v>0</v>
      </c>
      <c r="AC112" s="21">
        <v>0</v>
      </c>
      <c r="AD112" s="21">
        <f t="shared" si="28"/>
        <v>0</v>
      </c>
      <c r="AE112" s="21">
        <v>0</v>
      </c>
      <c r="AF112" s="191">
        <f t="shared" si="29"/>
        <v>0</v>
      </c>
      <c r="AK112" s="46">
        <f t="shared" si="30"/>
        <v>7411823.9999999609</v>
      </c>
      <c r="AL112" s="46">
        <f>+SUMIFS('Input Data'!$BE:$BE,'Input Data'!$G:$G,$C112)</f>
        <v>1852955.9999999902</v>
      </c>
      <c r="AM112" s="46">
        <f t="shared" si="21"/>
        <v>9959638.4999999478</v>
      </c>
    </row>
    <row r="113" spans="2:39" x14ac:dyDescent="0.35">
      <c r="B113" t="str">
        <v>TELKOMSAT 113BT</v>
      </c>
      <c r="C113">
        <v>17299</v>
      </c>
      <c r="D113" s="48">
        <f>+SUMIFS('Input Data'!$AK:$AK,'Input Data'!$G:$G,$C113)</f>
        <v>12850477.512143709</v>
      </c>
      <c r="E113" s="21">
        <f>+SUMIFS('Input Data'!$AH:$AH,'Input Data'!$G:$G,$C113)</f>
        <v>481892.90670538909</v>
      </c>
      <c r="F113" s="21">
        <f>+SUMIFS('Input Data'!$AY:$AY,'Input Data'!$G:$G,$C113)</f>
        <v>2570095.5024287421</v>
      </c>
      <c r="G113" s="21">
        <f>+SUMIFS('Input Data'!AO:AO,'Input Data'!$G:$G,$C113)</f>
        <v>0</v>
      </c>
      <c r="H113" s="21">
        <v>0</v>
      </c>
      <c r="I113" s="191">
        <f>+SUMIFS('Input Data'!$BF:$BF,'Input Data'!$G:$G,$C113)</f>
        <v>10280382.009714969</v>
      </c>
      <c r="J113" s="21">
        <f t="shared" si="20"/>
        <v>12047322.667634729</v>
      </c>
      <c r="K113" s="48">
        <f>+SUMIFS('Input Data'!$AK:$AK,'Input Data'!$G:$G,$C113,'Input Data'!$V:$V,"FUL")</f>
        <v>12850477.512143709</v>
      </c>
      <c r="L113" s="21">
        <f>+SUMIFS('Input Data'!$AY:$AY,'Input Data'!$G:$G,$C113,'Input Data'!$V:$V,"FUL")</f>
        <v>2570095.5024287421</v>
      </c>
      <c r="M113" s="21">
        <f>+SUMIFS('Input Data'!$AO:$AO,'Input Data'!$G:$G,$C113,'Input Data'!$V:$V,"FUL")</f>
        <v>0</v>
      </c>
      <c r="N113" s="21">
        <f>+SUMIFS('Input Data'!$BH:$BH,'Input Data'!$G:$G,$C113,'Input Data'!$V:$V,"FUL")</f>
        <v>5140191.0048574843</v>
      </c>
      <c r="O113" s="21">
        <f t="shared" si="22"/>
        <v>5140191.0048574824</v>
      </c>
      <c r="P113" s="21">
        <f t="shared" si="23"/>
        <v>0</v>
      </c>
      <c r="Q113" s="191">
        <f t="shared" si="24"/>
        <v>5140191.0048574824</v>
      </c>
      <c r="R113" s="48">
        <f>+SUMIFS('Input Data'!$AK:$AK,'Input Data'!$G:$G,$C113,'Input Data'!$V:$V,"FIID")</f>
        <v>0</v>
      </c>
      <c r="S113" s="21">
        <f>+SUMIFS('Input Data'!$AY:$AY,'Input Data'!$G:$G,$C113,'Input Data'!$V:$V,"FIID")</f>
        <v>0</v>
      </c>
      <c r="T113" s="21">
        <f>+SUMIFS('Input Data'!$AO:$AO,'Input Data'!$G:$G,$C113,'Input Data'!$V:$V,"FIID")</f>
        <v>0</v>
      </c>
      <c r="U113" s="21">
        <f>+SUMIFS('Input Data'!$BH:$BH,'Input Data'!$G:$G,$C113,'Input Data'!$V:$V,"FIID")</f>
        <v>0</v>
      </c>
      <c r="V113" s="21">
        <f t="shared" si="25"/>
        <v>0</v>
      </c>
      <c r="W113" s="21">
        <f t="shared" si="26"/>
        <v>0</v>
      </c>
      <c r="X113" s="191">
        <f t="shared" si="27"/>
        <v>0</v>
      </c>
      <c r="Y113" s="48">
        <f>+SUMIFS('Input Data'!$AK:$AK,'Input Data'!$G:$G,$C113,'Input Data'!$V:$V,"FIBL")</f>
        <v>0</v>
      </c>
      <c r="Z113" s="21">
        <f>+SUMIFS('Input Data'!$AH:$AH,'Input Data'!$G:$G,$C113)</f>
        <v>481892.90670538909</v>
      </c>
      <c r="AA113" s="21">
        <f>+SUMIFS('Input Data'!$AY:$AY,'Input Data'!$G:$G,$C113,'Input Data'!$V:$V,"FIBL")</f>
        <v>0</v>
      </c>
      <c r="AB113" s="431">
        <f>+SUMIFS('Input Data'!$AO:$AO,'Input Data'!$G:$G,$C113,'Input Data'!$V:$V,"FIBL")</f>
        <v>0</v>
      </c>
      <c r="AC113" s="21">
        <v>0</v>
      </c>
      <c r="AD113" s="21">
        <f t="shared" si="28"/>
        <v>0</v>
      </c>
      <c r="AE113" s="21">
        <v>0</v>
      </c>
      <c r="AF113" s="191">
        <f t="shared" si="29"/>
        <v>0</v>
      </c>
      <c r="AK113" s="46">
        <f t="shared" si="30"/>
        <v>5140191.0048574843</v>
      </c>
      <c r="AL113" s="46">
        <f>+SUMIFS('Input Data'!$BE:$BE,'Input Data'!$G:$G,$C113)</f>
        <v>1285047.7512143711</v>
      </c>
      <c r="AM113" s="46">
        <f t="shared" si="21"/>
        <v>6907131.6627772441</v>
      </c>
    </row>
    <row r="114" spans="2:39" x14ac:dyDescent="0.35">
      <c r="B114" t="str">
        <v>TUPAC KATARI</v>
      </c>
      <c r="C114">
        <v>8898</v>
      </c>
      <c r="D114" s="48">
        <f>+SUMIFS('Input Data'!$AK:$AK,'Input Data'!$G:$G,$C114)</f>
        <v>3092783.5</v>
      </c>
      <c r="E114" s="21">
        <f>+SUMIFS('Input Data'!$AH:$AH,'Input Data'!$G:$G,$C114)</f>
        <v>96649.484375</v>
      </c>
      <c r="F114" s="21">
        <f>+SUMIFS('Input Data'!$AY:$AY,'Input Data'!$G:$G,$C114)</f>
        <v>618556.70000000007</v>
      </c>
      <c r="G114" s="21">
        <f>+SUMIFS('Input Data'!AO:AO,'Input Data'!$G:$G,$C114)</f>
        <v>0</v>
      </c>
      <c r="H114" s="21">
        <v>0</v>
      </c>
      <c r="I114" s="191">
        <f>+SUMIFS('Input Data'!$BF:$BF,'Input Data'!$G:$G,$C114)</f>
        <v>2474226.7999999998</v>
      </c>
      <c r="J114" s="21">
        <f t="shared" si="20"/>
        <v>2828608.2427083333</v>
      </c>
      <c r="K114" s="48">
        <f>+SUMIFS('Input Data'!$AK:$AK,'Input Data'!$G:$G,$C114,'Input Data'!$V:$V,"FUL")</f>
        <v>3092783.5</v>
      </c>
      <c r="L114" s="21">
        <f>+SUMIFS('Input Data'!$AY:$AY,'Input Data'!$G:$G,$C114,'Input Data'!$V:$V,"FUL")</f>
        <v>618556.70000000007</v>
      </c>
      <c r="M114" s="21">
        <f>+SUMIFS('Input Data'!$AO:$AO,'Input Data'!$G:$G,$C114,'Input Data'!$V:$V,"FUL")</f>
        <v>0</v>
      </c>
      <c r="N114" s="21">
        <f>+SUMIFS('Input Data'!$BH:$BH,'Input Data'!$G:$G,$C114,'Input Data'!$V:$V,"FUL")</f>
        <v>1237113.3999999999</v>
      </c>
      <c r="O114" s="21">
        <f t="shared" si="22"/>
        <v>1237113.3999999999</v>
      </c>
      <c r="P114" s="21">
        <f t="shared" si="23"/>
        <v>0</v>
      </c>
      <c r="Q114" s="191">
        <f t="shared" si="24"/>
        <v>1237113.3999999999</v>
      </c>
      <c r="R114" s="48">
        <f>+SUMIFS('Input Data'!$AK:$AK,'Input Data'!$G:$G,$C114,'Input Data'!$V:$V,"FIID")</f>
        <v>0</v>
      </c>
      <c r="S114" s="21">
        <f>+SUMIFS('Input Data'!$AY:$AY,'Input Data'!$G:$G,$C114,'Input Data'!$V:$V,"FIID")</f>
        <v>0</v>
      </c>
      <c r="T114" s="21">
        <f>+SUMIFS('Input Data'!$AO:$AO,'Input Data'!$G:$G,$C114,'Input Data'!$V:$V,"FIID")</f>
        <v>0</v>
      </c>
      <c r="U114" s="21">
        <f>+SUMIFS('Input Data'!$BH:$BH,'Input Data'!$G:$G,$C114,'Input Data'!$V:$V,"FIID")</f>
        <v>0</v>
      </c>
      <c r="V114" s="21">
        <f t="shared" si="25"/>
        <v>0</v>
      </c>
      <c r="W114" s="21">
        <f t="shared" si="26"/>
        <v>0</v>
      </c>
      <c r="X114" s="191">
        <f t="shared" si="27"/>
        <v>0</v>
      </c>
      <c r="Y114" s="48">
        <f>+SUMIFS('Input Data'!$AK:$AK,'Input Data'!$G:$G,$C114,'Input Data'!$V:$V,"FIBL")</f>
        <v>0</v>
      </c>
      <c r="Z114" s="21">
        <f>+SUMIFS('Input Data'!$AH:$AH,'Input Data'!$G:$G,$C114)</f>
        <v>96649.484375</v>
      </c>
      <c r="AA114" s="21">
        <f>+SUMIFS('Input Data'!$AY:$AY,'Input Data'!$G:$G,$C114,'Input Data'!$V:$V,"FIBL")</f>
        <v>0</v>
      </c>
      <c r="AB114" s="431">
        <f>+SUMIFS('Input Data'!$AO:$AO,'Input Data'!$G:$G,$C114,'Input Data'!$V:$V,"FIBL")</f>
        <v>0</v>
      </c>
      <c r="AC114" s="21">
        <v>0</v>
      </c>
      <c r="AD114" s="21">
        <f t="shared" si="28"/>
        <v>0</v>
      </c>
      <c r="AE114" s="21">
        <v>0</v>
      </c>
      <c r="AF114" s="191">
        <f t="shared" si="29"/>
        <v>0</v>
      </c>
      <c r="AK114" s="46">
        <f t="shared" si="30"/>
        <v>1237113.3999999999</v>
      </c>
      <c r="AL114" s="46">
        <f>+SUMIFS('Input Data'!$BE:$BE,'Input Data'!$G:$G,$C114)</f>
        <v>257731.95833333337</v>
      </c>
      <c r="AM114" s="46">
        <f t="shared" si="21"/>
        <v>1591494.8427083334</v>
      </c>
    </row>
    <row r="115" spans="2:39" x14ac:dyDescent="0.35">
      <c r="B115" t="str">
        <v>WORLDVIEW LEGION-6</v>
      </c>
      <c r="C115">
        <v>12040</v>
      </c>
      <c r="D115" s="48">
        <f>+SUMIFS('Input Data'!$AK:$AK,'Input Data'!$G:$G,$C115)</f>
        <v>8823600</v>
      </c>
      <c r="E115" s="21">
        <f>+SUMIFS('Input Data'!$AH:$AH,'Input Data'!$G:$G,$C115)</f>
        <v>330885</v>
      </c>
      <c r="F115" s="21">
        <f>+SUMIFS('Input Data'!$AY:$AY,'Input Data'!$G:$G,$C115)</f>
        <v>1764720</v>
      </c>
      <c r="G115" s="21">
        <f>+SUMIFS('Input Data'!AO:AO,'Input Data'!$G:$G,$C115)</f>
        <v>0</v>
      </c>
      <c r="H115" s="21">
        <v>0</v>
      </c>
      <c r="I115" s="191">
        <f>+SUMIFS('Input Data'!$BF:$BF,'Input Data'!$G:$G,$C115)</f>
        <v>7058880</v>
      </c>
      <c r="J115" s="21">
        <f t="shared" si="20"/>
        <v>8272125</v>
      </c>
      <c r="K115" s="48">
        <f>+SUMIFS('Input Data'!$AK:$AK,'Input Data'!$G:$G,$C115,'Input Data'!$V:$V,"FUL")</f>
        <v>8823600</v>
      </c>
      <c r="L115" s="21">
        <f>+SUMIFS('Input Data'!$AY:$AY,'Input Data'!$G:$G,$C115,'Input Data'!$V:$V,"FUL")</f>
        <v>1764720</v>
      </c>
      <c r="M115" s="21">
        <f>+SUMIFS('Input Data'!$AO:$AO,'Input Data'!$G:$G,$C115,'Input Data'!$V:$V,"FUL")</f>
        <v>0</v>
      </c>
      <c r="N115" s="21">
        <f>+SUMIFS('Input Data'!$BH:$BH,'Input Data'!$G:$G,$C115,'Input Data'!$V:$V,"FUL")</f>
        <v>3529440</v>
      </c>
      <c r="O115" s="21">
        <f t="shared" si="22"/>
        <v>3529440</v>
      </c>
      <c r="P115" s="21">
        <f t="shared" si="23"/>
        <v>0</v>
      </c>
      <c r="Q115" s="191">
        <f t="shared" si="24"/>
        <v>3529440</v>
      </c>
      <c r="R115" s="48">
        <f>+SUMIFS('Input Data'!$AK:$AK,'Input Data'!$G:$G,$C115,'Input Data'!$V:$V,"FIID")</f>
        <v>0</v>
      </c>
      <c r="S115" s="21">
        <f>+SUMIFS('Input Data'!$AY:$AY,'Input Data'!$G:$G,$C115,'Input Data'!$V:$V,"FIID")</f>
        <v>0</v>
      </c>
      <c r="T115" s="21">
        <f>+SUMIFS('Input Data'!$AO:$AO,'Input Data'!$G:$G,$C115,'Input Data'!$V:$V,"FIID")</f>
        <v>0</v>
      </c>
      <c r="U115" s="21">
        <f>+SUMIFS('Input Data'!$BH:$BH,'Input Data'!$G:$G,$C115,'Input Data'!$V:$V,"FIID")</f>
        <v>0</v>
      </c>
      <c r="V115" s="21">
        <f t="shared" si="25"/>
        <v>0</v>
      </c>
      <c r="W115" s="21">
        <f t="shared" si="26"/>
        <v>0</v>
      </c>
      <c r="X115" s="191">
        <f t="shared" si="27"/>
        <v>0</v>
      </c>
      <c r="Y115" s="48">
        <f>+SUMIFS('Input Data'!$AK:$AK,'Input Data'!$G:$G,$C115,'Input Data'!$V:$V,"FIBL")</f>
        <v>0</v>
      </c>
      <c r="Z115" s="21">
        <f>+SUMIFS('Input Data'!$AH:$AH,'Input Data'!$G:$G,$C115)</f>
        <v>330885</v>
      </c>
      <c r="AA115" s="21">
        <f>+SUMIFS('Input Data'!$AY:$AY,'Input Data'!$G:$G,$C115,'Input Data'!$V:$V,"FIBL")</f>
        <v>0</v>
      </c>
      <c r="AB115" s="431">
        <f>+SUMIFS('Input Data'!$AO:$AO,'Input Data'!$G:$G,$C115,'Input Data'!$V:$V,"FIBL")</f>
        <v>0</v>
      </c>
      <c r="AC115" s="21">
        <v>0</v>
      </c>
      <c r="AD115" s="21">
        <f t="shared" si="28"/>
        <v>0</v>
      </c>
      <c r="AE115" s="21">
        <v>0</v>
      </c>
      <c r="AF115" s="191">
        <f t="shared" si="29"/>
        <v>0</v>
      </c>
      <c r="AK115" s="46">
        <f t="shared" si="30"/>
        <v>3529440</v>
      </c>
      <c r="AL115" s="46">
        <f>+SUMIFS('Input Data'!$BE:$BE,'Input Data'!$G:$G,$C115)</f>
        <v>882360</v>
      </c>
      <c r="AM115" s="46">
        <f t="shared" si="21"/>
        <v>4742685</v>
      </c>
    </row>
    <row r="116" spans="2:39" x14ac:dyDescent="0.35">
      <c r="B116" t="str">
        <v>WORLDVIEW LEGION-5</v>
      </c>
      <c r="C116">
        <v>12489</v>
      </c>
      <c r="D116" s="48">
        <f>+SUMIFS('Input Data'!$AK:$AK,'Input Data'!$G:$G,$C116)</f>
        <v>8823600</v>
      </c>
      <c r="E116" s="21">
        <f>+SUMIFS('Input Data'!$AH:$AH,'Input Data'!$G:$G,$C116)</f>
        <v>330885</v>
      </c>
      <c r="F116" s="21">
        <f>+SUMIFS('Input Data'!$AY:$AY,'Input Data'!$G:$G,$C116)</f>
        <v>1764720</v>
      </c>
      <c r="G116" s="21">
        <f>+SUMIFS('Input Data'!AO:AO,'Input Data'!$G:$G,$C116)</f>
        <v>0</v>
      </c>
      <c r="H116" s="21">
        <v>0</v>
      </c>
      <c r="I116" s="191">
        <f>+SUMIFS('Input Data'!$BF:$BF,'Input Data'!$G:$G,$C116)</f>
        <v>7058880</v>
      </c>
      <c r="J116" s="21">
        <f t="shared" si="20"/>
        <v>8272125</v>
      </c>
      <c r="K116" s="48">
        <f>+SUMIFS('Input Data'!$AK:$AK,'Input Data'!$G:$G,$C116,'Input Data'!$V:$V,"FUL")</f>
        <v>8823600</v>
      </c>
      <c r="L116" s="21">
        <f>+SUMIFS('Input Data'!$AY:$AY,'Input Data'!$G:$G,$C116,'Input Data'!$V:$V,"FUL")</f>
        <v>1764720</v>
      </c>
      <c r="M116" s="21">
        <f>+SUMIFS('Input Data'!$AO:$AO,'Input Data'!$G:$G,$C116,'Input Data'!$V:$V,"FUL")</f>
        <v>0</v>
      </c>
      <c r="N116" s="21">
        <f>+SUMIFS('Input Data'!$BH:$BH,'Input Data'!$G:$G,$C116,'Input Data'!$V:$V,"FUL")</f>
        <v>3529440</v>
      </c>
      <c r="O116" s="21">
        <f t="shared" si="22"/>
        <v>3529440</v>
      </c>
      <c r="P116" s="21">
        <f t="shared" si="23"/>
        <v>0</v>
      </c>
      <c r="Q116" s="191">
        <f t="shared" si="24"/>
        <v>3529440</v>
      </c>
      <c r="R116" s="48">
        <f>+SUMIFS('Input Data'!$AK:$AK,'Input Data'!$G:$G,$C116,'Input Data'!$V:$V,"FIID")</f>
        <v>0</v>
      </c>
      <c r="S116" s="21">
        <f>+SUMIFS('Input Data'!$AY:$AY,'Input Data'!$G:$G,$C116,'Input Data'!$V:$V,"FIID")</f>
        <v>0</v>
      </c>
      <c r="T116" s="21">
        <f>+SUMIFS('Input Data'!$AO:$AO,'Input Data'!$G:$G,$C116,'Input Data'!$V:$V,"FIID")</f>
        <v>0</v>
      </c>
      <c r="U116" s="21">
        <f>+SUMIFS('Input Data'!$BH:$BH,'Input Data'!$G:$G,$C116,'Input Data'!$V:$V,"FIID")</f>
        <v>0</v>
      </c>
      <c r="V116" s="21">
        <f t="shared" si="25"/>
        <v>0</v>
      </c>
      <c r="W116" s="21">
        <f t="shared" si="26"/>
        <v>0</v>
      </c>
      <c r="X116" s="191">
        <f t="shared" si="27"/>
        <v>0</v>
      </c>
      <c r="Y116" s="48">
        <f>+SUMIFS('Input Data'!$AK:$AK,'Input Data'!$G:$G,$C116,'Input Data'!$V:$V,"FIBL")</f>
        <v>0</v>
      </c>
      <c r="Z116" s="21">
        <f>+SUMIFS('Input Data'!$AH:$AH,'Input Data'!$G:$G,$C116)</f>
        <v>330885</v>
      </c>
      <c r="AA116" s="21">
        <f>+SUMIFS('Input Data'!$AY:$AY,'Input Data'!$G:$G,$C116,'Input Data'!$V:$V,"FIBL")</f>
        <v>0</v>
      </c>
      <c r="AB116" s="431">
        <f>+SUMIFS('Input Data'!$AO:$AO,'Input Data'!$G:$G,$C116,'Input Data'!$V:$V,"FIBL")</f>
        <v>0</v>
      </c>
      <c r="AC116" s="21">
        <v>0</v>
      </c>
      <c r="AD116" s="21">
        <f t="shared" si="28"/>
        <v>0</v>
      </c>
      <c r="AE116" s="21">
        <v>0</v>
      </c>
      <c r="AF116" s="191">
        <f t="shared" si="29"/>
        <v>0</v>
      </c>
      <c r="AK116" s="46">
        <f t="shared" si="30"/>
        <v>3529440</v>
      </c>
      <c r="AL116" s="46">
        <f>+SUMIFS('Input Data'!$BE:$BE,'Input Data'!$G:$G,$C116)</f>
        <v>882360</v>
      </c>
      <c r="AM116" s="46">
        <f t="shared" si="21"/>
        <v>4742685</v>
      </c>
    </row>
    <row r="117" spans="2:39" x14ac:dyDescent="0.35">
      <c r="B117" t="str">
        <v>JCSAT-17</v>
      </c>
      <c r="C117">
        <v>10620</v>
      </c>
      <c r="D117" s="48">
        <f>+SUMIFS('Input Data'!$AK:$AK,'Input Data'!$G:$G,$C117)</f>
        <v>22258617.31119312</v>
      </c>
      <c r="E117" s="21">
        <f>+SUMIFS('Input Data'!$AH:$AH,'Input Data'!$G:$G,$C117)</f>
        <v>834698.1491697419</v>
      </c>
      <c r="F117" s="21">
        <f>+SUMIFS('Input Data'!$AY:$AY,'Input Data'!$G:$G,$C117)</f>
        <v>4451723.4622386238</v>
      </c>
      <c r="G117" s="21">
        <f>+SUMIFS('Input Data'!AO:AO,'Input Data'!$G:$G,$C117)</f>
        <v>0</v>
      </c>
      <c r="H117" s="21">
        <v>0</v>
      </c>
      <c r="I117" s="191">
        <f>+SUMIFS('Input Data'!$BF:$BF,'Input Data'!$G:$G,$C117)</f>
        <v>17806893.848954495</v>
      </c>
      <c r="J117" s="21">
        <f t="shared" si="20"/>
        <v>20867453.72924355</v>
      </c>
      <c r="K117" s="48">
        <f>+SUMIFS('Input Data'!$AK:$AK,'Input Data'!$G:$G,$C117,'Input Data'!$V:$V,"FUL")</f>
        <v>22258617.31119312</v>
      </c>
      <c r="L117" s="21">
        <f>+SUMIFS('Input Data'!$AY:$AY,'Input Data'!$G:$G,$C117,'Input Data'!$V:$V,"FUL")</f>
        <v>4451723.4622386238</v>
      </c>
      <c r="M117" s="21">
        <f>+SUMIFS('Input Data'!$AO:$AO,'Input Data'!$G:$G,$C117,'Input Data'!$V:$V,"FUL")</f>
        <v>0</v>
      </c>
      <c r="N117" s="21">
        <f>+SUMIFS('Input Data'!$BH:$BH,'Input Data'!$G:$G,$C117,'Input Data'!$V:$V,"FUL")</f>
        <v>8903446.9244772475</v>
      </c>
      <c r="O117" s="21">
        <f t="shared" si="22"/>
        <v>8903446.9244772475</v>
      </c>
      <c r="P117" s="21">
        <f t="shared" si="23"/>
        <v>0</v>
      </c>
      <c r="Q117" s="191">
        <f t="shared" si="24"/>
        <v>8903446.9244772475</v>
      </c>
      <c r="R117" s="48">
        <f>+SUMIFS('Input Data'!$AK:$AK,'Input Data'!$G:$G,$C117,'Input Data'!$V:$V,"FIID")</f>
        <v>0</v>
      </c>
      <c r="S117" s="21">
        <f>+SUMIFS('Input Data'!$AY:$AY,'Input Data'!$G:$G,$C117,'Input Data'!$V:$V,"FIID")</f>
        <v>0</v>
      </c>
      <c r="T117" s="21">
        <f>+SUMIFS('Input Data'!$AO:$AO,'Input Data'!$G:$G,$C117,'Input Data'!$V:$V,"FIID")</f>
        <v>0</v>
      </c>
      <c r="U117" s="21">
        <f>+SUMIFS('Input Data'!$BH:$BH,'Input Data'!$G:$G,$C117,'Input Data'!$V:$V,"FIID")</f>
        <v>0</v>
      </c>
      <c r="V117" s="21">
        <f t="shared" si="25"/>
        <v>0</v>
      </c>
      <c r="W117" s="21">
        <f t="shared" si="26"/>
        <v>0</v>
      </c>
      <c r="X117" s="191">
        <f t="shared" si="27"/>
        <v>0</v>
      </c>
      <c r="Y117" s="48">
        <f>+SUMIFS('Input Data'!$AK:$AK,'Input Data'!$G:$G,$C117,'Input Data'!$V:$V,"FIBL")</f>
        <v>0</v>
      </c>
      <c r="Z117" s="21">
        <f>+SUMIFS('Input Data'!$AH:$AH,'Input Data'!$G:$G,$C117)</f>
        <v>834698.1491697419</v>
      </c>
      <c r="AA117" s="21">
        <f>+SUMIFS('Input Data'!$AY:$AY,'Input Data'!$G:$G,$C117,'Input Data'!$V:$V,"FIBL")</f>
        <v>0</v>
      </c>
      <c r="AB117" s="431">
        <f>+SUMIFS('Input Data'!$AO:$AO,'Input Data'!$G:$G,$C117,'Input Data'!$V:$V,"FIBL")</f>
        <v>0</v>
      </c>
      <c r="AC117" s="21">
        <v>0</v>
      </c>
      <c r="AD117" s="21">
        <f t="shared" si="28"/>
        <v>0</v>
      </c>
      <c r="AE117" s="21">
        <v>0</v>
      </c>
      <c r="AF117" s="191">
        <f t="shared" si="29"/>
        <v>0</v>
      </c>
      <c r="AK117" s="46">
        <f t="shared" si="30"/>
        <v>8903446.9244772475</v>
      </c>
      <c r="AL117" s="46">
        <f>+SUMIFS('Input Data'!$BE:$BE,'Input Data'!$G:$G,$C117)</f>
        <v>2225861.7311193119</v>
      </c>
      <c r="AM117" s="46">
        <f t="shared" si="21"/>
        <v>11964006.804766301</v>
      </c>
    </row>
    <row r="118" spans="2:39" x14ac:dyDescent="0.35">
      <c r="B118" t="str">
        <v>SXM-10</v>
      </c>
      <c r="C118">
        <v>17163</v>
      </c>
      <c r="D118" s="48">
        <f>+SUMIFS('Input Data'!$AK:$AK,'Input Data'!$G:$G,$C118)</f>
        <v>39999960</v>
      </c>
      <c r="E118" s="21">
        <f>+SUMIFS('Input Data'!$AH:$AH,'Input Data'!$G:$G,$C118)</f>
        <v>0</v>
      </c>
      <c r="F118" s="21">
        <f>+SUMIFS('Input Data'!$AY:$AY,'Input Data'!$G:$G,$C118)</f>
        <v>7999992</v>
      </c>
      <c r="G118" s="21">
        <f>+SUMIFS('Input Data'!AO:AO,'Input Data'!$G:$G,$C118)</f>
        <v>0</v>
      </c>
      <c r="H118" s="21">
        <v>0</v>
      </c>
      <c r="I118" s="191">
        <f>+SUMIFS('Input Data'!$BF:$BF,'Input Data'!$G:$G,$C118)</f>
        <v>31999968</v>
      </c>
      <c r="J118" s="21">
        <f t="shared" si="20"/>
        <v>31999968</v>
      </c>
      <c r="K118" s="48">
        <f>+SUMIFS('Input Data'!$AK:$AK,'Input Data'!$G:$G,$C118,'Input Data'!$V:$V,"FUL")</f>
        <v>39999960</v>
      </c>
      <c r="L118" s="21">
        <f>+SUMIFS('Input Data'!$AY:$AY,'Input Data'!$G:$G,$C118,'Input Data'!$V:$V,"FUL")</f>
        <v>7999992</v>
      </c>
      <c r="M118" s="21">
        <f>+SUMIFS('Input Data'!$AO:$AO,'Input Data'!$G:$G,$C118,'Input Data'!$V:$V,"FUL")</f>
        <v>0</v>
      </c>
      <c r="N118" s="21">
        <f>+SUMIFS('Input Data'!$BH:$BH,'Input Data'!$G:$G,$C118,'Input Data'!$V:$V,"FUL")</f>
        <v>12799987.200000001</v>
      </c>
      <c r="O118" s="21">
        <f t="shared" si="22"/>
        <v>19199980.799999997</v>
      </c>
      <c r="P118" s="21">
        <f t="shared" si="23"/>
        <v>0</v>
      </c>
      <c r="Q118" s="191">
        <f t="shared" si="24"/>
        <v>19199980.799999997</v>
      </c>
      <c r="R118" s="48">
        <f>+SUMIFS('Input Data'!$AK:$AK,'Input Data'!$G:$G,$C118,'Input Data'!$V:$V,"FIID")</f>
        <v>0</v>
      </c>
      <c r="S118" s="21">
        <f>+SUMIFS('Input Data'!$AY:$AY,'Input Data'!$G:$G,$C118,'Input Data'!$V:$V,"FIID")</f>
        <v>0</v>
      </c>
      <c r="T118" s="21">
        <f>+SUMIFS('Input Data'!$AO:$AO,'Input Data'!$G:$G,$C118,'Input Data'!$V:$V,"FIID")</f>
        <v>0</v>
      </c>
      <c r="U118" s="21">
        <f>+SUMIFS('Input Data'!$BH:$BH,'Input Data'!$G:$G,$C118,'Input Data'!$V:$V,"FIID")</f>
        <v>0</v>
      </c>
      <c r="V118" s="21">
        <f t="shared" si="25"/>
        <v>0</v>
      </c>
      <c r="W118" s="21">
        <f t="shared" si="26"/>
        <v>0</v>
      </c>
      <c r="X118" s="191">
        <f t="shared" si="27"/>
        <v>0</v>
      </c>
      <c r="Y118" s="48">
        <f>+SUMIFS('Input Data'!$AK:$AK,'Input Data'!$G:$G,$C118,'Input Data'!$V:$V,"FIBL")</f>
        <v>0</v>
      </c>
      <c r="Z118" s="21">
        <f>+SUMIFS('Input Data'!$AH:$AH,'Input Data'!$G:$G,$C118)</f>
        <v>0</v>
      </c>
      <c r="AA118" s="21">
        <f>+SUMIFS('Input Data'!$AY:$AY,'Input Data'!$G:$G,$C118,'Input Data'!$V:$V,"FIBL")</f>
        <v>0</v>
      </c>
      <c r="AB118" s="431">
        <f>+SUMIFS('Input Data'!$AO:$AO,'Input Data'!$G:$G,$C118,'Input Data'!$V:$V,"FIBL")</f>
        <v>0</v>
      </c>
      <c r="AC118" s="21">
        <v>0</v>
      </c>
      <c r="AD118" s="21">
        <f t="shared" si="28"/>
        <v>0</v>
      </c>
      <c r="AE118" s="21">
        <v>0</v>
      </c>
      <c r="AF118" s="191">
        <f t="shared" si="29"/>
        <v>0</v>
      </c>
      <c r="AK118" s="46">
        <f t="shared" si="30"/>
        <v>12799987.200000001</v>
      </c>
      <c r="AL118" s="46">
        <f>+SUMIFS('Input Data'!$BE:$BE,'Input Data'!$G:$G,$C118)</f>
        <v>0</v>
      </c>
      <c r="AM118" s="46">
        <f t="shared" si="21"/>
        <v>12799987.200000001</v>
      </c>
    </row>
    <row r="119" spans="2:39" x14ac:dyDescent="0.35">
      <c r="B119" t="str">
        <v>ALSAT 3A (AERJILIYA YAOGAN-3A)</v>
      </c>
      <c r="C119">
        <v>37380</v>
      </c>
      <c r="D119" s="48">
        <f>+SUMIFS('Input Data'!$AK:$AK,'Input Data'!$G:$G,$C119)</f>
        <v>4999968</v>
      </c>
      <c r="E119" s="21">
        <f>+SUMIFS('Input Data'!$AH:$AH,'Input Data'!$G:$G,$C119)</f>
        <v>156249</v>
      </c>
      <c r="F119" s="21">
        <f>+SUMIFS('Input Data'!$AY:$AY,'Input Data'!$G:$G,$C119)</f>
        <v>999993.60000000009</v>
      </c>
      <c r="G119" s="21">
        <f>+SUMIFS('Input Data'!AO:AO,'Input Data'!$G:$G,$C119)</f>
        <v>0</v>
      </c>
      <c r="H119" s="21">
        <v>0</v>
      </c>
      <c r="I119" s="191">
        <f>+SUMIFS('Input Data'!$BF:$BF,'Input Data'!$G:$G,$C119)</f>
        <v>3999974.4</v>
      </c>
      <c r="J119" s="21">
        <f t="shared" si="20"/>
        <v>4572887.4000000004</v>
      </c>
      <c r="K119" s="48">
        <f>+SUMIFS('Input Data'!$AK:$AK,'Input Data'!$G:$G,$C119,'Input Data'!$V:$V,"FUL")</f>
        <v>0</v>
      </c>
      <c r="L119" s="21">
        <f>+SUMIFS('Input Data'!$AY:$AY,'Input Data'!$G:$G,$C119,'Input Data'!$V:$V,"FUL")</f>
        <v>0</v>
      </c>
      <c r="M119" s="21">
        <f>+SUMIFS('Input Data'!$AO:$AO,'Input Data'!$G:$G,$C119,'Input Data'!$V:$V,"FUL")</f>
        <v>0</v>
      </c>
      <c r="N119" s="21">
        <f>+SUMIFS('Input Data'!$BH:$BH,'Input Data'!$G:$G,$C119,'Input Data'!$V:$V,"FUL")</f>
        <v>0</v>
      </c>
      <c r="O119" s="21">
        <f t="shared" si="22"/>
        <v>0</v>
      </c>
      <c r="P119" s="21">
        <f t="shared" si="23"/>
        <v>0</v>
      </c>
      <c r="Q119" s="191">
        <f t="shared" si="24"/>
        <v>0</v>
      </c>
      <c r="R119" s="48">
        <f>+SUMIFS('Input Data'!$AK:$AK,'Input Data'!$G:$G,$C119,'Input Data'!$V:$V,"FIID")</f>
        <v>0</v>
      </c>
      <c r="S119" s="21">
        <f>+SUMIFS('Input Data'!$AY:$AY,'Input Data'!$G:$G,$C119,'Input Data'!$V:$V,"FIID")</f>
        <v>0</v>
      </c>
      <c r="T119" s="21">
        <f>+SUMIFS('Input Data'!$AO:$AO,'Input Data'!$G:$G,$C119,'Input Data'!$V:$V,"FIID")</f>
        <v>0</v>
      </c>
      <c r="U119" s="21">
        <f>+SUMIFS('Input Data'!$BH:$BH,'Input Data'!$G:$G,$C119,'Input Data'!$V:$V,"FIID")</f>
        <v>0</v>
      </c>
      <c r="V119" s="21">
        <f t="shared" si="25"/>
        <v>0</v>
      </c>
      <c r="W119" s="21">
        <f t="shared" si="26"/>
        <v>0</v>
      </c>
      <c r="X119" s="191">
        <f t="shared" si="27"/>
        <v>0</v>
      </c>
      <c r="Y119" s="48">
        <f>+SUMIFS('Input Data'!$AK:$AK,'Input Data'!$G:$G,$C119,'Input Data'!$V:$V,"FIBL")</f>
        <v>4999968</v>
      </c>
      <c r="Z119" s="21">
        <f>+SUMIFS('Input Data'!$AH:$AH,'Input Data'!$G:$G,$C119)</f>
        <v>156249</v>
      </c>
      <c r="AA119" s="21">
        <f>+SUMIFS('Input Data'!$AY:$AY,'Input Data'!$G:$G,$C119,'Input Data'!$V:$V,"FIBL")</f>
        <v>999993.60000000009</v>
      </c>
      <c r="AB119" s="431">
        <f>+SUMIFS('Input Data'!$AO:$AO,'Input Data'!$G:$G,$C119,'Input Data'!$V:$V,"FIBL")</f>
        <v>0</v>
      </c>
      <c r="AC119" s="21">
        <v>0</v>
      </c>
      <c r="AD119" s="21">
        <f t="shared" si="28"/>
        <v>3999974.4</v>
      </c>
      <c r="AE119" s="21">
        <v>0</v>
      </c>
      <c r="AF119" s="191">
        <f t="shared" si="29"/>
        <v>3999974.4</v>
      </c>
      <c r="AK119" s="46">
        <f t="shared" si="30"/>
        <v>0</v>
      </c>
      <c r="AL119" s="46">
        <f>+SUMIFS('Input Data'!$BE:$BE,'Input Data'!$G:$G,$C119)</f>
        <v>416664.00000000006</v>
      </c>
      <c r="AM119" s="46">
        <f t="shared" si="21"/>
        <v>4572887.4000000004</v>
      </c>
    </row>
    <row r="120" spans="2:39" x14ac:dyDescent="0.35">
      <c r="B120" t="str">
        <v>ALSAT 3B (AERJILIYA YAOGAN-3B)</v>
      </c>
      <c r="C120">
        <v>37381</v>
      </c>
      <c r="D120" s="48">
        <f>+SUMIFS('Input Data'!$AK:$AK,'Input Data'!$G:$G,$C120)</f>
        <v>4999956</v>
      </c>
      <c r="E120" s="21">
        <f>+SUMIFS('Input Data'!$AH:$AH,'Input Data'!$G:$G,$C120)</f>
        <v>156248.625</v>
      </c>
      <c r="F120" s="21">
        <f>+SUMIFS('Input Data'!$AY:$AY,'Input Data'!$G:$G,$C120)</f>
        <v>999991.20000000007</v>
      </c>
      <c r="G120" s="21">
        <f>+SUMIFS('Input Data'!AO:AO,'Input Data'!$G:$G,$C120)</f>
        <v>0</v>
      </c>
      <c r="H120" s="21">
        <v>0</v>
      </c>
      <c r="I120" s="191">
        <f>+SUMIFS('Input Data'!$BF:$BF,'Input Data'!$G:$G,$C120)</f>
        <v>3999964.8</v>
      </c>
      <c r="J120" s="21">
        <f t="shared" si="20"/>
        <v>4572876.4249999998</v>
      </c>
      <c r="K120" s="48">
        <f>+SUMIFS('Input Data'!$AK:$AK,'Input Data'!$G:$G,$C120,'Input Data'!$V:$V,"FUL")</f>
        <v>0</v>
      </c>
      <c r="L120" s="21">
        <f>+SUMIFS('Input Data'!$AY:$AY,'Input Data'!$G:$G,$C120,'Input Data'!$V:$V,"FUL")</f>
        <v>0</v>
      </c>
      <c r="M120" s="21">
        <f>+SUMIFS('Input Data'!$AO:$AO,'Input Data'!$G:$G,$C120,'Input Data'!$V:$V,"FUL")</f>
        <v>0</v>
      </c>
      <c r="N120" s="21">
        <f>+SUMIFS('Input Data'!$BH:$BH,'Input Data'!$G:$G,$C120,'Input Data'!$V:$V,"FUL")</f>
        <v>0</v>
      </c>
      <c r="O120" s="21">
        <f t="shared" si="22"/>
        <v>0</v>
      </c>
      <c r="P120" s="21">
        <f t="shared" si="23"/>
        <v>0</v>
      </c>
      <c r="Q120" s="191">
        <f t="shared" si="24"/>
        <v>0</v>
      </c>
      <c r="R120" s="48">
        <f>+SUMIFS('Input Data'!$AK:$AK,'Input Data'!$G:$G,$C120,'Input Data'!$V:$V,"FIID")</f>
        <v>0</v>
      </c>
      <c r="S120" s="21">
        <f>+SUMIFS('Input Data'!$AY:$AY,'Input Data'!$G:$G,$C120,'Input Data'!$V:$V,"FIID")</f>
        <v>0</v>
      </c>
      <c r="T120" s="21">
        <f>+SUMIFS('Input Data'!$AO:$AO,'Input Data'!$G:$G,$C120,'Input Data'!$V:$V,"FIID")</f>
        <v>0</v>
      </c>
      <c r="U120" s="21">
        <f>+SUMIFS('Input Data'!$BH:$BH,'Input Data'!$G:$G,$C120,'Input Data'!$V:$V,"FIID")</f>
        <v>0</v>
      </c>
      <c r="V120" s="21">
        <f t="shared" si="25"/>
        <v>0</v>
      </c>
      <c r="W120" s="21">
        <f t="shared" si="26"/>
        <v>0</v>
      </c>
      <c r="X120" s="191">
        <f t="shared" si="27"/>
        <v>0</v>
      </c>
      <c r="Y120" s="48">
        <f>+SUMIFS('Input Data'!$AK:$AK,'Input Data'!$G:$G,$C120,'Input Data'!$V:$V,"FIBL")</f>
        <v>4999956</v>
      </c>
      <c r="Z120" s="21">
        <f>+SUMIFS('Input Data'!$AH:$AH,'Input Data'!$G:$G,$C120)</f>
        <v>156248.625</v>
      </c>
      <c r="AA120" s="21">
        <f>+SUMIFS('Input Data'!$AY:$AY,'Input Data'!$G:$G,$C120,'Input Data'!$V:$V,"FIBL")</f>
        <v>999991.20000000007</v>
      </c>
      <c r="AB120" s="431">
        <f>+SUMIFS('Input Data'!$AO:$AO,'Input Data'!$G:$G,$C120,'Input Data'!$V:$V,"FIBL")</f>
        <v>0</v>
      </c>
      <c r="AC120" s="21">
        <v>0</v>
      </c>
      <c r="AD120" s="21">
        <f t="shared" si="28"/>
        <v>3999964.8</v>
      </c>
      <c r="AE120" s="21">
        <v>0</v>
      </c>
      <c r="AF120" s="191">
        <f t="shared" si="29"/>
        <v>3999964.8</v>
      </c>
      <c r="AK120" s="46">
        <f t="shared" si="30"/>
        <v>0</v>
      </c>
      <c r="AL120" s="46">
        <f>+SUMIFS('Input Data'!$BE:$BE,'Input Data'!$G:$G,$C120)</f>
        <v>416663.00000000006</v>
      </c>
      <c r="AM120" s="46">
        <f t="shared" si="21"/>
        <v>4572876.4249999998</v>
      </c>
    </row>
    <row r="121" spans="2:39" x14ac:dyDescent="0.35">
      <c r="B121" t="str">
        <v>NUSANTARA LIMA</v>
      </c>
      <c r="C121">
        <v>17950</v>
      </c>
      <c r="D121" s="48">
        <f>+SUMIFS('Input Data'!$AK:$AK,'Input Data'!$G:$G,$C121)</f>
        <v>35000001</v>
      </c>
      <c r="E121" s="21">
        <f>+SUMIFS('Input Data'!$AH:$AH,'Input Data'!$G:$G,$C121)</f>
        <v>0</v>
      </c>
      <c r="F121" s="21">
        <f>+SUMIFS('Input Data'!$AY:$AY,'Input Data'!$G:$G,$C121)</f>
        <v>7000000.2000000011</v>
      </c>
      <c r="G121" s="21">
        <f>+SUMIFS('Input Data'!AO:AO,'Input Data'!$G:$G,$C121)</f>
        <v>0</v>
      </c>
      <c r="H121" s="21">
        <v>0</v>
      </c>
      <c r="I121" s="191">
        <f>+SUMIFS('Input Data'!$BF:$BF,'Input Data'!$G:$G,$C121)</f>
        <v>28000000.799999997</v>
      </c>
      <c r="J121" s="21">
        <f t="shared" si="20"/>
        <v>28000000.799999997</v>
      </c>
      <c r="K121" s="48">
        <f>+SUMIFS('Input Data'!$AK:$AK,'Input Data'!$G:$G,$C121,'Input Data'!$V:$V,"FUL")</f>
        <v>35000001</v>
      </c>
      <c r="L121" s="21">
        <f>+SUMIFS('Input Data'!$AY:$AY,'Input Data'!$G:$G,$C121,'Input Data'!$V:$V,"FUL")</f>
        <v>7000000.2000000011</v>
      </c>
      <c r="M121" s="21">
        <f>+SUMIFS('Input Data'!$AO:$AO,'Input Data'!$G:$G,$C121,'Input Data'!$V:$V,"FUL")</f>
        <v>0</v>
      </c>
      <c r="N121" s="21">
        <f>+SUMIFS('Input Data'!$BH:$BH,'Input Data'!$G:$G,$C121,'Input Data'!$V:$V,"FUL")</f>
        <v>11200000.32</v>
      </c>
      <c r="O121" s="21">
        <f t="shared" si="22"/>
        <v>16800000.479999997</v>
      </c>
      <c r="P121" s="21">
        <f t="shared" si="23"/>
        <v>0</v>
      </c>
      <c r="Q121" s="191">
        <f t="shared" si="24"/>
        <v>16800000.479999997</v>
      </c>
      <c r="R121" s="48">
        <f>+SUMIFS('Input Data'!$AK:$AK,'Input Data'!$G:$G,$C121,'Input Data'!$V:$V,"FIID")</f>
        <v>0</v>
      </c>
      <c r="S121" s="21">
        <f>+SUMIFS('Input Data'!$AY:$AY,'Input Data'!$G:$G,$C121,'Input Data'!$V:$V,"FIID")</f>
        <v>0</v>
      </c>
      <c r="T121" s="21">
        <f>+SUMIFS('Input Data'!$AO:$AO,'Input Data'!$G:$G,$C121,'Input Data'!$V:$V,"FIID")</f>
        <v>0</v>
      </c>
      <c r="U121" s="21">
        <f>+SUMIFS('Input Data'!$BH:$BH,'Input Data'!$G:$G,$C121,'Input Data'!$V:$V,"FIID")</f>
        <v>0</v>
      </c>
      <c r="V121" s="21">
        <f t="shared" si="25"/>
        <v>0</v>
      </c>
      <c r="W121" s="21">
        <f t="shared" si="26"/>
        <v>0</v>
      </c>
      <c r="X121" s="191">
        <f t="shared" si="27"/>
        <v>0</v>
      </c>
      <c r="Y121" s="48">
        <f>+SUMIFS('Input Data'!$AK:$AK,'Input Data'!$G:$G,$C121,'Input Data'!$V:$V,"FIBL")</f>
        <v>0</v>
      </c>
      <c r="Z121" s="21">
        <f>+SUMIFS('Input Data'!$AH:$AH,'Input Data'!$G:$G,$C121)</f>
        <v>0</v>
      </c>
      <c r="AA121" s="21">
        <f>+SUMIFS('Input Data'!$AY:$AY,'Input Data'!$G:$G,$C121,'Input Data'!$V:$V,"FIBL")</f>
        <v>0</v>
      </c>
      <c r="AB121" s="431">
        <f>+SUMIFS('Input Data'!$AO:$AO,'Input Data'!$G:$G,$C121,'Input Data'!$V:$V,"FIBL")</f>
        <v>0</v>
      </c>
      <c r="AC121" s="21">
        <v>0</v>
      </c>
      <c r="AD121" s="21">
        <f t="shared" si="28"/>
        <v>0</v>
      </c>
      <c r="AE121" s="21">
        <v>0</v>
      </c>
      <c r="AF121" s="191">
        <f t="shared" si="29"/>
        <v>0</v>
      </c>
      <c r="AK121" s="46">
        <f t="shared" si="30"/>
        <v>11200000.32</v>
      </c>
      <c r="AL121" s="46">
        <f>+SUMIFS('Input Data'!$BE:$BE,'Input Data'!$G:$G,$C121)</f>
        <v>0</v>
      </c>
      <c r="AM121" s="46">
        <f t="shared" si="21"/>
        <v>11200000.32</v>
      </c>
    </row>
    <row r="122" spans="2:39" x14ac:dyDescent="0.35">
      <c r="B122" t="str">
        <v>HOTSAT-2 (SATELLITE VU 2)</v>
      </c>
      <c r="C122">
        <v>18829</v>
      </c>
      <c r="D122" s="48">
        <f>+SUMIFS('Input Data'!$AK:$AK,'Input Data'!$G:$G,$C122)</f>
        <v>2477105.9531910801</v>
      </c>
      <c r="E122" s="21">
        <f>+SUMIFS('Input Data'!$AH:$AH,'Input Data'!$G:$G,$C122)</f>
        <v>77409.561037221254</v>
      </c>
      <c r="F122" s="21">
        <f>+SUMIFS('Input Data'!$AY:$AY,'Input Data'!$G:$G,$C122)</f>
        <v>495421.19063821604</v>
      </c>
      <c r="G122" s="21">
        <f>+SUMIFS('Input Data'!AO:AO,'Input Data'!$G:$G,$C122)</f>
        <v>0</v>
      </c>
      <c r="H122" s="21">
        <v>0</v>
      </c>
      <c r="I122" s="191">
        <f>+SUMIFS('Input Data'!$BF:$BF,'Input Data'!$G:$G,$C122)</f>
        <v>1981684.7625528642</v>
      </c>
      <c r="J122" s="21">
        <f t="shared" si="20"/>
        <v>2265519.8196893418</v>
      </c>
      <c r="K122" s="48">
        <f>+SUMIFS('Input Data'!$AK:$AK,'Input Data'!$G:$G,$C122,'Input Data'!$V:$V,"FUL")</f>
        <v>2477105.9531910801</v>
      </c>
      <c r="L122" s="21">
        <f>+SUMIFS('Input Data'!$AY:$AY,'Input Data'!$G:$G,$C122,'Input Data'!$V:$V,"FUL")</f>
        <v>495421.19063821604</v>
      </c>
      <c r="M122" s="21">
        <f>+SUMIFS('Input Data'!$AO:$AO,'Input Data'!$G:$G,$C122,'Input Data'!$V:$V,"FUL")</f>
        <v>0</v>
      </c>
      <c r="N122" s="21">
        <f>+SUMIFS('Input Data'!$BH:$BH,'Input Data'!$G:$G,$C122,'Input Data'!$V:$V,"FUL")</f>
        <v>990842.38127643208</v>
      </c>
      <c r="O122" s="21">
        <f t="shared" si="22"/>
        <v>990842.38127643208</v>
      </c>
      <c r="P122" s="21">
        <f t="shared" si="23"/>
        <v>0</v>
      </c>
      <c r="Q122" s="191">
        <f t="shared" si="24"/>
        <v>990842.38127643208</v>
      </c>
      <c r="R122" s="48">
        <f>+SUMIFS('Input Data'!$AK:$AK,'Input Data'!$G:$G,$C122,'Input Data'!$V:$V,"FIID")</f>
        <v>0</v>
      </c>
      <c r="S122" s="21">
        <f>+SUMIFS('Input Data'!$AY:$AY,'Input Data'!$G:$G,$C122,'Input Data'!$V:$V,"FIID")</f>
        <v>0</v>
      </c>
      <c r="T122" s="21">
        <f>+SUMIFS('Input Data'!$AO:$AO,'Input Data'!$G:$G,$C122,'Input Data'!$V:$V,"FIID")</f>
        <v>0</v>
      </c>
      <c r="U122" s="21">
        <f>+SUMIFS('Input Data'!$BH:$BH,'Input Data'!$G:$G,$C122,'Input Data'!$V:$V,"FIID")</f>
        <v>0</v>
      </c>
      <c r="V122" s="21">
        <f t="shared" si="25"/>
        <v>0</v>
      </c>
      <c r="W122" s="21">
        <f t="shared" si="26"/>
        <v>0</v>
      </c>
      <c r="X122" s="191">
        <f t="shared" si="27"/>
        <v>0</v>
      </c>
      <c r="Y122" s="48">
        <f>+SUMIFS('Input Data'!$AK:$AK,'Input Data'!$G:$G,$C122,'Input Data'!$V:$V,"FIBL")</f>
        <v>0</v>
      </c>
      <c r="Z122" s="21">
        <f>+SUMIFS('Input Data'!$AH:$AH,'Input Data'!$G:$G,$C122)</f>
        <v>77409.561037221254</v>
      </c>
      <c r="AA122" s="21">
        <f>+SUMIFS('Input Data'!$AY:$AY,'Input Data'!$G:$G,$C122,'Input Data'!$V:$V,"FIBL")</f>
        <v>0</v>
      </c>
      <c r="AB122" s="431">
        <f>+SUMIFS('Input Data'!$AO:$AO,'Input Data'!$G:$G,$C122,'Input Data'!$V:$V,"FIBL")</f>
        <v>0</v>
      </c>
      <c r="AC122" s="21">
        <v>0</v>
      </c>
      <c r="AD122" s="21">
        <f t="shared" si="28"/>
        <v>0</v>
      </c>
      <c r="AE122" s="21">
        <v>0</v>
      </c>
      <c r="AF122" s="191">
        <f t="shared" si="29"/>
        <v>0</v>
      </c>
      <c r="AK122" s="46">
        <f t="shared" si="30"/>
        <v>990842.38127643208</v>
      </c>
      <c r="AL122" s="46">
        <f>+SUMIFS('Input Data'!$BE:$BE,'Input Data'!$G:$G,$C122)</f>
        <v>206425.49609925668</v>
      </c>
      <c r="AM122" s="46">
        <f t="shared" si="21"/>
        <v>1274677.4384129101</v>
      </c>
    </row>
    <row r="123" spans="2:39" x14ac:dyDescent="0.35">
      <c r="B123" t="str">
        <v>HYLAS 2</v>
      </c>
      <c r="C123">
        <v>8948</v>
      </c>
      <c r="D123" s="48">
        <f>+SUMIFS('Input Data'!$AK:$AK,'Input Data'!$G:$G,$C123)</f>
        <v>2352960</v>
      </c>
      <c r="E123" s="21">
        <f>+SUMIFS('Input Data'!$AH:$AH,'Input Data'!$G:$G,$C123)</f>
        <v>88236</v>
      </c>
      <c r="F123" s="21">
        <f>+SUMIFS('Input Data'!$AY:$AY,'Input Data'!$G:$G,$C123)</f>
        <v>470592</v>
      </c>
      <c r="G123" s="21">
        <f>+SUMIFS('Input Data'!AO:AO,'Input Data'!$G:$G,$C123)</f>
        <v>0</v>
      </c>
      <c r="H123" s="21">
        <v>0</v>
      </c>
      <c r="I123" s="191">
        <f>+SUMIFS('Input Data'!$BF:$BF,'Input Data'!$G:$G,$C123)</f>
        <v>1882368</v>
      </c>
      <c r="J123" s="21">
        <f t="shared" si="20"/>
        <v>2205900</v>
      </c>
      <c r="K123" s="48">
        <f>+SUMIFS('Input Data'!$AK:$AK,'Input Data'!$G:$G,$C123,'Input Data'!$V:$V,"FUL")</f>
        <v>0</v>
      </c>
      <c r="L123" s="21">
        <f>+SUMIFS('Input Data'!$AY:$AY,'Input Data'!$G:$G,$C123,'Input Data'!$V:$V,"FUL")</f>
        <v>0</v>
      </c>
      <c r="M123" s="21">
        <f>+SUMIFS('Input Data'!$AO:$AO,'Input Data'!$G:$G,$C123,'Input Data'!$V:$V,"FUL")</f>
        <v>0</v>
      </c>
      <c r="N123" s="21">
        <f>+SUMIFS('Input Data'!$BH:$BH,'Input Data'!$G:$G,$C123,'Input Data'!$V:$V,"FUL")</f>
        <v>0</v>
      </c>
      <c r="O123" s="21">
        <f t="shared" si="22"/>
        <v>0</v>
      </c>
      <c r="P123" s="21">
        <f t="shared" si="23"/>
        <v>0</v>
      </c>
      <c r="Q123" s="191">
        <f t="shared" si="24"/>
        <v>0</v>
      </c>
      <c r="R123" s="48">
        <f>+SUMIFS('Input Data'!$AK:$AK,'Input Data'!$G:$G,$C123,'Input Data'!$V:$V,"FIID")</f>
        <v>2352960</v>
      </c>
      <c r="S123" s="21">
        <f>+SUMIFS('Input Data'!$AY:$AY,'Input Data'!$G:$G,$C123,'Input Data'!$V:$V,"FIID")</f>
        <v>470592</v>
      </c>
      <c r="T123" s="21">
        <f>+SUMIFS('Input Data'!$AO:$AO,'Input Data'!$G:$G,$C123,'Input Data'!$V:$V,"FIID")</f>
        <v>0</v>
      </c>
      <c r="U123" s="21">
        <f>+SUMIFS('Input Data'!$BH:$BH,'Input Data'!$G:$G,$C123,'Input Data'!$V:$V,"FIID")</f>
        <v>1600012.8</v>
      </c>
      <c r="V123" s="21">
        <f t="shared" si="25"/>
        <v>282355.19999999995</v>
      </c>
      <c r="W123" s="21">
        <f t="shared" si="26"/>
        <v>0</v>
      </c>
      <c r="X123" s="191">
        <f t="shared" si="27"/>
        <v>282355.19999999995</v>
      </c>
      <c r="Y123" s="48">
        <f>+SUMIFS('Input Data'!$AK:$AK,'Input Data'!$G:$G,$C123,'Input Data'!$V:$V,"FIBL")</f>
        <v>0</v>
      </c>
      <c r="Z123" s="21">
        <f>+SUMIFS('Input Data'!$AH:$AH,'Input Data'!$G:$G,$C123)</f>
        <v>88236</v>
      </c>
      <c r="AA123" s="21">
        <f>+SUMIFS('Input Data'!$AY:$AY,'Input Data'!$G:$G,$C123,'Input Data'!$V:$V,"FIBL")</f>
        <v>0</v>
      </c>
      <c r="AB123" s="431">
        <f>+SUMIFS('Input Data'!$AO:$AO,'Input Data'!$G:$G,$C123,'Input Data'!$V:$V,"FIBL")</f>
        <v>0</v>
      </c>
      <c r="AC123" s="21">
        <v>0</v>
      </c>
      <c r="AD123" s="21">
        <f t="shared" si="28"/>
        <v>0</v>
      </c>
      <c r="AE123" s="21">
        <v>0</v>
      </c>
      <c r="AF123" s="191">
        <f t="shared" si="29"/>
        <v>0</v>
      </c>
      <c r="AK123" s="46">
        <f t="shared" si="30"/>
        <v>1600012.8</v>
      </c>
      <c r="AL123" s="46">
        <f>+SUMIFS('Input Data'!$BE:$BE,'Input Data'!$G:$G,$C123)</f>
        <v>235296</v>
      </c>
      <c r="AM123" s="46">
        <f t="shared" si="21"/>
        <v>1923544.8</v>
      </c>
    </row>
    <row r="124" spans="2:39" x14ac:dyDescent="0.35">
      <c r="B124" t="str">
        <v>HYLAS 1</v>
      </c>
      <c r="C124">
        <v>8296</v>
      </c>
      <c r="D124" s="48">
        <f>+SUMIFS('Input Data'!$AK:$AK,'Input Data'!$G:$G,$C124)</f>
        <v>1352952</v>
      </c>
      <c r="E124" s="21">
        <f>+SUMIFS('Input Data'!$AH:$AH,'Input Data'!$G:$G,$C124)</f>
        <v>50735.7</v>
      </c>
      <c r="F124" s="21">
        <f>+SUMIFS('Input Data'!$AY:$AY,'Input Data'!$G:$G,$C124)</f>
        <v>270590.40000000002</v>
      </c>
      <c r="G124" s="21">
        <f>+SUMIFS('Input Data'!AO:AO,'Input Data'!$G:$G,$C124)</f>
        <v>0</v>
      </c>
      <c r="H124" s="21">
        <v>0</v>
      </c>
      <c r="I124" s="191">
        <f>+SUMIFS('Input Data'!$BF:$BF,'Input Data'!$G:$G,$C124)</f>
        <v>1082361.6000000001</v>
      </c>
      <c r="J124" s="21">
        <f t="shared" si="20"/>
        <v>1268392.5</v>
      </c>
      <c r="K124" s="48">
        <f>+SUMIFS('Input Data'!$AK:$AK,'Input Data'!$G:$G,$C124,'Input Data'!$V:$V,"FUL")</f>
        <v>1352952</v>
      </c>
      <c r="L124" s="21">
        <f>+SUMIFS('Input Data'!$AY:$AY,'Input Data'!$G:$G,$C124,'Input Data'!$V:$V,"FUL")</f>
        <v>270590.40000000002</v>
      </c>
      <c r="M124" s="21">
        <f>+SUMIFS('Input Data'!$AO:$AO,'Input Data'!$G:$G,$C124,'Input Data'!$V:$V,"FUL")</f>
        <v>0</v>
      </c>
      <c r="N124" s="21">
        <f>+SUMIFS('Input Data'!$BH:$BH,'Input Data'!$G:$G,$C124,'Input Data'!$V:$V,"FUL")</f>
        <v>541180.80000000005</v>
      </c>
      <c r="O124" s="21">
        <f t="shared" si="22"/>
        <v>541180.80000000005</v>
      </c>
      <c r="P124" s="21">
        <f t="shared" si="23"/>
        <v>0</v>
      </c>
      <c r="Q124" s="191">
        <f t="shared" si="24"/>
        <v>541180.80000000005</v>
      </c>
      <c r="R124" s="48">
        <f>+SUMIFS('Input Data'!$AK:$AK,'Input Data'!$G:$G,$C124,'Input Data'!$V:$V,"FIID")</f>
        <v>0</v>
      </c>
      <c r="S124" s="21">
        <f>+SUMIFS('Input Data'!$AY:$AY,'Input Data'!$G:$G,$C124,'Input Data'!$V:$V,"FIID")</f>
        <v>0</v>
      </c>
      <c r="T124" s="21">
        <f>+SUMIFS('Input Data'!$AO:$AO,'Input Data'!$G:$G,$C124,'Input Data'!$V:$V,"FIID")</f>
        <v>0</v>
      </c>
      <c r="U124" s="21">
        <f>+SUMIFS('Input Data'!$BH:$BH,'Input Data'!$G:$G,$C124,'Input Data'!$V:$V,"FIID")</f>
        <v>0</v>
      </c>
      <c r="V124" s="21">
        <f t="shared" si="25"/>
        <v>0</v>
      </c>
      <c r="W124" s="21">
        <f t="shared" si="26"/>
        <v>0</v>
      </c>
      <c r="X124" s="191">
        <f t="shared" si="27"/>
        <v>0</v>
      </c>
      <c r="Y124" s="48">
        <f>+SUMIFS('Input Data'!$AK:$AK,'Input Data'!$G:$G,$C124,'Input Data'!$V:$V,"FIBL")</f>
        <v>0</v>
      </c>
      <c r="Z124" s="21">
        <f>+SUMIFS('Input Data'!$AH:$AH,'Input Data'!$G:$G,$C124)</f>
        <v>50735.7</v>
      </c>
      <c r="AA124" s="21">
        <f>+SUMIFS('Input Data'!$AY:$AY,'Input Data'!$G:$G,$C124,'Input Data'!$V:$V,"FIBL")</f>
        <v>0</v>
      </c>
      <c r="AB124" s="431">
        <f>+SUMIFS('Input Data'!$AO:$AO,'Input Data'!$G:$G,$C124,'Input Data'!$V:$V,"FIBL")</f>
        <v>0</v>
      </c>
      <c r="AC124" s="21">
        <v>0</v>
      </c>
      <c r="AD124" s="21">
        <f t="shared" si="28"/>
        <v>0</v>
      </c>
      <c r="AE124" s="21">
        <v>0</v>
      </c>
      <c r="AF124" s="191">
        <f t="shared" si="29"/>
        <v>0</v>
      </c>
      <c r="AK124" s="46">
        <f t="shared" si="30"/>
        <v>541180.80000000005</v>
      </c>
      <c r="AL124" s="46">
        <f>+SUMIFS('Input Data'!$BE:$BE,'Input Data'!$G:$G,$C124)</f>
        <v>135295.20000000001</v>
      </c>
      <c r="AM124" s="46">
        <f t="shared" si="21"/>
        <v>727211.7</v>
      </c>
    </row>
    <row r="125" spans="2:39" x14ac:dyDescent="0.35">
      <c r="B125" t="str">
        <v>ANUVU 1 (NUVIEW A)</v>
      </c>
      <c r="C125">
        <v>17110</v>
      </c>
      <c r="D125" s="48">
        <f>+SUMIFS('Input Data'!$AK:$AK,'Input Data'!$G:$G,$C125)</f>
        <v>563838.62832000002</v>
      </c>
      <c r="E125" s="21">
        <f>+SUMIFS('Input Data'!$AH:$AH,'Input Data'!$G:$G,$C125)</f>
        <v>21143.948562000001</v>
      </c>
      <c r="F125" s="21">
        <f>+SUMIFS('Input Data'!$AY:$AY,'Input Data'!$G:$G,$C125)</f>
        <v>112767.72566400001</v>
      </c>
      <c r="G125" s="21">
        <f>+SUMIFS('Input Data'!AO:AO,'Input Data'!$G:$G,$C125)</f>
        <v>0</v>
      </c>
      <c r="H125" s="21">
        <v>0</v>
      </c>
      <c r="I125" s="191">
        <f>+SUMIFS('Input Data'!$BF:$BF,'Input Data'!$G:$G,$C125)</f>
        <v>451070.90265599999</v>
      </c>
      <c r="J125" s="21">
        <f t="shared" si="20"/>
        <v>528598.71404999995</v>
      </c>
      <c r="K125" s="48">
        <f>+SUMIFS('Input Data'!$AK:$AK,'Input Data'!$G:$G,$C125,'Input Data'!$V:$V,"FUL")</f>
        <v>563838.62832000002</v>
      </c>
      <c r="L125" s="21">
        <f>+SUMIFS('Input Data'!$AY:$AY,'Input Data'!$G:$G,$C125,'Input Data'!$V:$V,"FUL")</f>
        <v>112767.72566400001</v>
      </c>
      <c r="M125" s="21">
        <f>+SUMIFS('Input Data'!$AO:$AO,'Input Data'!$G:$G,$C125,'Input Data'!$V:$V,"FUL")</f>
        <v>0</v>
      </c>
      <c r="N125" s="21">
        <f>+SUMIFS('Input Data'!$BH:$BH,'Input Data'!$G:$G,$C125,'Input Data'!$V:$V,"FUL")</f>
        <v>225535.451328</v>
      </c>
      <c r="O125" s="21">
        <f t="shared" si="22"/>
        <v>225535.451328</v>
      </c>
      <c r="P125" s="21">
        <f t="shared" si="23"/>
        <v>0</v>
      </c>
      <c r="Q125" s="191">
        <f t="shared" si="24"/>
        <v>225535.451328</v>
      </c>
      <c r="R125" s="48">
        <f>+SUMIFS('Input Data'!$AK:$AK,'Input Data'!$G:$G,$C125,'Input Data'!$V:$V,"FIID")</f>
        <v>0</v>
      </c>
      <c r="S125" s="21">
        <f>+SUMIFS('Input Data'!$AY:$AY,'Input Data'!$G:$G,$C125,'Input Data'!$V:$V,"FIID")</f>
        <v>0</v>
      </c>
      <c r="T125" s="21">
        <f>+SUMIFS('Input Data'!$AO:$AO,'Input Data'!$G:$G,$C125,'Input Data'!$V:$V,"FIID")</f>
        <v>0</v>
      </c>
      <c r="U125" s="21">
        <f>+SUMIFS('Input Data'!$BH:$BH,'Input Data'!$G:$G,$C125,'Input Data'!$V:$V,"FIID")</f>
        <v>0</v>
      </c>
      <c r="V125" s="21">
        <f t="shared" si="25"/>
        <v>0</v>
      </c>
      <c r="W125" s="21">
        <f t="shared" si="26"/>
        <v>0</v>
      </c>
      <c r="X125" s="191">
        <f t="shared" si="27"/>
        <v>0</v>
      </c>
      <c r="Y125" s="48">
        <f>+SUMIFS('Input Data'!$AK:$AK,'Input Data'!$G:$G,$C125,'Input Data'!$V:$V,"FIBL")</f>
        <v>0</v>
      </c>
      <c r="Z125" s="21">
        <f>+SUMIFS('Input Data'!$AH:$AH,'Input Data'!$G:$G,$C125)</f>
        <v>21143.948562000001</v>
      </c>
      <c r="AA125" s="21">
        <f>+SUMIFS('Input Data'!$AY:$AY,'Input Data'!$G:$G,$C125,'Input Data'!$V:$V,"FIBL")</f>
        <v>0</v>
      </c>
      <c r="AB125" s="431">
        <f>+SUMIFS('Input Data'!$AO:$AO,'Input Data'!$G:$G,$C125,'Input Data'!$V:$V,"FIBL")</f>
        <v>0</v>
      </c>
      <c r="AC125" s="21">
        <v>0</v>
      </c>
      <c r="AD125" s="21">
        <f t="shared" si="28"/>
        <v>0</v>
      </c>
      <c r="AE125" s="21">
        <v>0</v>
      </c>
      <c r="AF125" s="191">
        <f t="shared" si="29"/>
        <v>0</v>
      </c>
      <c r="AK125" s="46">
        <f t="shared" si="30"/>
        <v>225535.451328</v>
      </c>
      <c r="AL125" s="46">
        <f>+SUMIFS('Input Data'!$BE:$BE,'Input Data'!$G:$G,$C125)</f>
        <v>56383.862832000006</v>
      </c>
      <c r="AM125" s="46">
        <f t="shared" si="21"/>
        <v>303063.26272200001</v>
      </c>
    </row>
    <row r="126" spans="2:39" x14ac:dyDescent="0.35">
      <c r="B126" t="str">
        <v>ANUVU 2 (NUVIEW B)</v>
      </c>
      <c r="C126">
        <v>17111</v>
      </c>
      <c r="D126" s="48">
        <f>+SUMIFS('Input Data'!$AK:$AK,'Input Data'!$G:$G,$C126)</f>
        <v>563838.62832000002</v>
      </c>
      <c r="E126" s="21">
        <f>+SUMIFS('Input Data'!$AH:$AH,'Input Data'!$G:$G,$C126)</f>
        <v>21143.948562000001</v>
      </c>
      <c r="F126" s="21">
        <f>+SUMIFS('Input Data'!$AY:$AY,'Input Data'!$G:$G,$C126)</f>
        <v>112767.72566400001</v>
      </c>
      <c r="G126" s="21">
        <f>+SUMIFS('Input Data'!AO:AO,'Input Data'!$G:$G,$C126)</f>
        <v>0</v>
      </c>
      <c r="H126" s="21">
        <v>0</v>
      </c>
      <c r="I126" s="191">
        <f>+SUMIFS('Input Data'!$BF:$BF,'Input Data'!$G:$G,$C126)</f>
        <v>451070.90265599999</v>
      </c>
      <c r="J126" s="21">
        <f t="shared" si="20"/>
        <v>528598.71404999995</v>
      </c>
      <c r="K126" s="48">
        <f>+SUMIFS('Input Data'!$AK:$AK,'Input Data'!$G:$G,$C126,'Input Data'!$V:$V,"FUL")</f>
        <v>563838.62832000002</v>
      </c>
      <c r="L126" s="21">
        <f>+SUMIFS('Input Data'!$AY:$AY,'Input Data'!$G:$G,$C126,'Input Data'!$V:$V,"FUL")</f>
        <v>112767.72566400001</v>
      </c>
      <c r="M126" s="21">
        <f>+SUMIFS('Input Data'!$AO:$AO,'Input Data'!$G:$G,$C126,'Input Data'!$V:$V,"FUL")</f>
        <v>0</v>
      </c>
      <c r="N126" s="21">
        <f>+SUMIFS('Input Data'!$BH:$BH,'Input Data'!$G:$G,$C126,'Input Data'!$V:$V,"FUL")</f>
        <v>225535.451328</v>
      </c>
      <c r="O126" s="21">
        <f t="shared" si="22"/>
        <v>225535.451328</v>
      </c>
      <c r="P126" s="21">
        <f t="shared" si="23"/>
        <v>0</v>
      </c>
      <c r="Q126" s="191">
        <f t="shared" si="24"/>
        <v>225535.451328</v>
      </c>
      <c r="R126" s="48">
        <f>+SUMIFS('Input Data'!$AK:$AK,'Input Data'!$G:$G,$C126,'Input Data'!$V:$V,"FIID")</f>
        <v>0</v>
      </c>
      <c r="S126" s="21">
        <f>+SUMIFS('Input Data'!$AY:$AY,'Input Data'!$G:$G,$C126,'Input Data'!$V:$V,"FIID")</f>
        <v>0</v>
      </c>
      <c r="T126" s="21">
        <f>+SUMIFS('Input Data'!$AO:$AO,'Input Data'!$G:$G,$C126,'Input Data'!$V:$V,"FIID")</f>
        <v>0</v>
      </c>
      <c r="U126" s="21">
        <f>+SUMIFS('Input Data'!$BH:$BH,'Input Data'!$G:$G,$C126,'Input Data'!$V:$V,"FIID")</f>
        <v>0</v>
      </c>
      <c r="V126" s="21">
        <f t="shared" si="25"/>
        <v>0</v>
      </c>
      <c r="W126" s="21">
        <f t="shared" si="26"/>
        <v>0</v>
      </c>
      <c r="X126" s="191">
        <f t="shared" si="27"/>
        <v>0</v>
      </c>
      <c r="Y126" s="48">
        <f>+SUMIFS('Input Data'!$AK:$AK,'Input Data'!$G:$G,$C126,'Input Data'!$V:$V,"FIBL")</f>
        <v>0</v>
      </c>
      <c r="Z126" s="21">
        <f>+SUMIFS('Input Data'!$AH:$AH,'Input Data'!$G:$G,$C126)</f>
        <v>21143.948562000001</v>
      </c>
      <c r="AA126" s="21">
        <f>+SUMIFS('Input Data'!$AY:$AY,'Input Data'!$G:$G,$C126,'Input Data'!$V:$V,"FIBL")</f>
        <v>0</v>
      </c>
      <c r="AB126" s="431">
        <f>+SUMIFS('Input Data'!$AO:$AO,'Input Data'!$G:$G,$C126,'Input Data'!$V:$V,"FIBL")</f>
        <v>0</v>
      </c>
      <c r="AC126" s="21">
        <v>0</v>
      </c>
      <c r="AD126" s="21">
        <f t="shared" si="28"/>
        <v>0</v>
      </c>
      <c r="AE126" s="21">
        <v>0</v>
      </c>
      <c r="AF126" s="191">
        <f t="shared" si="29"/>
        <v>0</v>
      </c>
      <c r="AK126" s="46">
        <f t="shared" si="30"/>
        <v>225535.451328</v>
      </c>
      <c r="AL126" s="46">
        <f>+SUMIFS('Input Data'!$BE:$BE,'Input Data'!$G:$G,$C126)</f>
        <v>56383.862832000006</v>
      </c>
      <c r="AM126" s="46">
        <f t="shared" si="21"/>
        <v>303063.26272200001</v>
      </c>
    </row>
    <row r="127" spans="2:39" x14ac:dyDescent="0.35">
      <c r="B127" t="str">
        <v>AGILA</v>
      </c>
      <c r="C127">
        <v>21570</v>
      </c>
      <c r="D127" s="48">
        <f>+SUMIFS('Input Data'!$AK:$AK,'Input Data'!$G:$G,$C127)</f>
        <v>671807.72736000002</v>
      </c>
      <c r="E127" s="21">
        <f>+SUMIFS('Input Data'!$AH:$AH,'Input Data'!$G:$G,$C127)</f>
        <v>25192.789776000001</v>
      </c>
      <c r="F127" s="21">
        <f>+SUMIFS('Input Data'!$AY:$AY,'Input Data'!$G:$G,$C127)</f>
        <v>134361.545472</v>
      </c>
      <c r="G127" s="21">
        <f>+SUMIFS('Input Data'!AO:AO,'Input Data'!$G:$G,$C127)</f>
        <v>0</v>
      </c>
      <c r="H127" s="21">
        <v>0</v>
      </c>
      <c r="I127" s="191">
        <f>+SUMIFS('Input Data'!$BF:$BF,'Input Data'!$G:$G,$C127)</f>
        <v>537446.18188799999</v>
      </c>
      <c r="J127" s="21">
        <f t="shared" si="20"/>
        <v>629819.74439999997</v>
      </c>
      <c r="K127" s="48">
        <f>+SUMIFS('Input Data'!$AK:$AK,'Input Data'!$G:$G,$C127,'Input Data'!$V:$V,"FUL")</f>
        <v>671807.72736000002</v>
      </c>
      <c r="L127" s="21">
        <f>+SUMIFS('Input Data'!$AY:$AY,'Input Data'!$G:$G,$C127,'Input Data'!$V:$V,"FUL")</f>
        <v>134361.545472</v>
      </c>
      <c r="M127" s="21">
        <f>+SUMIFS('Input Data'!$AO:$AO,'Input Data'!$G:$G,$C127,'Input Data'!$V:$V,"FUL")</f>
        <v>0</v>
      </c>
      <c r="N127" s="21">
        <f>+SUMIFS('Input Data'!$BH:$BH,'Input Data'!$G:$G,$C127,'Input Data'!$V:$V,"FUL")</f>
        <v>268723.090944</v>
      </c>
      <c r="O127" s="21">
        <f t="shared" si="22"/>
        <v>268723.090944</v>
      </c>
      <c r="P127" s="21">
        <f t="shared" si="23"/>
        <v>0</v>
      </c>
      <c r="Q127" s="191">
        <f t="shared" si="24"/>
        <v>268723.090944</v>
      </c>
      <c r="R127" s="48">
        <f>+SUMIFS('Input Data'!$AK:$AK,'Input Data'!$G:$G,$C127,'Input Data'!$V:$V,"FIID")</f>
        <v>0</v>
      </c>
      <c r="S127" s="21">
        <f>+SUMIFS('Input Data'!$AY:$AY,'Input Data'!$G:$G,$C127,'Input Data'!$V:$V,"FIID")</f>
        <v>0</v>
      </c>
      <c r="T127" s="21">
        <f>+SUMIFS('Input Data'!$AO:$AO,'Input Data'!$G:$G,$C127,'Input Data'!$V:$V,"FIID")</f>
        <v>0</v>
      </c>
      <c r="U127" s="21">
        <f>+SUMIFS('Input Data'!$BH:$BH,'Input Data'!$G:$G,$C127,'Input Data'!$V:$V,"FIID")</f>
        <v>0</v>
      </c>
      <c r="V127" s="21">
        <f t="shared" si="25"/>
        <v>0</v>
      </c>
      <c r="W127" s="21">
        <f t="shared" si="26"/>
        <v>0</v>
      </c>
      <c r="X127" s="191">
        <f t="shared" si="27"/>
        <v>0</v>
      </c>
      <c r="Y127" s="48">
        <f>+SUMIFS('Input Data'!$AK:$AK,'Input Data'!$G:$G,$C127,'Input Data'!$V:$V,"FIBL")</f>
        <v>0</v>
      </c>
      <c r="Z127" s="21">
        <f>+SUMIFS('Input Data'!$AH:$AH,'Input Data'!$G:$G,$C127)</f>
        <v>25192.789776000001</v>
      </c>
      <c r="AA127" s="21">
        <f>+SUMIFS('Input Data'!$AY:$AY,'Input Data'!$G:$G,$C127,'Input Data'!$V:$V,"FIBL")</f>
        <v>0</v>
      </c>
      <c r="AB127" s="431">
        <f>+SUMIFS('Input Data'!$AO:$AO,'Input Data'!$G:$G,$C127,'Input Data'!$V:$V,"FIBL")</f>
        <v>0</v>
      </c>
      <c r="AC127" s="21">
        <v>0</v>
      </c>
      <c r="AD127" s="21">
        <f t="shared" si="28"/>
        <v>0</v>
      </c>
      <c r="AE127" s="21">
        <v>0</v>
      </c>
      <c r="AF127" s="191">
        <f t="shared" si="29"/>
        <v>0</v>
      </c>
      <c r="AK127" s="46">
        <f t="shared" si="30"/>
        <v>268723.090944</v>
      </c>
      <c r="AL127" s="46">
        <f>+SUMIFS('Input Data'!$BE:$BE,'Input Data'!$G:$G,$C127)</f>
        <v>67180.772735999999</v>
      </c>
      <c r="AM127" s="46">
        <f t="shared" si="21"/>
        <v>361096.65345600003</v>
      </c>
    </row>
  </sheetData>
  <autoFilter ref="C12:X12" xr:uid="{BAAA12A1-7469-44D3-9156-8FD9D1C77D7A}"/>
  <mergeCells count="4">
    <mergeCell ref="D10:I10"/>
    <mergeCell ref="K10:Q10"/>
    <mergeCell ref="R10:X10"/>
    <mergeCell ref="Y10:AF10"/>
  </mergeCells>
  <conditionalFormatting sqref="D13:H39">
    <cfRule type="colorScale" priority="13">
      <colorScale>
        <cfvo type="min"/>
        <cfvo type="percentile" val="50"/>
        <cfvo type="max"/>
        <color rgb="FF63BE7B"/>
        <color rgb="FFFFEB84"/>
        <color rgb="FFF8696B"/>
      </colorScale>
    </cfRule>
  </conditionalFormatting>
  <conditionalFormatting sqref="D40:H127">
    <cfRule type="colorScale" priority="1">
      <colorScale>
        <cfvo type="min"/>
        <cfvo type="percentile" val="50"/>
        <cfvo type="max"/>
        <color rgb="FF63BE7B"/>
        <color rgb="FFFFEB84"/>
        <color rgb="FFF8696B"/>
      </colorScale>
    </cfRule>
  </conditionalFormatting>
  <conditionalFormatting sqref="I13:J127">
    <cfRule type="colorScale" priority="14">
      <colorScale>
        <cfvo type="min"/>
        <cfvo type="percentile" val="50"/>
        <cfvo type="max"/>
        <color rgb="FF63BE7B"/>
        <color rgb="FFFFEB84"/>
        <color rgb="FFF8696B"/>
      </colorScale>
    </cfRule>
  </conditionalFormatting>
  <conditionalFormatting sqref="K13:M39">
    <cfRule type="colorScale" priority="15">
      <colorScale>
        <cfvo type="min"/>
        <cfvo type="percentile" val="50"/>
        <cfvo type="max"/>
        <color rgb="FF63BE7B"/>
        <color rgb="FFFFEB84"/>
        <color rgb="FFF8696B"/>
      </colorScale>
    </cfRule>
  </conditionalFormatting>
  <conditionalFormatting sqref="K40:M127">
    <cfRule type="colorScale" priority="2">
      <colorScale>
        <cfvo type="min"/>
        <cfvo type="percentile" val="50"/>
        <cfvo type="max"/>
        <color rgb="FF63BE7B"/>
        <color rgb="FFFFEB84"/>
        <color rgb="FFF8696B"/>
      </colorScale>
    </cfRule>
  </conditionalFormatting>
  <conditionalFormatting sqref="N13:P39">
    <cfRule type="colorScale" priority="16">
      <colorScale>
        <cfvo type="min"/>
        <cfvo type="percentile" val="50"/>
        <cfvo type="max"/>
        <color rgb="FF63BE7B"/>
        <color rgb="FFFFEB84"/>
        <color rgb="FFF8696B"/>
      </colorScale>
    </cfRule>
  </conditionalFormatting>
  <conditionalFormatting sqref="N40:P127">
    <cfRule type="colorScale" priority="3">
      <colorScale>
        <cfvo type="min"/>
        <cfvo type="percentile" val="50"/>
        <cfvo type="max"/>
        <color rgb="FF63BE7B"/>
        <color rgb="FFFFEB84"/>
        <color rgb="FFF8696B"/>
      </colorScale>
    </cfRule>
  </conditionalFormatting>
  <conditionalFormatting sqref="Q13:Q127">
    <cfRule type="colorScale" priority="17">
      <colorScale>
        <cfvo type="min"/>
        <cfvo type="percentile" val="50"/>
        <cfvo type="max"/>
        <color rgb="FF63BE7B"/>
        <color rgb="FFFFEB84"/>
        <color rgb="FFF8696B"/>
      </colorScale>
    </cfRule>
  </conditionalFormatting>
  <conditionalFormatting sqref="R13:W39">
    <cfRule type="colorScale" priority="18">
      <colorScale>
        <cfvo type="min"/>
        <cfvo type="percentile" val="50"/>
        <cfvo type="max"/>
        <color rgb="FF63BE7B"/>
        <color rgb="FFFFEB84"/>
        <color rgb="FFF8696B"/>
      </colorScale>
    </cfRule>
  </conditionalFormatting>
  <conditionalFormatting sqref="R40:W127">
    <cfRule type="colorScale" priority="4">
      <colorScale>
        <cfvo type="min"/>
        <cfvo type="percentile" val="50"/>
        <cfvo type="max"/>
        <color rgb="FF63BE7B"/>
        <color rgb="FFFFEB84"/>
        <color rgb="FFF8696B"/>
      </colorScale>
    </cfRule>
  </conditionalFormatting>
  <conditionalFormatting sqref="X14:AG39 X13 AF13:AG13 AG40 X40:AF127">
    <cfRule type="colorScale" priority="19">
      <colorScale>
        <cfvo type="min"/>
        <cfvo type="percentile" val="50"/>
        <cfvo type="max"/>
        <color rgb="FF63BE7B"/>
        <color rgb="FFFFEB84"/>
        <color rgb="FFF8696B"/>
      </colorScale>
    </cfRule>
  </conditionalFormatting>
  <conditionalFormatting sqref="AD13:AD127">
    <cfRule type="colorScale" priority="7">
      <colorScale>
        <cfvo type="min"/>
        <cfvo type="percentile" val="50"/>
        <cfvo type="max"/>
        <color rgb="FF63BE7B"/>
        <color rgb="FFFFEB84"/>
        <color rgb="FFF8696B"/>
      </colorScale>
    </cfRule>
  </conditionalFormatting>
  <conditionalFormatting sqref="AE13:AE127 Y13:AC127">
    <cfRule type="colorScale" priority="8">
      <colorScale>
        <cfvo type="min"/>
        <cfvo type="percentile" val="50"/>
        <cfvo type="max"/>
        <color rgb="FF63BE7B"/>
        <color rgb="FFFFEB84"/>
        <color rgb="FFF8696B"/>
      </colorScale>
    </cfRule>
  </conditionalFormatting>
  <conditionalFormatting sqref="AK13:AL127">
    <cfRule type="colorScale" priority="21">
      <colorScale>
        <cfvo type="min"/>
        <cfvo type="percentile" val="50"/>
        <cfvo type="max"/>
        <color rgb="FF63BE7B"/>
        <color rgb="FFFFEB84"/>
        <color rgb="FFF8696B"/>
      </colorScale>
    </cfRule>
    <cfRule type="colorScale" priority="22">
      <colorScale>
        <cfvo type="min"/>
        <cfvo type="percentile" val="50"/>
        <cfvo type="max"/>
        <color rgb="FF63BE7B"/>
        <color rgb="FFFFEB84"/>
        <color rgb="FFF8696B"/>
      </colorScale>
    </cfRule>
  </conditionalFormatting>
  <conditionalFormatting sqref="AM13:AM127">
    <cfRule type="colorScale" priority="5">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3D59E-818F-4415-A1E8-EA97752A7E02}">
  <sheetPr codeName="Sheet14">
    <tabColor rgb="FF00B0F0"/>
  </sheetPr>
  <dimension ref="B2:N31"/>
  <sheetViews>
    <sheetView topLeftCell="A3" zoomScale="110" zoomScaleNormal="110" workbookViewId="0">
      <selection activeCell="H17" sqref="H17"/>
    </sheetView>
  </sheetViews>
  <sheetFormatPr defaultColWidth="9.08984375" defaultRowHeight="14.5" x14ac:dyDescent="0.35"/>
  <cols>
    <col min="1" max="1" width="9.08984375" style="82"/>
    <col min="2" max="2" width="7.453125" style="82" customWidth="1"/>
    <col min="3" max="3" width="49.90625" style="82" customWidth="1"/>
    <col min="4" max="4" width="16.90625" style="82" bestFit="1" customWidth="1"/>
    <col min="5" max="5" width="12.36328125" style="82" bestFit="1" customWidth="1"/>
    <col min="6" max="6" width="3.453125" style="82" customWidth="1"/>
    <col min="7" max="7" width="29.453125" style="82" customWidth="1"/>
    <col min="8" max="8" width="17.54296875" style="82" customWidth="1"/>
    <col min="9" max="9" width="15.90625" style="82" bestFit="1" customWidth="1"/>
    <col min="10" max="10" width="12.453125" style="82" bestFit="1" customWidth="1"/>
    <col min="11" max="11" width="19" style="82" customWidth="1"/>
    <col min="12" max="12" width="21.08984375" style="82" bestFit="1" customWidth="1"/>
    <col min="13" max="13" width="22" style="82" bestFit="1" customWidth="1"/>
    <col min="14" max="14" width="18.08984375" style="82" bestFit="1" customWidth="1"/>
    <col min="15" max="15" width="9.08984375" style="82"/>
    <col min="16" max="16" width="19.08984375" style="82" bestFit="1" customWidth="1"/>
    <col min="17" max="17" width="15.54296875" style="82" bestFit="1" customWidth="1"/>
    <col min="18" max="16384" width="9.08984375" style="82"/>
  </cols>
  <sheetData>
    <row r="2" spans="2:12" ht="23.5" x14ac:dyDescent="0.55000000000000004">
      <c r="B2" s="116" t="s">
        <v>36</v>
      </c>
      <c r="G2" s="440"/>
      <c r="H2" s="440"/>
      <c r="I2" s="440"/>
      <c r="J2" s="440"/>
    </row>
    <row r="3" spans="2:12" x14ac:dyDescent="0.35">
      <c r="B3" s="82" t="s">
        <v>650</v>
      </c>
      <c r="C3" s="82" t="s">
        <v>162</v>
      </c>
      <c r="G3" s="440"/>
      <c r="H3" s="440"/>
      <c r="I3" s="440"/>
      <c r="J3" s="440"/>
    </row>
    <row r="4" spans="2:12" x14ac:dyDescent="0.35">
      <c r="B4" s="92" t="str">
        <f>B2&amp;" RDS "&amp;B3&amp;"
Comparison to Previous Quarter"</f>
        <v>Proton Flare RDS 2026Q1
Comparison to Previous Quarter</v>
      </c>
      <c r="G4" s="440"/>
      <c r="H4" s="440"/>
      <c r="I4" s="440"/>
      <c r="J4" s="440"/>
    </row>
    <row r="5" spans="2:12" x14ac:dyDescent="0.35">
      <c r="B5" s="142" t="s">
        <v>363</v>
      </c>
      <c r="G5" s="440"/>
      <c r="H5" s="440"/>
      <c r="I5" s="440"/>
      <c r="J5" s="440"/>
    </row>
    <row r="7" spans="2:12" x14ac:dyDescent="0.35">
      <c r="B7" s="467" t="s">
        <v>163</v>
      </c>
      <c r="C7" s="468"/>
      <c r="D7" s="468"/>
      <c r="E7" s="469"/>
      <c r="G7" s="470" t="s">
        <v>164</v>
      </c>
      <c r="H7" s="471"/>
      <c r="I7" s="471"/>
      <c r="J7" s="472"/>
    </row>
    <row r="8" spans="2:12" x14ac:dyDescent="0.35">
      <c r="D8" s="92" t="str">
        <f>"Current "&amp;D9</f>
        <v>Current Gross</v>
      </c>
      <c r="E8" s="92" t="str">
        <f>"Current "&amp;E9</f>
        <v>Current Net</v>
      </c>
      <c r="F8" s="423"/>
      <c r="I8" s="92" t="str">
        <f>"Previous "&amp;I9</f>
        <v>Previous Gross</v>
      </c>
      <c r="J8" s="92" t="str">
        <f>"Previous "&amp;J9</f>
        <v>Previous Net</v>
      </c>
    </row>
    <row r="9" spans="2:12" x14ac:dyDescent="0.35">
      <c r="B9" s="93" t="s">
        <v>37</v>
      </c>
      <c r="C9" s="125" t="s">
        <v>165</v>
      </c>
      <c r="D9" s="95" t="s">
        <v>89</v>
      </c>
      <c r="E9" s="96" t="s">
        <v>90</v>
      </c>
      <c r="G9" s="473" t="s">
        <v>165</v>
      </c>
      <c r="H9" s="474"/>
      <c r="I9" s="95" t="s">
        <v>89</v>
      </c>
      <c r="J9" s="96" t="s">
        <v>90</v>
      </c>
    </row>
    <row r="10" spans="2:12" x14ac:dyDescent="0.35">
      <c r="B10" s="123" t="s">
        <v>32</v>
      </c>
      <c r="C10" s="122" t="s">
        <v>172</v>
      </c>
      <c r="D10" s="99">
        <f>Summary!D61</f>
        <v>52486485.113690019</v>
      </c>
      <c r="E10" s="100">
        <f>Summary!D62</f>
        <v>42945091.289610468</v>
      </c>
      <c r="G10" s="122" t="s">
        <v>172</v>
      </c>
      <c r="H10" s="122"/>
      <c r="I10" s="99">
        <f>'[2]Change Narrative (Proton Flare)'!D10</f>
        <v>51030511.880560629</v>
      </c>
      <c r="J10" s="100">
        <f>'[2]Change Narrative (Proton Flare)'!E10</f>
        <v>41110689.678302653</v>
      </c>
    </row>
    <row r="11" spans="2:12" x14ac:dyDescent="0.35">
      <c r="B11" s="124" t="s">
        <v>29</v>
      </c>
      <c r="C11" s="127" t="s">
        <v>172</v>
      </c>
      <c r="D11" s="102">
        <f>Summary!E61</f>
        <v>29792884.239627898</v>
      </c>
      <c r="E11" s="103">
        <f>Summary!E62</f>
        <v>12217153.539851166</v>
      </c>
      <c r="G11" s="127" t="s">
        <v>172</v>
      </c>
      <c r="H11" s="127"/>
      <c r="I11" s="102">
        <f>'[2]Change Narrative (Proton Flare)'!D11</f>
        <v>31287289.343245484</v>
      </c>
      <c r="J11" s="103">
        <f>'[2]Change Narrative (Proton Flare)'!E11</f>
        <v>12886557.357298201</v>
      </c>
    </row>
    <row r="12" spans="2:12" x14ac:dyDescent="0.35">
      <c r="B12" s="124" t="s">
        <v>33</v>
      </c>
      <c r="C12" s="127" t="s">
        <v>172</v>
      </c>
      <c r="D12" s="102">
        <f>Summary!F61</f>
        <v>28578247.564066991</v>
      </c>
      <c r="E12" s="103">
        <f>Summary!F62</f>
        <v>28578247.564066991</v>
      </c>
      <c r="G12" s="127" t="s">
        <v>172</v>
      </c>
      <c r="H12" s="127"/>
      <c r="I12" s="102">
        <f>'[2]Change Narrative (Proton Flare)'!D12</f>
        <v>26026713.720839176</v>
      </c>
      <c r="J12" s="103">
        <f>'[2]Change Narrative (Proton Flare)'!E12</f>
        <v>26026713.720839176</v>
      </c>
    </row>
    <row r="13" spans="2:12" x14ac:dyDescent="0.35">
      <c r="B13" s="132" t="s">
        <v>31</v>
      </c>
      <c r="C13" s="126" t="s">
        <v>172</v>
      </c>
      <c r="D13" s="105">
        <f>Summary!G61</f>
        <v>17914084.880769655</v>
      </c>
      <c r="E13" s="106">
        <f>Summary!G62</f>
        <v>2149690.1856923592</v>
      </c>
      <c r="G13" s="127" t="s">
        <v>172</v>
      </c>
      <c r="H13" s="127"/>
      <c r="I13" s="102">
        <f>'[2]Change Narrative (Proton Flare)'!D13</f>
        <v>18311821.668044187</v>
      </c>
      <c r="J13" s="103">
        <f>'[2]Change Narrative (Proton Flare)'!E13</f>
        <v>2197418.6001653029</v>
      </c>
    </row>
    <row r="14" spans="2:12" x14ac:dyDescent="0.35">
      <c r="B14"/>
      <c r="C14"/>
      <c r="D14"/>
      <c r="E14"/>
      <c r="F14"/>
      <c r="G14" s="133"/>
      <c r="H14" s="133"/>
      <c r="I14" s="133"/>
      <c r="J14" s="133"/>
      <c r="K14"/>
      <c r="L14"/>
    </row>
    <row r="16" spans="2:12" x14ac:dyDescent="0.35">
      <c r="C16" s="473" t="s">
        <v>166</v>
      </c>
      <c r="D16" s="474"/>
      <c r="E16" s="475"/>
      <c r="G16" s="107" t="s">
        <v>167</v>
      </c>
      <c r="H16" s="107" t="s">
        <v>168</v>
      </c>
      <c r="I16" s="107" t="s">
        <v>169</v>
      </c>
      <c r="J16" s="107" t="s">
        <v>170</v>
      </c>
    </row>
    <row r="17" spans="2:14" ht="61.75" customHeight="1" x14ac:dyDescent="0.35">
      <c r="B17" s="428" t="s">
        <v>32</v>
      </c>
      <c r="C17" s="476" t="s">
        <v>672</v>
      </c>
      <c r="D17" s="477"/>
      <c r="E17" s="477"/>
      <c r="G17" s="109">
        <f>D10-I10</f>
        <v>1455973.2331293896</v>
      </c>
      <c r="H17" s="422">
        <f>D10/I10-1</f>
        <v>2.8531425209630701E-2</v>
      </c>
      <c r="I17" s="109">
        <f>E10-J10</f>
        <v>1834401.6113078147</v>
      </c>
      <c r="J17" s="422">
        <f>E10/J10-1</f>
        <v>4.4621037147814402E-2</v>
      </c>
      <c r="K17" s="451">
        <f>G17-'[7]Change Narrative (Proton Flare)'!G17</f>
        <v>-675106.99622460455</v>
      </c>
      <c r="L17" s="405">
        <f>Summary!D41-[7]Summary!D41</f>
        <v>-675106.99622460082</v>
      </c>
    </row>
    <row r="18" spans="2:14" ht="63" customHeight="1" x14ac:dyDescent="0.35">
      <c r="B18" s="429" t="s">
        <v>29</v>
      </c>
      <c r="C18" s="476" t="s">
        <v>662</v>
      </c>
      <c r="D18" s="477"/>
      <c r="E18" s="477"/>
      <c r="G18" s="112">
        <f t="shared" ref="G18" si="0">D11-I11</f>
        <v>-1494405.1036175862</v>
      </c>
      <c r="H18" s="401">
        <f t="shared" ref="H18:H20" si="1">D11/I11-1</f>
        <v>-4.7763968531208345E-2</v>
      </c>
      <c r="I18" s="112">
        <f>E11-J11</f>
        <v>-669403.81744703464</v>
      </c>
      <c r="J18" s="113">
        <f t="shared" ref="J18:J20" si="2">E11/J11-1</f>
        <v>-5.194589981535469E-2</v>
      </c>
      <c r="K18" s="451">
        <f>G18-'[7]Change Narrative (Proton Flare)'!G18</f>
        <v>0</v>
      </c>
      <c r="L18" s="425"/>
    </row>
    <row r="19" spans="2:14" ht="48" customHeight="1" x14ac:dyDescent="0.35">
      <c r="B19" s="429" t="s">
        <v>33</v>
      </c>
      <c r="C19" s="476" t="s">
        <v>663</v>
      </c>
      <c r="D19" s="477"/>
      <c r="E19" s="477"/>
      <c r="G19" s="112">
        <f>D12-I12</f>
        <v>2551533.8432278149</v>
      </c>
      <c r="H19" s="401">
        <f>D12/I12-1</f>
        <v>9.803519071195077E-2</v>
      </c>
      <c r="I19" s="112">
        <f t="shared" ref="I19" si="3">E12-J12</f>
        <v>2551533.8432278149</v>
      </c>
      <c r="J19" s="401">
        <f t="shared" si="2"/>
        <v>9.803519071195077E-2</v>
      </c>
      <c r="K19" s="451">
        <f>G19-'[7]Change Narrative (Proton Flare)'!G19</f>
        <v>-675106.99622460082</v>
      </c>
      <c r="L19" s="405"/>
      <c r="M19" s="404"/>
      <c r="N19" s="405"/>
    </row>
    <row r="20" spans="2:14" ht="20" customHeight="1" x14ac:dyDescent="0.35">
      <c r="B20" s="429" t="s">
        <v>31</v>
      </c>
      <c r="C20" s="476" t="s">
        <v>664</v>
      </c>
      <c r="D20" s="477"/>
      <c r="E20" s="477"/>
      <c r="G20" s="254">
        <f>D13-I13</f>
        <v>-397736.78727453202</v>
      </c>
      <c r="H20" s="426">
        <f t="shared" si="1"/>
        <v>-2.1720219565518173E-2</v>
      </c>
      <c r="I20" s="114">
        <f>E13-J13</f>
        <v>-47728.414472943638</v>
      </c>
      <c r="J20" s="426">
        <f t="shared" si="2"/>
        <v>-2.1720219565518062E-2</v>
      </c>
      <c r="K20" s="451">
        <f>G20-'[7]Change Narrative (Proton Flare)'!G20</f>
        <v>0</v>
      </c>
      <c r="M20" s="404"/>
      <c r="N20" s="405"/>
    </row>
    <row r="21" spans="2:14" ht="16.5" customHeight="1" x14ac:dyDescent="0.35">
      <c r="B21"/>
      <c r="C21"/>
      <c r="D21"/>
      <c r="E21"/>
      <c r="F21"/>
      <c r="G21"/>
      <c r="H21" s="194"/>
      <c r="J21"/>
    </row>
    <row r="22" spans="2:14" x14ac:dyDescent="0.35">
      <c r="G22" s="478" t="s">
        <v>669</v>
      </c>
      <c r="H22" s="479"/>
      <c r="I22" s="479"/>
      <c r="J22" s="480"/>
    </row>
    <row r="23" spans="2:14" x14ac:dyDescent="0.35">
      <c r="G23" s="481"/>
      <c r="H23" s="482"/>
      <c r="I23" s="482"/>
      <c r="J23" s="483"/>
    </row>
    <row r="24" spans="2:14" x14ac:dyDescent="0.35">
      <c r="G24" s="481"/>
      <c r="H24" s="482"/>
      <c r="I24" s="482"/>
      <c r="J24" s="483"/>
    </row>
    <row r="25" spans="2:14" x14ac:dyDescent="0.35">
      <c r="G25" s="481"/>
      <c r="H25" s="482"/>
      <c r="I25" s="482"/>
      <c r="J25" s="483"/>
    </row>
    <row r="26" spans="2:14" x14ac:dyDescent="0.35">
      <c r="G26" s="481"/>
      <c r="H26" s="482"/>
      <c r="I26" s="482"/>
      <c r="J26" s="483"/>
    </row>
    <row r="27" spans="2:14" x14ac:dyDescent="0.35">
      <c r="G27" s="481"/>
      <c r="H27" s="482"/>
      <c r="I27" s="482"/>
      <c r="J27" s="483"/>
    </row>
    <row r="28" spans="2:14" x14ac:dyDescent="0.35">
      <c r="G28" s="481"/>
      <c r="H28" s="482"/>
      <c r="I28" s="482"/>
      <c r="J28" s="483"/>
    </row>
    <row r="29" spans="2:14" x14ac:dyDescent="0.35">
      <c r="G29" s="484"/>
      <c r="H29" s="485"/>
      <c r="I29" s="485"/>
      <c r="J29" s="486"/>
    </row>
    <row r="30" spans="2:14" x14ac:dyDescent="0.35">
      <c r="G30" s="196"/>
      <c r="H30" s="196"/>
      <c r="I30" s="196"/>
      <c r="J30" s="196"/>
    </row>
    <row r="31" spans="2:14" ht="186" customHeight="1" x14ac:dyDescent="0.35">
      <c r="G31" s="487" t="s">
        <v>653</v>
      </c>
      <c r="H31" s="488"/>
      <c r="I31" s="488"/>
      <c r="J31" s="489"/>
    </row>
  </sheetData>
  <mergeCells count="10">
    <mergeCell ref="G22:J29"/>
    <mergeCell ref="G31:J31"/>
    <mergeCell ref="C18:E18"/>
    <mergeCell ref="C19:E19"/>
    <mergeCell ref="C20:E20"/>
    <mergeCell ref="B7:E7"/>
    <mergeCell ref="G7:J7"/>
    <mergeCell ref="G9:H9"/>
    <mergeCell ref="C16:E16"/>
    <mergeCell ref="C17:E1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1AB2-1C59-4D39-AEA8-F2E4D977BDE3}">
  <sheetPr codeName="Sheet15">
    <tabColor rgb="FF00B0F0"/>
  </sheetPr>
  <dimension ref="B2:N32"/>
  <sheetViews>
    <sheetView tabSelected="1" zoomScale="107" zoomScaleNormal="145" workbookViewId="0">
      <selection activeCell="J17" sqref="J17"/>
    </sheetView>
  </sheetViews>
  <sheetFormatPr defaultColWidth="9.08984375" defaultRowHeight="14.5" x14ac:dyDescent="0.35"/>
  <cols>
    <col min="1" max="1" width="3.54296875" style="82" customWidth="1"/>
    <col min="2" max="2" width="8.453125" style="82" customWidth="1"/>
    <col min="3" max="3" width="49.6328125" style="82" customWidth="1"/>
    <col min="4" max="5" width="15.08984375" style="82" bestFit="1" customWidth="1"/>
    <col min="6" max="6" width="3.08984375" style="82" customWidth="1"/>
    <col min="7" max="7" width="17.6328125" style="82" customWidth="1"/>
    <col min="8" max="8" width="23.90625" style="82" customWidth="1"/>
    <col min="9" max="9" width="17.90625" style="82" bestFit="1" customWidth="1"/>
    <col min="10" max="10" width="14" style="82" bestFit="1" customWidth="1"/>
    <col min="11" max="11" width="26.54296875" style="82" customWidth="1"/>
    <col min="12" max="12" width="12.90625" style="82" bestFit="1" customWidth="1"/>
    <col min="13" max="13" width="22" style="82" bestFit="1" customWidth="1"/>
    <col min="14" max="14" width="18.08984375" style="82" bestFit="1" customWidth="1"/>
    <col min="15" max="15" width="9.08984375" style="82"/>
    <col min="16" max="16" width="19.08984375" style="82" bestFit="1" customWidth="1"/>
    <col min="17" max="17" width="15.54296875" style="82" bestFit="1" customWidth="1"/>
    <col min="18" max="16384" width="9.08984375" style="82"/>
  </cols>
  <sheetData>
    <row r="2" spans="2:14" ht="23.5" x14ac:dyDescent="0.55000000000000004">
      <c r="B2" s="116" t="s">
        <v>38</v>
      </c>
      <c r="C2" s="116"/>
      <c r="G2" s="440"/>
      <c r="H2" s="440"/>
      <c r="I2" s="440"/>
      <c r="J2" s="440"/>
    </row>
    <row r="3" spans="2:14" x14ac:dyDescent="0.35">
      <c r="B3" s="82" t="s">
        <v>650</v>
      </c>
      <c r="C3" s="82" t="s">
        <v>162</v>
      </c>
      <c r="G3" s="440"/>
      <c r="H3" s="440"/>
      <c r="I3" s="440"/>
      <c r="J3" s="440"/>
    </row>
    <row r="4" spans="2:14" x14ac:dyDescent="0.35">
      <c r="B4" s="82" t="s">
        <v>179</v>
      </c>
      <c r="G4" s="440"/>
      <c r="H4" s="440"/>
      <c r="I4" s="440"/>
      <c r="J4" s="440"/>
    </row>
    <row r="5" spans="2:14" ht="15.5" x14ac:dyDescent="0.35">
      <c r="B5" s="141" t="s">
        <v>651</v>
      </c>
      <c r="G5" s="440"/>
      <c r="H5" s="440"/>
      <c r="I5" s="440"/>
      <c r="J5" s="440"/>
    </row>
    <row r="6" spans="2:14" x14ac:dyDescent="0.35">
      <c r="H6" s="440"/>
    </row>
    <row r="7" spans="2:14" x14ac:dyDescent="0.35">
      <c r="B7" s="467" t="s">
        <v>163</v>
      </c>
      <c r="C7" s="468"/>
      <c r="D7" s="468"/>
      <c r="E7" s="469"/>
      <c r="G7" s="470" t="s">
        <v>164</v>
      </c>
      <c r="H7" s="471"/>
      <c r="I7" s="471"/>
      <c r="J7" s="472"/>
    </row>
    <row r="8" spans="2:14" x14ac:dyDescent="0.35">
      <c r="D8" s="92" t="str">
        <f>"Current "&amp;D9</f>
        <v>Current Gross</v>
      </c>
      <c r="E8" s="92" t="str">
        <f>"Current "&amp;E9</f>
        <v>Current Net</v>
      </c>
      <c r="I8" s="92" t="str">
        <f>"Previous "&amp;I9</f>
        <v>Previous Gross</v>
      </c>
      <c r="J8" s="92" t="str">
        <f>"Previous "&amp;J9</f>
        <v>Previous Net</v>
      </c>
    </row>
    <row r="9" spans="2:14" x14ac:dyDescent="0.35">
      <c r="B9" s="93" t="s">
        <v>37</v>
      </c>
      <c r="C9" s="94" t="s">
        <v>165</v>
      </c>
      <c r="D9" s="95" t="s">
        <v>89</v>
      </c>
      <c r="E9" s="96" t="s">
        <v>90</v>
      </c>
      <c r="G9" s="473" t="s">
        <v>165</v>
      </c>
      <c r="H9" s="474"/>
      <c r="I9" s="95" t="s">
        <v>89</v>
      </c>
      <c r="J9" s="96" t="s">
        <v>90</v>
      </c>
    </row>
    <row r="10" spans="2:14" x14ac:dyDescent="0.35">
      <c r="B10" s="97" t="s">
        <v>32</v>
      </c>
      <c r="C10" s="122" t="s">
        <v>172</v>
      </c>
      <c r="D10" s="444">
        <f ca="1">Summary!D118</f>
        <v>294582388.56936425</v>
      </c>
      <c r="E10" s="445">
        <f ca="1">Summary!D119</f>
        <v>241013668.1986908</v>
      </c>
      <c r="G10" s="122" t="s">
        <v>172</v>
      </c>
      <c r="H10" s="122"/>
      <c r="I10" s="444">
        <f>'[2]Change Narrative (Space Weathe)'!D10</f>
        <v>281393233.94398534</v>
      </c>
      <c r="J10" s="445">
        <f>'[2]Change Narrative (Space Weathe)'!E10</f>
        <v>226814632.79792517</v>
      </c>
    </row>
    <row r="11" spans="2:14" x14ac:dyDescent="0.35">
      <c r="B11" s="101" t="s">
        <v>29</v>
      </c>
      <c r="C11" s="127" t="s">
        <v>172</v>
      </c>
      <c r="D11" s="442">
        <f>Summary!E118</f>
        <v>122607729.29155537</v>
      </c>
      <c r="E11" s="443">
        <f>Summary!E119</f>
        <v>49043091.716622166</v>
      </c>
      <c r="G11" s="127" t="s">
        <v>172</v>
      </c>
      <c r="H11" s="127"/>
      <c r="I11" s="442">
        <f>'[2]Change Narrative (Space Weathe)'!D11</f>
        <v>121988613.29155546</v>
      </c>
      <c r="J11" s="443">
        <f>'[2]Change Narrative (Space Weathe)'!E11</f>
        <v>50000000</v>
      </c>
    </row>
    <row r="12" spans="2:14" x14ac:dyDescent="0.35">
      <c r="B12" s="101" t="s">
        <v>33</v>
      </c>
      <c r="C12" s="127" t="s">
        <v>172</v>
      </c>
      <c r="D12" s="442">
        <f ca="1">Summary!F118</f>
        <v>184470576.48206866</v>
      </c>
      <c r="E12" s="443">
        <f ca="1">Summary!F119</f>
        <v>184470576.48206866</v>
      </c>
      <c r="G12" s="127" t="s">
        <v>172</v>
      </c>
      <c r="H12" s="127"/>
      <c r="I12" s="442">
        <f>'[2]Change Narrative (Space Weathe)'!D12</f>
        <v>169314632.79792517</v>
      </c>
      <c r="J12" s="443">
        <f>'[2]Change Narrative (Space Weathe)'!E12</f>
        <v>169314632.79792517</v>
      </c>
    </row>
    <row r="13" spans="2:14" x14ac:dyDescent="0.35">
      <c r="B13" s="101" t="s">
        <v>31</v>
      </c>
      <c r="C13" s="127" t="s">
        <v>172</v>
      </c>
      <c r="D13" s="442">
        <f>Summary!G118</f>
        <v>145235872.56181151</v>
      </c>
      <c r="E13" s="443">
        <f>Summary!G119</f>
        <v>7500000</v>
      </c>
      <c r="G13" s="127" t="s">
        <v>172</v>
      </c>
      <c r="H13" s="127"/>
      <c r="I13" s="442">
        <f>'[2]Change Narrative (Space Weathe)'!D13</f>
        <v>150904392.43874541</v>
      </c>
      <c r="J13" s="443">
        <f>'[2]Change Narrative (Space Weathe)'!E13</f>
        <v>7500000</v>
      </c>
    </row>
    <row r="14" spans="2:14" ht="15.5" x14ac:dyDescent="0.35">
      <c r="B14" s="133"/>
      <c r="C14" s="135"/>
      <c r="D14" s="135"/>
      <c r="E14" s="135"/>
      <c r="F14" s="136"/>
      <c r="G14" s="135"/>
      <c r="H14" s="135"/>
      <c r="I14" s="135"/>
      <c r="J14" s="135"/>
      <c r="K14" s="432"/>
      <c r="L14" s="432"/>
      <c r="M14" s="432"/>
      <c r="N14"/>
    </row>
    <row r="15" spans="2:14" ht="15.5" x14ac:dyDescent="0.35">
      <c r="C15" s="134"/>
      <c r="D15" s="134"/>
      <c r="E15" s="134"/>
      <c r="F15" s="134"/>
      <c r="G15" s="134"/>
      <c r="H15" s="134"/>
      <c r="I15" s="134"/>
      <c r="J15" s="134"/>
      <c r="M15" s="432"/>
    </row>
    <row r="16" spans="2:14" ht="15.5" x14ac:dyDescent="0.35">
      <c r="C16" s="490" t="s">
        <v>166</v>
      </c>
      <c r="D16" s="491"/>
      <c r="E16" s="492"/>
      <c r="F16" s="134"/>
      <c r="G16" s="137" t="s">
        <v>167</v>
      </c>
      <c r="H16" s="137" t="s">
        <v>168</v>
      </c>
      <c r="I16" s="137" t="s">
        <v>169</v>
      </c>
      <c r="J16" s="137" t="s">
        <v>170</v>
      </c>
      <c r="M16" s="432"/>
    </row>
    <row r="17" spans="2:13" ht="77" customHeight="1" x14ac:dyDescent="0.35">
      <c r="B17" s="108" t="s">
        <v>32</v>
      </c>
      <c r="C17" s="493" t="s">
        <v>665</v>
      </c>
      <c r="D17" s="494"/>
      <c r="E17" s="495"/>
      <c r="F17" s="134"/>
      <c r="G17" s="138">
        <f ca="1">D10-I10</f>
        <v>13189154.625378907</v>
      </c>
      <c r="H17" s="430">
        <f ca="1">D10/I10-1</f>
        <v>4.6870901764483719E-2</v>
      </c>
      <c r="I17" s="138">
        <f ca="1">E10-J10</f>
        <v>14199035.400765628</v>
      </c>
      <c r="J17" s="430">
        <f ca="1">E10/J10-1</f>
        <v>6.2601937210179592E-2</v>
      </c>
      <c r="K17" s="440">
        <f ca="1">G17-'[7]Change Narrative (Space Weathe)'!G17</f>
        <v>-4908284.9059802294</v>
      </c>
      <c r="L17" s="405">
        <f ca="1">Summary!D42-[7]Summary!$D$42</f>
        <v>-4908284.9059802294</v>
      </c>
      <c r="M17" s="432"/>
    </row>
    <row r="18" spans="2:13" ht="60.65" customHeight="1" x14ac:dyDescent="0.35">
      <c r="B18" s="111" t="s">
        <v>29</v>
      </c>
      <c r="C18" s="493" t="s">
        <v>666</v>
      </c>
      <c r="D18" s="494"/>
      <c r="E18" s="495"/>
      <c r="F18" s="134"/>
      <c r="G18" s="139">
        <f>D11-I11</f>
        <v>619115.99999991059</v>
      </c>
      <c r="H18" s="140">
        <f>D11/I11-1</f>
        <v>5.07519499807918E-3</v>
      </c>
      <c r="I18" s="139">
        <f>E11-J11</f>
        <v>-956908.28337783366</v>
      </c>
      <c r="J18" s="140">
        <f>E11/J11-1</f>
        <v>-1.9138165667556661E-2</v>
      </c>
      <c r="K18" s="440">
        <f>G18-'[7]Change Narrative (Space Weathe)'!G18</f>
        <v>0</v>
      </c>
      <c r="M18" s="432"/>
    </row>
    <row r="19" spans="2:13" ht="63.65" customHeight="1" x14ac:dyDescent="0.35">
      <c r="B19" s="111" t="s">
        <v>33</v>
      </c>
      <c r="C19" s="493" t="s">
        <v>667</v>
      </c>
      <c r="D19" s="494"/>
      <c r="E19" s="495"/>
      <c r="F19" s="134"/>
      <c r="G19" s="139">
        <f ca="1">D12-I12</f>
        <v>15155943.684143484</v>
      </c>
      <c r="H19" s="140">
        <f t="shared" ref="H19:H20" ca="1" si="0">D12/I12-1</f>
        <v>8.9513489966528192E-2</v>
      </c>
      <c r="I19" s="139">
        <f ca="1">E12-J12</f>
        <v>15155943.684143484</v>
      </c>
      <c r="J19" s="140">
        <f t="shared" ref="J19:J20" ca="1" si="1">E12/J12-1</f>
        <v>8.9513489966528192E-2</v>
      </c>
      <c r="K19" s="440">
        <f ca="1">G19-'[7]Change Narrative (Space Weathe)'!G19</f>
        <v>-4908284.9059802294</v>
      </c>
      <c r="M19"/>
    </row>
    <row r="20" spans="2:13" ht="48" customHeight="1" x14ac:dyDescent="0.35">
      <c r="B20" s="101" t="s">
        <v>31</v>
      </c>
      <c r="C20" s="493" t="s">
        <v>673</v>
      </c>
      <c r="D20" s="494"/>
      <c r="E20" s="495"/>
      <c r="F20" s="134"/>
      <c r="G20" s="139">
        <f>D13-I13</f>
        <v>-5668519.8769339025</v>
      </c>
      <c r="H20" s="140">
        <f t="shared" si="0"/>
        <v>-3.7563650635516477E-2</v>
      </c>
      <c r="I20" s="139">
        <f t="shared" ref="I20" si="2">E13-J13</f>
        <v>0</v>
      </c>
      <c r="J20" s="140">
        <f t="shared" si="1"/>
        <v>0</v>
      </c>
      <c r="K20" s="440">
        <f>G20-'[7]Change Narrative (Space Weathe)'!G20</f>
        <v>0</v>
      </c>
    </row>
    <row r="21" spans="2:13" ht="12.75" customHeight="1" x14ac:dyDescent="0.35">
      <c r="B21"/>
      <c r="C21"/>
      <c r="D21"/>
      <c r="E21"/>
      <c r="F21"/>
      <c r="G21" s="133"/>
      <c r="H21" s="133"/>
      <c r="I21" s="133"/>
      <c r="J21" s="133"/>
      <c r="K21"/>
      <c r="L21"/>
      <c r="M21"/>
    </row>
    <row r="22" spans="2:13" x14ac:dyDescent="0.35">
      <c r="G22" s="478" t="s">
        <v>670</v>
      </c>
      <c r="H22" s="496"/>
      <c r="I22" s="496"/>
      <c r="J22" s="497"/>
    </row>
    <row r="23" spans="2:13" x14ac:dyDescent="0.35">
      <c r="G23" s="498"/>
      <c r="H23" s="499"/>
      <c r="I23" s="499"/>
      <c r="J23" s="500"/>
    </row>
    <row r="24" spans="2:13" x14ac:dyDescent="0.35">
      <c r="G24" s="498"/>
      <c r="H24" s="499"/>
      <c r="I24" s="499"/>
      <c r="J24" s="500"/>
    </row>
    <row r="25" spans="2:13" x14ac:dyDescent="0.35">
      <c r="G25" s="498"/>
      <c r="H25" s="499"/>
      <c r="I25" s="499"/>
      <c r="J25" s="500"/>
    </row>
    <row r="26" spans="2:13" x14ac:dyDescent="0.35">
      <c r="G26" s="498"/>
      <c r="H26" s="499"/>
      <c r="I26" s="499"/>
      <c r="J26" s="500"/>
    </row>
    <row r="27" spans="2:13" x14ac:dyDescent="0.35">
      <c r="G27" s="498"/>
      <c r="H27" s="499"/>
      <c r="I27" s="499"/>
      <c r="J27" s="500"/>
    </row>
    <row r="28" spans="2:13" x14ac:dyDescent="0.35">
      <c r="G28" s="498"/>
      <c r="H28" s="499"/>
      <c r="I28" s="499"/>
      <c r="J28" s="500"/>
    </row>
    <row r="29" spans="2:13" x14ac:dyDescent="0.35">
      <c r="G29" s="498"/>
      <c r="H29" s="499"/>
      <c r="I29" s="499"/>
      <c r="J29" s="500"/>
    </row>
    <row r="30" spans="2:13" x14ac:dyDescent="0.35">
      <c r="G30" s="501"/>
      <c r="H30" s="502"/>
      <c r="I30" s="502"/>
      <c r="J30" s="503"/>
    </row>
    <row r="31" spans="2:13" x14ac:dyDescent="0.35">
      <c r="G31" s="196"/>
      <c r="H31" s="196"/>
      <c r="I31" s="196"/>
      <c r="J31" s="196"/>
    </row>
    <row r="32" spans="2:13" ht="178.5" customHeight="1" x14ac:dyDescent="0.35">
      <c r="G32" s="487" t="s">
        <v>652</v>
      </c>
      <c r="H32" s="504"/>
      <c r="I32" s="504"/>
      <c r="J32" s="505"/>
    </row>
  </sheetData>
  <mergeCells count="10">
    <mergeCell ref="G22:J30"/>
    <mergeCell ref="G32:J32"/>
    <mergeCell ref="C18:E18"/>
    <mergeCell ref="C19:E19"/>
    <mergeCell ref="C20:E20"/>
    <mergeCell ref="B7:E7"/>
    <mergeCell ref="G7:J7"/>
    <mergeCell ref="G9:H9"/>
    <mergeCell ref="C16:E16"/>
    <mergeCell ref="C17:E1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B647-09B0-4151-A94E-02E4D5BC51A4}">
  <sheetPr codeName="Sheet16">
    <tabColor rgb="FF00B0F0"/>
  </sheetPr>
  <dimension ref="B2:N33"/>
  <sheetViews>
    <sheetView zoomScale="112" zoomScaleNormal="100" workbookViewId="0">
      <selection activeCell="C20" sqref="C20:E20"/>
    </sheetView>
  </sheetViews>
  <sheetFormatPr defaultColWidth="9.08984375" defaultRowHeight="14.5" x14ac:dyDescent="0.35"/>
  <cols>
    <col min="1" max="1" width="9.08984375" style="82"/>
    <col min="2" max="2" width="16.08984375" style="82" bestFit="1" customWidth="1"/>
    <col min="3" max="3" width="61.08984375" style="82" customWidth="1"/>
    <col min="4" max="4" width="16.90625" style="82" bestFit="1" customWidth="1"/>
    <col min="5" max="5" width="15.90625" style="82" bestFit="1" customWidth="1"/>
    <col min="6" max="6" width="3.08984375" style="82" customWidth="1"/>
    <col min="7" max="7" width="22" style="82" customWidth="1"/>
    <col min="8" max="8" width="16.90625" style="82" customWidth="1"/>
    <col min="9" max="9" width="19.08984375" style="82" bestFit="1" customWidth="1"/>
    <col min="10" max="10" width="15.54296875" style="82" bestFit="1" customWidth="1"/>
    <col min="11" max="11" width="34" style="82" customWidth="1"/>
    <col min="12" max="12" width="13.54296875" style="82" bestFit="1" customWidth="1"/>
    <col min="13" max="13" width="22.08984375" style="82" bestFit="1" customWidth="1"/>
    <col min="14" max="14" width="18.08984375" style="82" bestFit="1" customWidth="1"/>
    <col min="15" max="15" width="9.08984375" style="82"/>
    <col min="16" max="16" width="19.08984375" style="82" bestFit="1" customWidth="1"/>
    <col min="17" max="17" width="15.54296875" style="82" bestFit="1" customWidth="1"/>
    <col min="18" max="16384" width="9.08984375" style="82"/>
  </cols>
  <sheetData>
    <row r="2" spans="2:14" ht="23.5" x14ac:dyDescent="0.55000000000000004">
      <c r="B2" s="195" t="s">
        <v>39</v>
      </c>
      <c r="G2" s="440"/>
      <c r="H2" s="440"/>
    </row>
    <row r="3" spans="2:14" x14ac:dyDescent="0.35">
      <c r="B3" s="82" t="s">
        <v>650</v>
      </c>
      <c r="C3" s="82" t="s">
        <v>162</v>
      </c>
      <c r="G3" s="440"/>
      <c r="H3" s="440"/>
    </row>
    <row r="4" spans="2:14" x14ac:dyDescent="0.35">
      <c r="G4" s="440"/>
      <c r="H4" s="440"/>
      <c r="I4" s="440"/>
    </row>
    <row r="5" spans="2:14" x14ac:dyDescent="0.35">
      <c r="B5" s="279" t="s">
        <v>655</v>
      </c>
      <c r="G5" s="440"/>
      <c r="H5" s="440"/>
    </row>
    <row r="7" spans="2:14" x14ac:dyDescent="0.35">
      <c r="B7" s="467" t="s">
        <v>163</v>
      </c>
      <c r="C7" s="468"/>
      <c r="D7" s="468"/>
      <c r="E7" s="469"/>
      <c r="G7" s="470" t="s">
        <v>164</v>
      </c>
      <c r="H7" s="471"/>
      <c r="I7" s="471"/>
      <c r="J7" s="472"/>
    </row>
    <row r="8" spans="2:14" x14ac:dyDescent="0.35">
      <c r="D8" s="92" t="str">
        <f>"Current "&amp;D9</f>
        <v>Current Gross</v>
      </c>
      <c r="E8" s="92" t="str">
        <f>"Current "&amp;E9</f>
        <v>Current Net</v>
      </c>
      <c r="I8" s="92" t="str">
        <f>"Previous "&amp;I9</f>
        <v>Previous Gross</v>
      </c>
      <c r="J8" s="92" t="str">
        <f>"Previous "&amp;J9</f>
        <v>Previous Net</v>
      </c>
    </row>
    <row r="9" spans="2:14" x14ac:dyDescent="0.35">
      <c r="B9" s="93" t="s">
        <v>37</v>
      </c>
      <c r="C9" s="94" t="s">
        <v>165</v>
      </c>
      <c r="D9" s="95" t="s">
        <v>89</v>
      </c>
      <c r="E9" s="96" t="s">
        <v>90</v>
      </c>
      <c r="G9" s="473" t="s">
        <v>165</v>
      </c>
      <c r="H9" s="474"/>
      <c r="I9" s="95" t="s">
        <v>89</v>
      </c>
      <c r="J9" s="96" t="s">
        <v>90</v>
      </c>
    </row>
    <row r="10" spans="2:14" x14ac:dyDescent="0.35">
      <c r="B10" s="97" t="s">
        <v>32</v>
      </c>
      <c r="C10" s="122" t="s">
        <v>172</v>
      </c>
      <c r="D10" s="99">
        <f>Summary!D80</f>
        <v>147038280.00260246</v>
      </c>
      <c r="E10" s="100">
        <f>Summary!D81</f>
        <v>120368409.7954734</v>
      </c>
      <c r="G10" s="122" t="s">
        <v>172</v>
      </c>
      <c r="H10" s="122"/>
      <c r="I10" s="99">
        <f>'[2]Change Narrative (Gen Defect)'!D10</f>
        <v>142401515.99494335</v>
      </c>
      <c r="J10" s="100">
        <f>'[2]Change Narrative (Gen Defect)'!E10</f>
        <v>114706154.75666051</v>
      </c>
      <c r="L10" s="150"/>
      <c r="M10" s="150"/>
    </row>
    <row r="11" spans="2:14" x14ac:dyDescent="0.35">
      <c r="B11" s="101" t="s">
        <v>29</v>
      </c>
      <c r="C11" s="127" t="s">
        <v>172</v>
      </c>
      <c r="D11" s="102">
        <f>Summary!E80</f>
        <v>93137025.012543261</v>
      </c>
      <c r="E11" s="103">
        <f>Summary!E81</f>
        <v>38134809.70101729</v>
      </c>
      <c r="G11" s="127" t="s">
        <v>172</v>
      </c>
      <c r="H11" s="127"/>
      <c r="I11" s="102">
        <f>'[2]Change Narrative (Gen Defect)'!D11</f>
        <v>94734904.734359875</v>
      </c>
      <c r="J11" s="103">
        <f>'[2]Change Narrative (Gen Defect)'!E11</f>
        <v>39197245.149743937</v>
      </c>
      <c r="L11" s="150"/>
      <c r="M11" s="150"/>
    </row>
    <row r="12" spans="2:14" x14ac:dyDescent="0.35">
      <c r="B12" s="101" t="s">
        <v>33</v>
      </c>
      <c r="C12" s="127" t="s">
        <v>172</v>
      </c>
      <c r="D12" s="102">
        <f>Summary!F80</f>
        <v>77408120.971683815</v>
      </c>
      <c r="E12" s="103">
        <f>Summary!F81</f>
        <v>77408120.971683815</v>
      </c>
      <c r="G12" s="127" t="s">
        <v>172</v>
      </c>
      <c r="H12" s="127"/>
      <c r="I12" s="102">
        <f>'[2]Change Narrative (Gen Defect)'!D12</f>
        <v>70259881.432070032</v>
      </c>
      <c r="J12" s="103">
        <f>'[2]Change Narrative (Gen Defect)'!E12</f>
        <v>70259881.432070032</v>
      </c>
      <c r="L12" s="150"/>
      <c r="M12" s="150"/>
    </row>
    <row r="13" spans="2:14" x14ac:dyDescent="0.35">
      <c r="B13" s="101" t="s">
        <v>31</v>
      </c>
      <c r="C13" s="127" t="s">
        <v>172</v>
      </c>
      <c r="D13" s="102">
        <f>Summary!G80</f>
        <v>40212326.023101956</v>
      </c>
      <c r="E13" s="103">
        <f>Summary!G81</f>
        <v>4825479.1227722345</v>
      </c>
      <c r="G13" s="127" t="s">
        <v>172</v>
      </c>
      <c r="H13" s="127"/>
      <c r="I13" s="102">
        <f>'[2]Change Narrative (Gen Defect)'!D13</f>
        <v>43741901.457054235</v>
      </c>
      <c r="J13" s="103">
        <f>'[2]Change Narrative (Gen Defect)'!E13</f>
        <v>5249028.1748465076</v>
      </c>
      <c r="L13" s="150"/>
      <c r="M13" s="150"/>
    </row>
    <row r="14" spans="2:14" x14ac:dyDescent="0.35">
      <c r="B14" s="133"/>
      <c r="C14" s="133"/>
      <c r="D14" s="133"/>
      <c r="E14" s="133"/>
      <c r="F14"/>
      <c r="G14" s="133"/>
      <c r="H14" s="133"/>
      <c r="I14" s="133"/>
      <c r="J14" s="133"/>
      <c r="K14"/>
      <c r="L14"/>
      <c r="M14"/>
      <c r="N14"/>
    </row>
    <row r="16" spans="2:14" x14ac:dyDescent="0.35">
      <c r="C16" s="473" t="s">
        <v>166</v>
      </c>
      <c r="D16" s="474"/>
      <c r="E16" s="475"/>
      <c r="G16" s="107" t="s">
        <v>167</v>
      </c>
      <c r="H16" s="107" t="s">
        <v>168</v>
      </c>
      <c r="I16" s="107" t="s">
        <v>169</v>
      </c>
      <c r="J16" s="107" t="s">
        <v>170</v>
      </c>
    </row>
    <row r="17" spans="2:12" ht="75.650000000000006" customHeight="1" x14ac:dyDescent="0.35">
      <c r="B17" s="108" t="s">
        <v>32</v>
      </c>
      <c r="C17" s="506" t="s">
        <v>678</v>
      </c>
      <c r="D17" s="507"/>
      <c r="E17" s="507"/>
      <c r="G17" s="109">
        <f>D10-I10</f>
        <v>4636764.0076591074</v>
      </c>
      <c r="H17" s="110">
        <f>D10/I10-1</f>
        <v>3.2561198350049558E-2</v>
      </c>
      <c r="I17" s="109">
        <f>E10-J10</f>
        <v>5662255.0388128906</v>
      </c>
      <c r="J17" s="110">
        <f>E10/J10-1</f>
        <v>4.9363131828670248E-2</v>
      </c>
      <c r="K17" s="440">
        <f>G17-'[7]Change Narrative (Gen Defect)'!G17</f>
        <v>-1641880.6674492061</v>
      </c>
      <c r="L17" s="405">
        <f>Summary!D43-[7]Summary!$D$43</f>
        <v>-1641880.6674492061</v>
      </c>
    </row>
    <row r="18" spans="2:12" ht="33.65" customHeight="1" x14ac:dyDescent="0.35">
      <c r="B18" s="111" t="s">
        <v>29</v>
      </c>
      <c r="C18" s="476" t="s">
        <v>674</v>
      </c>
      <c r="D18" s="477"/>
      <c r="E18" s="477"/>
      <c r="G18" s="112">
        <f t="shared" ref="G18:G19" si="0">D11-I11</f>
        <v>-1597879.7218166143</v>
      </c>
      <c r="H18" s="113">
        <f>D11/I11-1</f>
        <v>-1.6866853102318835E-2</v>
      </c>
      <c r="I18" s="112">
        <f t="shared" ref="I18:I20" si="1">E11-J11</f>
        <v>-1062435.4487266466</v>
      </c>
      <c r="J18" s="113">
        <f>E11/J11-1</f>
        <v>-2.710484996248741E-2</v>
      </c>
      <c r="K18" s="440">
        <f>G18-'[7]Change Narrative (Gen Defect)'!G18</f>
        <v>0</v>
      </c>
    </row>
    <row r="19" spans="2:12" ht="63" customHeight="1" x14ac:dyDescent="0.35">
      <c r="B19" s="111" t="s">
        <v>33</v>
      </c>
      <c r="C19" s="508" t="s">
        <v>679</v>
      </c>
      <c r="D19" s="509"/>
      <c r="E19" s="510"/>
      <c r="G19" s="112">
        <f t="shared" si="0"/>
        <v>7148239.5396137834</v>
      </c>
      <c r="H19" s="113">
        <f t="shared" ref="H19" si="2">D12/I12-1</f>
        <v>0.10173998865234313</v>
      </c>
      <c r="I19" s="112">
        <f t="shared" si="1"/>
        <v>7148239.5396137834</v>
      </c>
      <c r="J19" s="113">
        <f t="shared" ref="J19:J20" si="3">E12/J12-1</f>
        <v>0.10173998865234313</v>
      </c>
      <c r="K19" s="440">
        <f>G19-'[7]Change Narrative (Gen Defect)'!G19</f>
        <v>-1641880.6674492061</v>
      </c>
    </row>
    <row r="20" spans="2:12" ht="33.65" customHeight="1" x14ac:dyDescent="0.35">
      <c r="B20" s="101" t="s">
        <v>31</v>
      </c>
      <c r="C20" s="476" t="s">
        <v>656</v>
      </c>
      <c r="D20" s="477"/>
      <c r="E20" s="477"/>
      <c r="G20" s="114">
        <f>D13-I13</f>
        <v>-3529575.4339522794</v>
      </c>
      <c r="H20" s="115">
        <f>D13/I13-1</f>
        <v>-8.069094658396625E-2</v>
      </c>
      <c r="I20" s="114">
        <f t="shared" si="1"/>
        <v>-423549.05207427312</v>
      </c>
      <c r="J20" s="115">
        <f t="shared" si="3"/>
        <v>-8.069094658396625E-2</v>
      </c>
      <c r="K20" s="440">
        <f>G20-'[7]Change Narrative (Gen Defect)'!G20</f>
        <v>0</v>
      </c>
    </row>
    <row r="21" spans="2:12" customFormat="1" ht="16.5" customHeight="1" x14ac:dyDescent="0.35">
      <c r="I21" s="438"/>
    </row>
    <row r="23" spans="2:12" x14ac:dyDescent="0.35">
      <c r="G23" s="478" t="s">
        <v>668</v>
      </c>
      <c r="H23" s="496"/>
      <c r="I23" s="496"/>
      <c r="J23" s="497"/>
    </row>
    <row r="24" spans="2:12" x14ac:dyDescent="0.35">
      <c r="G24" s="498"/>
      <c r="H24" s="499"/>
      <c r="I24" s="499"/>
      <c r="J24" s="500"/>
    </row>
    <row r="25" spans="2:12" x14ac:dyDescent="0.35">
      <c r="G25" s="498"/>
      <c r="H25" s="499"/>
      <c r="I25" s="499"/>
      <c r="J25" s="500"/>
    </row>
    <row r="26" spans="2:12" x14ac:dyDescent="0.35">
      <c r="G26" s="498"/>
      <c r="H26" s="499"/>
      <c r="I26" s="499"/>
      <c r="J26" s="500"/>
    </row>
    <row r="27" spans="2:12" x14ac:dyDescent="0.35">
      <c r="G27" s="498"/>
      <c r="H27" s="499"/>
      <c r="I27" s="499"/>
      <c r="J27" s="500"/>
    </row>
    <row r="28" spans="2:12" x14ac:dyDescent="0.35">
      <c r="G28" s="498"/>
      <c r="H28" s="499"/>
      <c r="I28" s="499"/>
      <c r="J28" s="500"/>
    </row>
    <row r="29" spans="2:12" x14ac:dyDescent="0.35">
      <c r="G29" s="498"/>
      <c r="H29" s="499"/>
      <c r="I29" s="499"/>
      <c r="J29" s="500"/>
    </row>
    <row r="30" spans="2:12" x14ac:dyDescent="0.35">
      <c r="G30" s="498"/>
      <c r="H30" s="499"/>
      <c r="I30" s="499"/>
      <c r="J30" s="500"/>
    </row>
    <row r="31" spans="2:12" x14ac:dyDescent="0.35">
      <c r="G31" s="501"/>
      <c r="H31" s="502"/>
      <c r="I31" s="502"/>
      <c r="J31" s="503"/>
    </row>
    <row r="32" spans="2:12" x14ac:dyDescent="0.35">
      <c r="G32" s="196"/>
      <c r="H32" s="196"/>
      <c r="I32" s="196"/>
      <c r="J32" s="196"/>
    </row>
    <row r="33" spans="7:10" ht="194.25" customHeight="1" x14ac:dyDescent="0.35">
      <c r="G33" s="487" t="s">
        <v>652</v>
      </c>
      <c r="H33" s="504"/>
      <c r="I33" s="504"/>
      <c r="J33" s="505"/>
    </row>
  </sheetData>
  <mergeCells count="10">
    <mergeCell ref="G23:J31"/>
    <mergeCell ref="G33:J33"/>
    <mergeCell ref="C18:E18"/>
    <mergeCell ref="C19:E19"/>
    <mergeCell ref="C20:E20"/>
    <mergeCell ref="B7:E7"/>
    <mergeCell ref="G7:J7"/>
    <mergeCell ref="G9:H9"/>
    <mergeCell ref="C16:E16"/>
    <mergeCell ref="C17:E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3E0A-E6E3-4841-BA37-C959F741A192}">
  <sheetPr codeName="Sheet20"/>
  <dimension ref="A1:J83"/>
  <sheetViews>
    <sheetView workbookViewId="0"/>
  </sheetViews>
  <sheetFormatPr defaultRowHeight="14.5" x14ac:dyDescent="0.35"/>
  <cols>
    <col min="3" max="3" width="10.08984375" bestFit="1" customWidth="1"/>
    <col min="9" max="9" width="10.08984375" bestFit="1" customWidth="1"/>
    <col min="10" max="10" width="9.90625" bestFit="1" customWidth="1"/>
  </cols>
  <sheetData>
    <row r="1" spans="1:10" x14ac:dyDescent="0.35">
      <c r="A1" s="12" t="s">
        <v>116</v>
      </c>
      <c r="B1" s="12" t="s">
        <v>68</v>
      </c>
      <c r="C1" s="12" t="s">
        <v>34</v>
      </c>
      <c r="G1" s="12" t="s">
        <v>116</v>
      </c>
      <c r="H1" s="12" t="s">
        <v>68</v>
      </c>
      <c r="I1" s="12" t="s">
        <v>34</v>
      </c>
    </row>
    <row r="2" spans="1:10" x14ac:dyDescent="0.35">
      <c r="A2" s="14">
        <v>369185</v>
      </c>
      <c r="B2" s="89">
        <v>0.2</v>
      </c>
      <c r="C2" s="13">
        <v>1599997.12</v>
      </c>
      <c r="D2" t="e">
        <f>VLOOKUP(A2,$G$2:$I$81,3,FALSE)</f>
        <v>#N/A</v>
      </c>
      <c r="G2" s="14">
        <v>356641</v>
      </c>
      <c r="H2" s="89">
        <v>0.85</v>
      </c>
      <c r="I2" s="13">
        <v>7286795.7324246</v>
      </c>
      <c r="J2">
        <f>VLOOKUP(G2,$A$2:$C$74,3,FALSE)</f>
        <v>7285877.7109149769</v>
      </c>
    </row>
    <row r="3" spans="1:10" x14ac:dyDescent="0.35">
      <c r="A3" s="14">
        <v>366272</v>
      </c>
      <c r="B3" s="89">
        <v>0.2</v>
      </c>
      <c r="C3" s="13">
        <v>3642348.16</v>
      </c>
      <c r="D3" t="e">
        <f t="shared" ref="D3:D66" si="0">VLOOKUP(A3,$G$2:$I$81,3,FALSE)</f>
        <v>#N/A</v>
      </c>
      <c r="G3" s="14">
        <v>234484</v>
      </c>
      <c r="H3" s="89">
        <v>0.4</v>
      </c>
      <c r="I3" s="13">
        <v>8748373.4400000013</v>
      </c>
      <c r="J3">
        <f t="shared" ref="J3:J66" si="1">VLOOKUP(G3,$A$2:$C$74,3,FALSE)</f>
        <v>8748373.4400000013</v>
      </c>
    </row>
    <row r="4" spans="1:10" x14ac:dyDescent="0.35">
      <c r="A4" s="14">
        <v>366255</v>
      </c>
      <c r="B4" s="89">
        <v>0.2</v>
      </c>
      <c r="C4" s="13">
        <v>5129021.4400000004</v>
      </c>
      <c r="D4" t="e">
        <f t="shared" si="0"/>
        <v>#N/A</v>
      </c>
      <c r="G4" s="14">
        <v>297931</v>
      </c>
      <c r="H4" s="89">
        <v>0.4</v>
      </c>
      <c r="I4" s="13">
        <v>4051625.9200000004</v>
      </c>
      <c r="J4">
        <f t="shared" si="1"/>
        <v>4051625.9200000004</v>
      </c>
    </row>
    <row r="5" spans="1:10" x14ac:dyDescent="0.35">
      <c r="A5" s="14">
        <v>366254</v>
      </c>
      <c r="B5" s="89">
        <v>0.2</v>
      </c>
      <c r="C5" s="13">
        <v>3039711.04</v>
      </c>
      <c r="D5" t="e">
        <f t="shared" si="0"/>
        <v>#N/A</v>
      </c>
      <c r="G5" s="14">
        <v>306262</v>
      </c>
      <c r="H5" s="89">
        <v>0.4</v>
      </c>
      <c r="I5" s="13">
        <v>9600000</v>
      </c>
      <c r="J5">
        <f t="shared" si="1"/>
        <v>9600000</v>
      </c>
    </row>
    <row r="6" spans="1:10" x14ac:dyDescent="0.35">
      <c r="A6" s="14">
        <v>353455</v>
      </c>
      <c r="B6" s="89">
        <v>0.2</v>
      </c>
      <c r="C6" s="13">
        <v>2500768</v>
      </c>
      <c r="D6">
        <f t="shared" si="0"/>
        <v>2500768</v>
      </c>
      <c r="G6" s="14">
        <v>348664</v>
      </c>
      <c r="H6" s="89">
        <v>0.2</v>
      </c>
      <c r="I6" s="13">
        <v>1605000</v>
      </c>
      <c r="J6">
        <f t="shared" si="1"/>
        <v>1605000</v>
      </c>
    </row>
    <row r="7" spans="1:10" x14ac:dyDescent="0.35">
      <c r="A7" s="14">
        <v>356641</v>
      </c>
      <c r="B7" s="89">
        <v>0.85</v>
      </c>
      <c r="C7" s="13">
        <v>7285877.7109149769</v>
      </c>
      <c r="D7">
        <f t="shared" si="0"/>
        <v>7286795.7324246</v>
      </c>
      <c r="G7" s="14">
        <v>75465</v>
      </c>
      <c r="H7" s="89">
        <v>0.5</v>
      </c>
      <c r="I7" s="13">
        <v>7486288.5</v>
      </c>
      <c r="J7" t="e">
        <f t="shared" si="1"/>
        <v>#N/A</v>
      </c>
    </row>
    <row r="8" spans="1:10" x14ac:dyDescent="0.35">
      <c r="A8" s="14">
        <v>348664</v>
      </c>
      <c r="B8" s="89">
        <v>0.2</v>
      </c>
      <c r="C8" s="13">
        <v>1605000</v>
      </c>
      <c r="D8">
        <f t="shared" si="0"/>
        <v>1605000</v>
      </c>
      <c r="G8" s="14">
        <v>322909</v>
      </c>
      <c r="H8" s="89">
        <v>0.2</v>
      </c>
      <c r="I8" s="13">
        <v>1600000</v>
      </c>
      <c r="J8">
        <f t="shared" si="1"/>
        <v>1600000</v>
      </c>
    </row>
    <row r="9" spans="1:10" x14ac:dyDescent="0.35">
      <c r="A9" s="14">
        <v>344357</v>
      </c>
      <c r="B9" s="89">
        <v>0.2</v>
      </c>
      <c r="C9" s="13">
        <v>1760000</v>
      </c>
      <c r="D9">
        <f t="shared" si="0"/>
        <v>1760000</v>
      </c>
      <c r="G9" s="14">
        <v>236131</v>
      </c>
      <c r="H9" s="89">
        <v>0.85</v>
      </c>
      <c r="I9" s="13">
        <v>23767725.16</v>
      </c>
      <c r="J9">
        <f t="shared" si="1"/>
        <v>23767725.16</v>
      </c>
    </row>
    <row r="10" spans="1:10" x14ac:dyDescent="0.35">
      <c r="A10" s="14">
        <v>343211</v>
      </c>
      <c r="B10" s="89">
        <v>0.2</v>
      </c>
      <c r="C10" s="13">
        <v>1600000</v>
      </c>
      <c r="D10">
        <f t="shared" si="0"/>
        <v>1600000</v>
      </c>
      <c r="G10" s="14">
        <v>323874</v>
      </c>
      <c r="H10" s="89">
        <v>0.4</v>
      </c>
      <c r="I10" s="13">
        <v>10842536.55968</v>
      </c>
      <c r="J10">
        <f t="shared" si="1"/>
        <v>10842536.55968</v>
      </c>
    </row>
    <row r="11" spans="1:10" x14ac:dyDescent="0.35">
      <c r="A11" s="14">
        <v>343082</v>
      </c>
      <c r="B11" s="89">
        <v>0.2</v>
      </c>
      <c r="C11" s="13">
        <v>4853784.4053085288</v>
      </c>
      <c r="D11">
        <f t="shared" si="0"/>
        <v>4853784.4053085288</v>
      </c>
      <c r="G11" s="14">
        <v>64168</v>
      </c>
      <c r="H11" s="89">
        <v>0.5</v>
      </c>
      <c r="I11" s="13">
        <v>4955489.5</v>
      </c>
      <c r="J11">
        <f t="shared" si="1"/>
        <v>4955489.5</v>
      </c>
    </row>
    <row r="12" spans="1:10" x14ac:dyDescent="0.35">
      <c r="A12" s="14">
        <v>343083</v>
      </c>
      <c r="B12" s="89">
        <v>0.2</v>
      </c>
      <c r="C12" s="13">
        <v>2426892.0897270241</v>
      </c>
      <c r="D12">
        <f t="shared" si="0"/>
        <v>2426892.0897270241</v>
      </c>
      <c r="G12" s="14">
        <v>236133</v>
      </c>
      <c r="H12" s="89">
        <v>0.85</v>
      </c>
      <c r="I12" s="13">
        <v>15744500.360000001</v>
      </c>
      <c r="J12">
        <f t="shared" si="1"/>
        <v>15744500.360000001</v>
      </c>
    </row>
    <row r="13" spans="1:10" x14ac:dyDescent="0.35">
      <c r="A13" s="14">
        <v>340678</v>
      </c>
      <c r="B13" s="89">
        <v>0.4</v>
      </c>
      <c r="C13" s="13">
        <v>2400000</v>
      </c>
      <c r="D13">
        <f t="shared" si="0"/>
        <v>2400000</v>
      </c>
      <c r="G13" s="14">
        <v>236134</v>
      </c>
      <c r="H13" s="89">
        <v>0.85</v>
      </c>
      <c r="I13" s="13">
        <v>15330479.639999999</v>
      </c>
      <c r="J13">
        <f t="shared" si="1"/>
        <v>15330479.639999999</v>
      </c>
    </row>
    <row r="14" spans="1:10" x14ac:dyDescent="0.35">
      <c r="A14" s="14">
        <v>340974</v>
      </c>
      <c r="B14" s="89">
        <v>0.4</v>
      </c>
      <c r="C14" s="13">
        <v>3354720</v>
      </c>
      <c r="D14">
        <f t="shared" si="0"/>
        <v>3354720</v>
      </c>
      <c r="G14" s="14">
        <v>154672</v>
      </c>
      <c r="H14" s="89">
        <v>0.85</v>
      </c>
      <c r="I14" s="13">
        <v>27571489.141626745</v>
      </c>
      <c r="J14">
        <f t="shared" si="1"/>
        <v>27571489.141626745</v>
      </c>
    </row>
    <row r="15" spans="1:10" x14ac:dyDescent="0.35">
      <c r="A15" s="14">
        <v>340975</v>
      </c>
      <c r="B15" s="89">
        <v>0.4</v>
      </c>
      <c r="C15" s="13">
        <v>1985280</v>
      </c>
      <c r="D15">
        <f t="shared" si="0"/>
        <v>1985280</v>
      </c>
      <c r="G15" s="14">
        <v>236138</v>
      </c>
      <c r="H15" s="89">
        <v>0.85</v>
      </c>
      <c r="I15" s="13">
        <v>16654237.68</v>
      </c>
      <c r="J15">
        <f t="shared" si="1"/>
        <v>16654237.68</v>
      </c>
    </row>
    <row r="16" spans="1:10" x14ac:dyDescent="0.35">
      <c r="A16" s="14">
        <v>341925</v>
      </c>
      <c r="B16" s="89">
        <v>0.4</v>
      </c>
      <c r="C16" s="13">
        <v>648402.24000000011</v>
      </c>
      <c r="D16">
        <f t="shared" si="0"/>
        <v>648402.24000000011</v>
      </c>
      <c r="G16" s="14">
        <v>236137</v>
      </c>
      <c r="H16" s="89">
        <v>0.85</v>
      </c>
      <c r="I16" s="13">
        <v>15432294.68</v>
      </c>
      <c r="J16">
        <f t="shared" si="1"/>
        <v>15432294.68</v>
      </c>
    </row>
    <row r="17" spans="1:10" x14ac:dyDescent="0.35">
      <c r="A17" s="14">
        <v>341926</v>
      </c>
      <c r="B17" s="89">
        <v>0.4</v>
      </c>
      <c r="C17" s="13">
        <v>2079080.64</v>
      </c>
      <c r="D17">
        <f t="shared" si="0"/>
        <v>2079080.64</v>
      </c>
      <c r="G17" s="14">
        <v>298206</v>
      </c>
      <c r="H17" s="89">
        <v>0.4</v>
      </c>
      <c r="I17" s="13">
        <v>993103.35999999999</v>
      </c>
      <c r="J17">
        <f t="shared" si="1"/>
        <v>993103.35999999999</v>
      </c>
    </row>
    <row r="18" spans="1:10" x14ac:dyDescent="0.35">
      <c r="A18" s="14">
        <v>341916</v>
      </c>
      <c r="B18" s="89">
        <v>0.4</v>
      </c>
      <c r="C18" s="13">
        <v>684557.76</v>
      </c>
      <c r="D18">
        <f t="shared" si="0"/>
        <v>684557.76</v>
      </c>
      <c r="G18" s="14">
        <v>154670</v>
      </c>
      <c r="H18" s="89">
        <v>0.85</v>
      </c>
      <c r="I18" s="13">
        <v>15705278.97209017</v>
      </c>
      <c r="J18">
        <f t="shared" si="1"/>
        <v>15705278.97209017</v>
      </c>
    </row>
    <row r="19" spans="1:10" x14ac:dyDescent="0.35">
      <c r="A19" s="14">
        <v>337319</v>
      </c>
      <c r="B19" s="89">
        <v>0.2</v>
      </c>
      <c r="C19" s="13">
        <v>500895.44481542241</v>
      </c>
      <c r="D19">
        <f t="shared" si="0"/>
        <v>500895.44481542241</v>
      </c>
      <c r="G19" s="14">
        <v>154669</v>
      </c>
      <c r="H19" s="89">
        <v>0.85</v>
      </c>
      <c r="I19" s="13">
        <v>16403290.650678094</v>
      </c>
      <c r="J19">
        <f t="shared" si="1"/>
        <v>16403290.650678094</v>
      </c>
    </row>
    <row r="20" spans="1:10" x14ac:dyDescent="0.35">
      <c r="A20" s="14">
        <v>337320</v>
      </c>
      <c r="B20" s="89">
        <v>0.2</v>
      </c>
      <c r="C20" s="13">
        <v>1185151.1392260145</v>
      </c>
      <c r="D20">
        <f t="shared" si="0"/>
        <v>1185151.1392260145</v>
      </c>
      <c r="G20" s="14">
        <v>236136</v>
      </c>
      <c r="H20" s="89">
        <v>0.85</v>
      </c>
      <c r="I20" s="13">
        <v>15864825</v>
      </c>
      <c r="J20">
        <f t="shared" si="1"/>
        <v>15864825</v>
      </c>
    </row>
    <row r="21" spans="1:10" x14ac:dyDescent="0.35">
      <c r="A21" s="14">
        <v>337321</v>
      </c>
      <c r="B21" s="89">
        <v>0.2</v>
      </c>
      <c r="C21" s="13">
        <v>907143.19427563215</v>
      </c>
      <c r="D21">
        <f t="shared" si="0"/>
        <v>907143.19427563215</v>
      </c>
      <c r="G21" s="14">
        <v>236135</v>
      </c>
      <c r="H21" s="89">
        <v>0.85</v>
      </c>
      <c r="I21" s="13">
        <v>14764012.439999998</v>
      </c>
      <c r="J21">
        <f t="shared" si="1"/>
        <v>14764012.439999998</v>
      </c>
    </row>
    <row r="22" spans="1:10" x14ac:dyDescent="0.35">
      <c r="A22" s="14">
        <v>337322</v>
      </c>
      <c r="B22" s="89">
        <v>0.2</v>
      </c>
      <c r="C22" s="13">
        <v>1011196.836966597</v>
      </c>
      <c r="D22">
        <f t="shared" si="0"/>
        <v>1011196.836966597</v>
      </c>
      <c r="G22" s="14">
        <v>154671</v>
      </c>
      <c r="H22" s="89">
        <v>0.85</v>
      </c>
      <c r="I22" s="13">
        <v>34900619.660989068</v>
      </c>
      <c r="J22" t="e">
        <f t="shared" si="1"/>
        <v>#N/A</v>
      </c>
    </row>
    <row r="23" spans="1:10" x14ac:dyDescent="0.35">
      <c r="A23" s="14">
        <v>337323</v>
      </c>
      <c r="B23" s="89">
        <v>0.2</v>
      </c>
      <c r="C23" s="13">
        <v>1045748.4937268321</v>
      </c>
      <c r="D23">
        <f t="shared" si="0"/>
        <v>1045748.4937268321</v>
      </c>
      <c r="G23" s="14">
        <v>336433</v>
      </c>
      <c r="H23" s="89">
        <v>0.2</v>
      </c>
      <c r="I23" s="13">
        <v>3381056</v>
      </c>
      <c r="J23">
        <f t="shared" si="1"/>
        <v>3381056</v>
      </c>
    </row>
    <row r="24" spans="1:10" x14ac:dyDescent="0.35">
      <c r="A24" s="14">
        <v>337281</v>
      </c>
      <c r="B24" s="89">
        <v>0.2</v>
      </c>
      <c r="C24" s="13">
        <v>261978.5785186016</v>
      </c>
      <c r="D24">
        <f t="shared" si="0"/>
        <v>261978.5785186016</v>
      </c>
      <c r="G24" s="14">
        <v>325536</v>
      </c>
      <c r="H24" s="89">
        <v>0.4</v>
      </c>
      <c r="I24" s="13">
        <v>5438584.9600000009</v>
      </c>
      <c r="J24">
        <f t="shared" si="1"/>
        <v>5438584.9600000009</v>
      </c>
    </row>
    <row r="25" spans="1:10" x14ac:dyDescent="0.35">
      <c r="A25" s="14">
        <v>337282</v>
      </c>
      <c r="B25" s="89">
        <v>0.2</v>
      </c>
      <c r="C25" s="13">
        <v>405726.58905410557</v>
      </c>
      <c r="D25">
        <f t="shared" si="0"/>
        <v>405726.58905410557</v>
      </c>
      <c r="G25" s="14">
        <v>330164</v>
      </c>
      <c r="H25" s="89">
        <v>0.4</v>
      </c>
      <c r="I25" s="13">
        <v>8000000.3200000003</v>
      </c>
      <c r="J25">
        <f t="shared" si="1"/>
        <v>8000000.3200000003</v>
      </c>
    </row>
    <row r="26" spans="1:10" x14ac:dyDescent="0.35">
      <c r="A26" s="14">
        <v>337283</v>
      </c>
      <c r="B26" s="89">
        <v>0.2</v>
      </c>
      <c r="C26" s="13">
        <v>405726.58905410557</v>
      </c>
      <c r="D26">
        <f t="shared" si="0"/>
        <v>405726.58905410557</v>
      </c>
      <c r="G26" s="14">
        <v>323145</v>
      </c>
      <c r="H26" s="89">
        <v>0.4</v>
      </c>
      <c r="I26" s="13">
        <v>922457.8342950145</v>
      </c>
      <c r="J26">
        <f t="shared" si="1"/>
        <v>922457.8342950145</v>
      </c>
    </row>
    <row r="27" spans="1:10" x14ac:dyDescent="0.35">
      <c r="A27" s="14">
        <v>337284</v>
      </c>
      <c r="B27" s="89">
        <v>0.2</v>
      </c>
      <c r="C27" s="13">
        <v>405726.58905410557</v>
      </c>
      <c r="D27">
        <f t="shared" si="0"/>
        <v>405726.58905410557</v>
      </c>
      <c r="G27" s="14">
        <v>343082</v>
      </c>
      <c r="H27" s="89">
        <v>0.2</v>
      </c>
      <c r="I27" s="13">
        <v>4853784.4053085288</v>
      </c>
      <c r="J27">
        <f t="shared" si="1"/>
        <v>4853784.4053085288</v>
      </c>
    </row>
    <row r="28" spans="1:10" x14ac:dyDescent="0.35">
      <c r="A28" s="14">
        <v>337285</v>
      </c>
      <c r="B28" s="89">
        <v>0.2</v>
      </c>
      <c r="C28" s="13">
        <v>405726.58905410557</v>
      </c>
      <c r="D28">
        <f t="shared" si="0"/>
        <v>405726.58905410557</v>
      </c>
      <c r="G28" s="14">
        <v>343083</v>
      </c>
      <c r="H28" s="89">
        <v>0.2</v>
      </c>
      <c r="I28" s="13">
        <v>2426892.0897270241</v>
      </c>
      <c r="J28">
        <f t="shared" si="1"/>
        <v>2426892.0897270241</v>
      </c>
    </row>
    <row r="29" spans="1:10" x14ac:dyDescent="0.35">
      <c r="A29" s="14">
        <v>337286</v>
      </c>
      <c r="B29" s="89">
        <v>0.2</v>
      </c>
      <c r="C29" s="13">
        <v>405726.58905410557</v>
      </c>
      <c r="D29">
        <f t="shared" si="0"/>
        <v>405726.58905410557</v>
      </c>
      <c r="G29" s="14">
        <v>337320</v>
      </c>
      <c r="H29" s="89">
        <v>0.2</v>
      </c>
      <c r="I29" s="13">
        <v>1185151.1392260145</v>
      </c>
      <c r="J29">
        <f t="shared" si="1"/>
        <v>1185151.1392260145</v>
      </c>
    </row>
    <row r="30" spans="1:10" x14ac:dyDescent="0.35">
      <c r="A30" s="14">
        <v>337287</v>
      </c>
      <c r="B30" s="89">
        <v>0.2</v>
      </c>
      <c r="C30" s="13">
        <v>278744.2427818944</v>
      </c>
      <c r="D30">
        <f t="shared" si="0"/>
        <v>278744.2427818944</v>
      </c>
      <c r="G30" s="14">
        <v>336847</v>
      </c>
      <c r="H30" s="89">
        <v>0.4</v>
      </c>
      <c r="I30" s="13">
        <v>2320000</v>
      </c>
      <c r="J30">
        <f t="shared" si="1"/>
        <v>2320000</v>
      </c>
    </row>
    <row r="31" spans="1:10" x14ac:dyDescent="0.35">
      <c r="A31" s="14">
        <v>336913</v>
      </c>
      <c r="B31" s="89">
        <v>0.4</v>
      </c>
      <c r="C31" s="13">
        <v>442665.60000000003</v>
      </c>
      <c r="D31">
        <f t="shared" si="0"/>
        <v>442665.60000000003</v>
      </c>
      <c r="G31" s="14">
        <v>337282</v>
      </c>
      <c r="H31" s="89">
        <v>0.2</v>
      </c>
      <c r="I31" s="13">
        <v>405726.58905410557</v>
      </c>
      <c r="J31">
        <f t="shared" si="1"/>
        <v>405726.58905410557</v>
      </c>
    </row>
    <row r="32" spans="1:10" x14ac:dyDescent="0.35">
      <c r="A32" s="14">
        <v>336914</v>
      </c>
      <c r="B32" s="89">
        <v>0.4</v>
      </c>
      <c r="C32" s="13">
        <v>4906639.3600000003</v>
      </c>
      <c r="D32">
        <f t="shared" si="0"/>
        <v>4906639.3600000003</v>
      </c>
      <c r="G32" s="14">
        <v>330165</v>
      </c>
      <c r="H32" s="89">
        <v>0.4</v>
      </c>
      <c r="I32" s="13">
        <v>7999998.7200000007</v>
      </c>
      <c r="J32">
        <f t="shared" si="1"/>
        <v>7999998.7200000007</v>
      </c>
    </row>
    <row r="33" spans="1:10" x14ac:dyDescent="0.35">
      <c r="A33" s="14">
        <v>336915</v>
      </c>
      <c r="B33" s="89">
        <v>0.4</v>
      </c>
      <c r="C33" s="13">
        <v>5124790.4000000004</v>
      </c>
      <c r="D33">
        <f t="shared" si="0"/>
        <v>5124790.4000000004</v>
      </c>
      <c r="G33" s="14">
        <v>316172</v>
      </c>
      <c r="H33" s="89">
        <v>0.4</v>
      </c>
      <c r="I33" s="13">
        <v>3755707.84</v>
      </c>
      <c r="J33" t="e">
        <f t="shared" si="1"/>
        <v>#N/A</v>
      </c>
    </row>
    <row r="34" spans="1:10" x14ac:dyDescent="0.35">
      <c r="A34" s="14">
        <v>336847</v>
      </c>
      <c r="B34" s="89">
        <v>0.4</v>
      </c>
      <c r="C34" s="13">
        <v>2320000</v>
      </c>
      <c r="D34">
        <f t="shared" si="0"/>
        <v>2320000</v>
      </c>
      <c r="G34" s="14">
        <v>344357</v>
      </c>
      <c r="H34" s="89">
        <v>0.2</v>
      </c>
      <c r="I34" s="13">
        <v>1760000</v>
      </c>
      <c r="J34">
        <f t="shared" si="1"/>
        <v>1760000</v>
      </c>
    </row>
    <row r="35" spans="1:10" x14ac:dyDescent="0.35">
      <c r="A35" s="14">
        <v>336433</v>
      </c>
      <c r="B35" s="89">
        <v>0.2</v>
      </c>
      <c r="C35" s="13">
        <v>3381056</v>
      </c>
      <c r="D35">
        <f t="shared" si="0"/>
        <v>3381056</v>
      </c>
      <c r="G35" s="14">
        <v>316183</v>
      </c>
      <c r="H35" s="89">
        <v>0.4</v>
      </c>
      <c r="I35" s="13">
        <v>3219864</v>
      </c>
      <c r="J35" t="e">
        <f t="shared" si="1"/>
        <v>#N/A</v>
      </c>
    </row>
    <row r="36" spans="1:10" x14ac:dyDescent="0.35">
      <c r="A36" s="14">
        <v>336435</v>
      </c>
      <c r="B36" s="89">
        <v>0.4</v>
      </c>
      <c r="C36" s="13">
        <v>1086768</v>
      </c>
      <c r="D36">
        <f t="shared" si="0"/>
        <v>1086768</v>
      </c>
      <c r="G36" s="14">
        <v>321557</v>
      </c>
      <c r="H36" s="89">
        <v>0.4</v>
      </c>
      <c r="I36" s="13">
        <v>6080000.3200000003</v>
      </c>
      <c r="J36" t="e">
        <f t="shared" si="1"/>
        <v>#N/A</v>
      </c>
    </row>
    <row r="37" spans="1:10" x14ac:dyDescent="0.35">
      <c r="A37" s="14">
        <v>336434</v>
      </c>
      <c r="B37" s="89">
        <v>0.4</v>
      </c>
      <c r="C37" s="13">
        <v>5796096</v>
      </c>
      <c r="D37">
        <f t="shared" si="0"/>
        <v>5796096</v>
      </c>
      <c r="G37" s="14">
        <v>325385</v>
      </c>
      <c r="H37" s="89">
        <v>0.4</v>
      </c>
      <c r="I37" s="13">
        <v>7016889.2800000003</v>
      </c>
      <c r="J37" t="e">
        <f t="shared" si="1"/>
        <v>#N/A</v>
      </c>
    </row>
    <row r="38" spans="1:10" x14ac:dyDescent="0.35">
      <c r="A38" s="14">
        <v>333736</v>
      </c>
      <c r="B38" s="89">
        <v>0.4</v>
      </c>
      <c r="C38" s="13">
        <v>12800000</v>
      </c>
      <c r="D38" t="e">
        <f t="shared" si="0"/>
        <v>#N/A</v>
      </c>
      <c r="G38" s="14">
        <v>353455</v>
      </c>
      <c r="H38" s="89">
        <v>0.2</v>
      </c>
      <c r="I38" s="13">
        <v>2500768</v>
      </c>
      <c r="J38">
        <f t="shared" si="1"/>
        <v>2500768</v>
      </c>
    </row>
    <row r="39" spans="1:10" x14ac:dyDescent="0.35">
      <c r="A39" s="14">
        <v>333521</v>
      </c>
      <c r="B39" s="89">
        <v>0.85</v>
      </c>
      <c r="C39" s="13">
        <v>4250000</v>
      </c>
      <c r="D39">
        <f t="shared" si="0"/>
        <v>4250000</v>
      </c>
      <c r="G39" s="14">
        <v>341925</v>
      </c>
      <c r="H39" s="89">
        <v>0.4</v>
      </c>
      <c r="I39" s="13">
        <v>648402.24000000011</v>
      </c>
      <c r="J39">
        <f t="shared" si="1"/>
        <v>648402.24000000011</v>
      </c>
    </row>
    <row r="40" spans="1:10" x14ac:dyDescent="0.35">
      <c r="A40" s="14">
        <v>333557</v>
      </c>
      <c r="B40" s="89">
        <v>0.4</v>
      </c>
      <c r="C40" s="13">
        <v>3839998.4000000004</v>
      </c>
      <c r="D40">
        <f t="shared" si="0"/>
        <v>3839998.4000000004</v>
      </c>
      <c r="G40" s="14">
        <v>336913</v>
      </c>
      <c r="H40" s="89">
        <v>0.4</v>
      </c>
      <c r="I40" s="13">
        <v>442665.60000000003</v>
      </c>
      <c r="J40">
        <f t="shared" si="1"/>
        <v>442665.60000000003</v>
      </c>
    </row>
    <row r="41" spans="1:10" x14ac:dyDescent="0.35">
      <c r="A41" s="14">
        <v>330164</v>
      </c>
      <c r="B41" s="89">
        <v>0.4</v>
      </c>
      <c r="C41" s="13">
        <v>8000000.3200000003</v>
      </c>
      <c r="D41">
        <f t="shared" si="0"/>
        <v>8000000.3200000003</v>
      </c>
      <c r="G41" s="14">
        <v>323144</v>
      </c>
      <c r="H41" s="89">
        <v>0.4</v>
      </c>
      <c r="I41" s="13">
        <v>1111043.9563138944</v>
      </c>
      <c r="J41">
        <f t="shared" si="1"/>
        <v>1111043.9563138944</v>
      </c>
    </row>
    <row r="42" spans="1:10" x14ac:dyDescent="0.35">
      <c r="A42" s="14">
        <v>330165</v>
      </c>
      <c r="B42" s="89">
        <v>0.4</v>
      </c>
      <c r="C42" s="13">
        <v>7999998.7200000007</v>
      </c>
      <c r="D42">
        <f t="shared" si="0"/>
        <v>7999998.7200000007</v>
      </c>
      <c r="G42" s="14">
        <v>316182</v>
      </c>
      <c r="H42" s="89">
        <v>0.4</v>
      </c>
      <c r="I42" s="13">
        <v>2356416.64</v>
      </c>
      <c r="J42" t="e">
        <f t="shared" si="1"/>
        <v>#N/A</v>
      </c>
    </row>
    <row r="43" spans="1:10" x14ac:dyDescent="0.35">
      <c r="A43" s="14">
        <v>332241</v>
      </c>
      <c r="B43" s="89">
        <v>0.4</v>
      </c>
      <c r="C43" s="13">
        <v>3199999.68</v>
      </c>
      <c r="D43">
        <f t="shared" si="0"/>
        <v>3199999.68</v>
      </c>
      <c r="G43" s="14">
        <v>332241</v>
      </c>
      <c r="H43" s="89">
        <v>0.4</v>
      </c>
      <c r="I43" s="13">
        <v>3199999.68</v>
      </c>
      <c r="J43">
        <f t="shared" si="1"/>
        <v>3199999.68</v>
      </c>
    </row>
    <row r="44" spans="1:10" x14ac:dyDescent="0.35">
      <c r="A44" s="14">
        <v>332242</v>
      </c>
      <c r="B44" s="89">
        <v>0.4</v>
      </c>
      <c r="C44" s="13">
        <v>3200000</v>
      </c>
      <c r="D44">
        <f t="shared" si="0"/>
        <v>3200000</v>
      </c>
      <c r="G44" s="14">
        <v>337322</v>
      </c>
      <c r="H44" s="89">
        <v>0.2</v>
      </c>
      <c r="I44" s="13">
        <v>1011196.836966597</v>
      </c>
      <c r="J44">
        <f t="shared" si="1"/>
        <v>1011196.836966597</v>
      </c>
    </row>
    <row r="45" spans="1:10" x14ac:dyDescent="0.35">
      <c r="A45" s="14">
        <v>333766</v>
      </c>
      <c r="B45" s="89">
        <v>0.4</v>
      </c>
      <c r="C45" s="13">
        <v>671996.16</v>
      </c>
      <c r="D45">
        <f t="shared" si="0"/>
        <v>671996.16</v>
      </c>
      <c r="G45" s="14">
        <v>337284</v>
      </c>
      <c r="H45" s="89">
        <v>0.2</v>
      </c>
      <c r="I45" s="13">
        <v>405726.58905410557</v>
      </c>
      <c r="J45">
        <f t="shared" si="1"/>
        <v>405726.58905410557</v>
      </c>
    </row>
    <row r="46" spans="1:10" x14ac:dyDescent="0.35">
      <c r="A46" s="14">
        <v>328972</v>
      </c>
      <c r="B46" s="89">
        <v>0.4</v>
      </c>
      <c r="C46" s="13">
        <v>4864004.8</v>
      </c>
      <c r="D46">
        <f t="shared" si="0"/>
        <v>4864004.8</v>
      </c>
      <c r="G46" s="14">
        <v>337321</v>
      </c>
      <c r="H46" s="89">
        <v>0.2</v>
      </c>
      <c r="I46" s="13">
        <v>907143.19427563215</v>
      </c>
      <c r="J46">
        <f t="shared" si="1"/>
        <v>907143.19427563215</v>
      </c>
    </row>
    <row r="47" spans="1:10" x14ac:dyDescent="0.35">
      <c r="A47" s="14">
        <v>328973</v>
      </c>
      <c r="B47" s="89">
        <v>0.4</v>
      </c>
      <c r="C47" s="13">
        <v>4191996.16</v>
      </c>
      <c r="D47">
        <f t="shared" si="0"/>
        <v>4191996.16</v>
      </c>
      <c r="G47" s="14">
        <v>337283</v>
      </c>
      <c r="H47" s="89">
        <v>0.2</v>
      </c>
      <c r="I47" s="13">
        <v>405726.58905410557</v>
      </c>
      <c r="J47">
        <f t="shared" si="1"/>
        <v>405726.58905410557</v>
      </c>
    </row>
    <row r="48" spans="1:10" x14ac:dyDescent="0.35">
      <c r="A48" s="14">
        <v>328974</v>
      </c>
      <c r="B48" s="89">
        <v>0.4</v>
      </c>
      <c r="C48" s="13">
        <v>4191996.16</v>
      </c>
      <c r="D48">
        <f t="shared" si="0"/>
        <v>4191996.16</v>
      </c>
      <c r="G48" s="14">
        <v>337323</v>
      </c>
      <c r="H48" s="89">
        <v>0.2</v>
      </c>
      <c r="I48" s="13">
        <v>1045748.4937268321</v>
      </c>
      <c r="J48">
        <f t="shared" si="1"/>
        <v>1045748.4937268321</v>
      </c>
    </row>
    <row r="49" spans="1:10" x14ac:dyDescent="0.35">
      <c r="A49" s="14">
        <v>328975</v>
      </c>
      <c r="B49" s="89">
        <v>0.4</v>
      </c>
      <c r="C49" s="13">
        <v>480000</v>
      </c>
      <c r="D49">
        <f t="shared" si="0"/>
        <v>480000</v>
      </c>
      <c r="G49" s="14">
        <v>337285</v>
      </c>
      <c r="H49" s="89">
        <v>0.2</v>
      </c>
      <c r="I49" s="13">
        <v>405726.58905410557</v>
      </c>
      <c r="J49">
        <f t="shared" si="1"/>
        <v>405726.58905410557</v>
      </c>
    </row>
    <row r="50" spans="1:10" x14ac:dyDescent="0.35">
      <c r="A50" s="14">
        <v>328691</v>
      </c>
      <c r="B50" s="89">
        <v>0.4</v>
      </c>
      <c r="C50" s="13">
        <v>1098240</v>
      </c>
      <c r="D50">
        <f t="shared" si="0"/>
        <v>1098240</v>
      </c>
      <c r="G50" s="14">
        <v>316173</v>
      </c>
      <c r="H50" s="89">
        <v>0.4</v>
      </c>
      <c r="I50" s="13">
        <v>2566774.7200000002</v>
      </c>
      <c r="J50" t="e">
        <f t="shared" si="1"/>
        <v>#N/A</v>
      </c>
    </row>
    <row r="51" spans="1:10" x14ac:dyDescent="0.35">
      <c r="A51" s="14">
        <v>328693</v>
      </c>
      <c r="B51" s="89">
        <v>0.4</v>
      </c>
      <c r="C51" s="13">
        <v>1555200</v>
      </c>
      <c r="D51">
        <f t="shared" si="0"/>
        <v>1555200</v>
      </c>
      <c r="G51" s="14">
        <v>340974</v>
      </c>
      <c r="H51" s="89">
        <v>0.4</v>
      </c>
      <c r="I51" s="13">
        <v>3354720</v>
      </c>
      <c r="J51">
        <f t="shared" si="1"/>
        <v>3354720</v>
      </c>
    </row>
    <row r="52" spans="1:10" x14ac:dyDescent="0.35">
      <c r="A52" s="14">
        <v>325536</v>
      </c>
      <c r="B52" s="89">
        <v>0.4</v>
      </c>
      <c r="C52" s="13">
        <v>5438584.9600000009</v>
      </c>
      <c r="D52">
        <f t="shared" si="0"/>
        <v>5438584.9600000009</v>
      </c>
      <c r="G52" s="14">
        <v>340975</v>
      </c>
      <c r="H52" s="89">
        <v>0.4</v>
      </c>
      <c r="I52" s="13">
        <v>1985280</v>
      </c>
      <c r="J52">
        <f t="shared" si="1"/>
        <v>1985280</v>
      </c>
    </row>
    <row r="53" spans="1:10" x14ac:dyDescent="0.35">
      <c r="A53" s="14">
        <v>323874</v>
      </c>
      <c r="B53" s="89">
        <v>0.4</v>
      </c>
      <c r="C53" s="13">
        <v>10842536.55968</v>
      </c>
      <c r="D53">
        <f t="shared" si="0"/>
        <v>10842536.55968</v>
      </c>
      <c r="G53" s="14">
        <v>336434</v>
      </c>
      <c r="H53" s="89">
        <v>0.4</v>
      </c>
      <c r="I53" s="13">
        <v>5796096</v>
      </c>
      <c r="J53">
        <f t="shared" si="1"/>
        <v>5796096</v>
      </c>
    </row>
    <row r="54" spans="1:10" x14ac:dyDescent="0.35">
      <c r="A54" s="14">
        <v>323144</v>
      </c>
      <c r="B54" s="89">
        <v>0.4</v>
      </c>
      <c r="C54" s="13">
        <v>1111043.9563138944</v>
      </c>
      <c r="D54">
        <f t="shared" si="0"/>
        <v>1111043.9563138944</v>
      </c>
      <c r="G54" s="14">
        <v>328973</v>
      </c>
      <c r="H54" s="89">
        <v>0.4</v>
      </c>
      <c r="I54" s="13">
        <v>4191996.16</v>
      </c>
      <c r="J54">
        <f t="shared" si="1"/>
        <v>4191996.16</v>
      </c>
    </row>
    <row r="55" spans="1:10" x14ac:dyDescent="0.35">
      <c r="A55" s="14">
        <v>323145</v>
      </c>
      <c r="B55" s="89">
        <v>0.4</v>
      </c>
      <c r="C55" s="13">
        <v>922457.8342950145</v>
      </c>
      <c r="D55">
        <f t="shared" si="0"/>
        <v>922457.8342950145</v>
      </c>
      <c r="G55" s="14">
        <v>328693</v>
      </c>
      <c r="H55" s="89">
        <v>0.4</v>
      </c>
      <c r="I55" s="13">
        <v>1555200</v>
      </c>
      <c r="J55">
        <f t="shared" si="1"/>
        <v>1555200</v>
      </c>
    </row>
    <row r="56" spans="1:10" x14ac:dyDescent="0.35">
      <c r="A56" s="14">
        <v>306262</v>
      </c>
      <c r="B56" s="89">
        <v>0.4</v>
      </c>
      <c r="C56" s="13">
        <v>9600000</v>
      </c>
      <c r="D56">
        <f t="shared" si="0"/>
        <v>9600000</v>
      </c>
      <c r="G56" s="14">
        <v>321556</v>
      </c>
      <c r="H56" s="89">
        <v>0.4</v>
      </c>
      <c r="I56" s="13">
        <v>10239999.359999999</v>
      </c>
      <c r="J56" t="e">
        <f t="shared" si="1"/>
        <v>#N/A</v>
      </c>
    </row>
    <row r="57" spans="1:10" x14ac:dyDescent="0.35">
      <c r="A57" s="14">
        <v>322909</v>
      </c>
      <c r="B57" s="89">
        <v>0.2</v>
      </c>
      <c r="C57" s="13">
        <v>1600000</v>
      </c>
      <c r="D57">
        <f t="shared" si="0"/>
        <v>1600000</v>
      </c>
      <c r="G57" s="14">
        <v>343211</v>
      </c>
      <c r="H57" s="89">
        <v>0.2</v>
      </c>
      <c r="I57" s="13">
        <v>1600000</v>
      </c>
      <c r="J57">
        <f t="shared" si="1"/>
        <v>1600000</v>
      </c>
    </row>
    <row r="58" spans="1:10" x14ac:dyDescent="0.35">
      <c r="A58" s="14">
        <v>298205</v>
      </c>
      <c r="B58" s="89">
        <v>0.4</v>
      </c>
      <c r="C58" s="13">
        <v>3199999.3600000003</v>
      </c>
      <c r="D58" t="e">
        <f t="shared" si="0"/>
        <v>#N/A</v>
      </c>
      <c r="G58" s="14">
        <v>333521</v>
      </c>
      <c r="H58" s="89">
        <v>0.85</v>
      </c>
      <c r="I58" s="13">
        <v>4250000</v>
      </c>
      <c r="J58">
        <f t="shared" si="1"/>
        <v>4250000</v>
      </c>
    </row>
    <row r="59" spans="1:10" x14ac:dyDescent="0.35">
      <c r="A59" s="14">
        <v>298206</v>
      </c>
      <c r="B59" s="89">
        <v>0.4</v>
      </c>
      <c r="C59" s="13">
        <v>993103.35999999999</v>
      </c>
      <c r="D59">
        <f t="shared" si="0"/>
        <v>993103.35999999999</v>
      </c>
      <c r="G59" s="14">
        <v>337319</v>
      </c>
      <c r="H59" s="89">
        <v>0.2</v>
      </c>
      <c r="I59" s="13">
        <v>500895.44481542241</v>
      </c>
      <c r="J59">
        <f t="shared" si="1"/>
        <v>500895.44481542241</v>
      </c>
    </row>
    <row r="60" spans="1:10" x14ac:dyDescent="0.35">
      <c r="A60" s="14">
        <v>293525</v>
      </c>
      <c r="B60" s="89">
        <v>0.4</v>
      </c>
      <c r="C60" s="13">
        <v>1833595.52</v>
      </c>
      <c r="D60" t="e">
        <f t="shared" si="0"/>
        <v>#N/A</v>
      </c>
      <c r="G60" s="14">
        <v>337286</v>
      </c>
      <c r="H60" s="89">
        <v>0.2</v>
      </c>
      <c r="I60" s="13">
        <v>405726.58905410557</v>
      </c>
      <c r="J60">
        <f t="shared" si="1"/>
        <v>405726.58905410557</v>
      </c>
    </row>
    <row r="61" spans="1:10" x14ac:dyDescent="0.35">
      <c r="A61" s="14">
        <v>236131</v>
      </c>
      <c r="B61" s="89">
        <v>0.85</v>
      </c>
      <c r="C61" s="13">
        <v>23767725.16</v>
      </c>
      <c r="D61">
        <f t="shared" si="0"/>
        <v>23767725.16</v>
      </c>
      <c r="G61" s="14">
        <v>336914</v>
      </c>
      <c r="H61" s="89">
        <v>0.4</v>
      </c>
      <c r="I61" s="13">
        <v>4906639.3600000003</v>
      </c>
      <c r="J61">
        <f t="shared" si="1"/>
        <v>4906639.3600000003</v>
      </c>
    </row>
    <row r="62" spans="1:10" x14ac:dyDescent="0.35">
      <c r="A62" s="14">
        <v>236132</v>
      </c>
      <c r="B62" s="89">
        <v>0.85</v>
      </c>
      <c r="C62" s="13">
        <v>23085858.560000002</v>
      </c>
      <c r="D62" t="e">
        <f t="shared" si="0"/>
        <v>#N/A</v>
      </c>
      <c r="G62" s="14">
        <v>341926</v>
      </c>
      <c r="H62" s="89">
        <v>0.4</v>
      </c>
      <c r="I62" s="13">
        <v>2079080.64</v>
      </c>
      <c r="J62">
        <f t="shared" si="1"/>
        <v>2079080.64</v>
      </c>
    </row>
    <row r="63" spans="1:10" x14ac:dyDescent="0.35">
      <c r="A63" s="14">
        <v>236133</v>
      </c>
      <c r="B63" s="89">
        <v>0.85</v>
      </c>
      <c r="C63" s="13">
        <v>15744500.360000001</v>
      </c>
      <c r="D63">
        <f t="shared" si="0"/>
        <v>15744500.360000001</v>
      </c>
      <c r="G63" s="14">
        <v>332242</v>
      </c>
      <c r="H63" s="89">
        <v>0.4</v>
      </c>
      <c r="I63" s="13">
        <v>3200000</v>
      </c>
      <c r="J63">
        <f t="shared" si="1"/>
        <v>3200000</v>
      </c>
    </row>
    <row r="64" spans="1:10" x14ac:dyDescent="0.35">
      <c r="A64" s="14">
        <v>236134</v>
      </c>
      <c r="B64" s="89">
        <v>0.85</v>
      </c>
      <c r="C64" s="13">
        <v>15330479.639999999</v>
      </c>
      <c r="D64">
        <f t="shared" si="0"/>
        <v>15330479.639999999</v>
      </c>
      <c r="G64" s="14">
        <v>316174</v>
      </c>
      <c r="H64" s="89">
        <v>0.4</v>
      </c>
      <c r="I64" s="13">
        <v>282262.08</v>
      </c>
      <c r="J64" t="e">
        <f t="shared" si="1"/>
        <v>#N/A</v>
      </c>
    </row>
    <row r="65" spans="1:10" x14ac:dyDescent="0.35">
      <c r="A65" s="14">
        <v>236135</v>
      </c>
      <c r="B65" s="89">
        <v>0.85</v>
      </c>
      <c r="C65" s="13">
        <v>14764012.439999998</v>
      </c>
      <c r="D65">
        <f t="shared" si="0"/>
        <v>14764012.439999998</v>
      </c>
      <c r="G65" s="14">
        <v>337287</v>
      </c>
      <c r="H65" s="89">
        <v>0.2</v>
      </c>
      <c r="I65" s="13">
        <v>278744.2427818944</v>
      </c>
      <c r="J65">
        <f t="shared" si="1"/>
        <v>278744.2427818944</v>
      </c>
    </row>
    <row r="66" spans="1:10" x14ac:dyDescent="0.35">
      <c r="A66" s="14">
        <v>236136</v>
      </c>
      <c r="B66" s="89">
        <v>0.85</v>
      </c>
      <c r="C66" s="13">
        <v>15864825</v>
      </c>
      <c r="D66">
        <f t="shared" si="0"/>
        <v>15864825</v>
      </c>
      <c r="G66" s="14">
        <v>336915</v>
      </c>
      <c r="H66" s="89">
        <v>0.4</v>
      </c>
      <c r="I66" s="13">
        <v>5124790.4000000004</v>
      </c>
      <c r="J66">
        <f t="shared" si="1"/>
        <v>5124790.4000000004</v>
      </c>
    </row>
    <row r="67" spans="1:10" x14ac:dyDescent="0.35">
      <c r="A67" s="14">
        <v>236137</v>
      </c>
      <c r="B67" s="89">
        <v>0.85</v>
      </c>
      <c r="C67" s="13">
        <v>15432294.68</v>
      </c>
      <c r="D67">
        <f t="shared" ref="D67:D74" si="2">VLOOKUP(A67,$G$2:$I$81,3,FALSE)</f>
        <v>15432294.68</v>
      </c>
      <c r="G67" s="14">
        <v>341916</v>
      </c>
      <c r="H67" s="89">
        <v>0.4</v>
      </c>
      <c r="I67" s="13">
        <v>684557.76</v>
      </c>
      <c r="J67">
        <f t="shared" ref="J67:J81" si="3">VLOOKUP(G67,$A$2:$C$74,3,FALSE)</f>
        <v>684557.76</v>
      </c>
    </row>
    <row r="68" spans="1:10" x14ac:dyDescent="0.35">
      <c r="A68" s="14">
        <v>236138</v>
      </c>
      <c r="B68" s="89">
        <v>0.85</v>
      </c>
      <c r="C68" s="13">
        <v>16654237.68</v>
      </c>
      <c r="D68">
        <f t="shared" si="2"/>
        <v>16654237.68</v>
      </c>
      <c r="G68" s="14">
        <v>340678</v>
      </c>
      <c r="H68" s="89">
        <v>0.4</v>
      </c>
      <c r="I68" s="13">
        <v>2400000</v>
      </c>
      <c r="J68">
        <f t="shared" si="3"/>
        <v>2400000</v>
      </c>
    </row>
    <row r="69" spans="1:10" x14ac:dyDescent="0.35">
      <c r="A69" s="14">
        <v>234484</v>
      </c>
      <c r="B69" s="89">
        <v>0.4</v>
      </c>
      <c r="C69" s="13">
        <v>8748373.4400000013</v>
      </c>
      <c r="D69">
        <f t="shared" si="2"/>
        <v>8748373.4400000013</v>
      </c>
      <c r="G69" s="14">
        <v>333557</v>
      </c>
      <c r="H69" s="89">
        <v>0.4</v>
      </c>
      <c r="I69" s="13">
        <v>3839998.4000000004</v>
      </c>
      <c r="J69">
        <f t="shared" si="3"/>
        <v>3839998.4000000004</v>
      </c>
    </row>
    <row r="70" spans="1:10" x14ac:dyDescent="0.35">
      <c r="A70" s="14">
        <v>297931</v>
      </c>
      <c r="B70" s="89">
        <v>0.4</v>
      </c>
      <c r="C70" s="13">
        <v>4051625.9200000004</v>
      </c>
      <c r="D70">
        <f t="shared" si="2"/>
        <v>4051625.9200000004</v>
      </c>
      <c r="G70" s="14">
        <v>316176</v>
      </c>
      <c r="H70" s="89">
        <v>0.4</v>
      </c>
      <c r="I70" s="13">
        <v>807610.24000000011</v>
      </c>
      <c r="J70" t="e">
        <f t="shared" si="3"/>
        <v>#N/A</v>
      </c>
    </row>
    <row r="71" spans="1:10" x14ac:dyDescent="0.35">
      <c r="A71" s="14">
        <v>154669</v>
      </c>
      <c r="B71" s="89">
        <v>0.85</v>
      </c>
      <c r="C71" s="13">
        <v>16403290.650678094</v>
      </c>
      <c r="D71">
        <f t="shared" si="2"/>
        <v>16403290.650678094</v>
      </c>
      <c r="G71" s="14">
        <v>316175</v>
      </c>
      <c r="H71" s="89">
        <v>0.4</v>
      </c>
      <c r="I71" s="13">
        <v>2027339.52</v>
      </c>
      <c r="J71" t="e">
        <f t="shared" si="3"/>
        <v>#N/A</v>
      </c>
    </row>
    <row r="72" spans="1:10" x14ac:dyDescent="0.35">
      <c r="A72" s="14">
        <v>154670</v>
      </c>
      <c r="B72" s="89">
        <v>0.85</v>
      </c>
      <c r="C72" s="13">
        <v>15705278.97209017</v>
      </c>
      <c r="D72">
        <f t="shared" si="2"/>
        <v>15705278.97209017</v>
      </c>
      <c r="G72" s="14">
        <v>328974</v>
      </c>
      <c r="H72" s="89">
        <v>0.4</v>
      </c>
      <c r="I72" s="13">
        <v>4191996.16</v>
      </c>
      <c r="J72">
        <f t="shared" si="3"/>
        <v>4191996.16</v>
      </c>
    </row>
    <row r="73" spans="1:10" x14ac:dyDescent="0.35">
      <c r="A73" s="14">
        <v>154672</v>
      </c>
      <c r="B73" s="89">
        <v>0.85</v>
      </c>
      <c r="C73" s="13">
        <v>27571489.141626745</v>
      </c>
      <c r="D73">
        <f t="shared" si="2"/>
        <v>27571489.141626745</v>
      </c>
      <c r="G73" s="14">
        <v>333767</v>
      </c>
      <c r="H73" s="89">
        <v>0.4</v>
      </c>
      <c r="I73" s="13">
        <v>671996.16</v>
      </c>
      <c r="J73" t="e">
        <f t="shared" si="3"/>
        <v>#N/A</v>
      </c>
    </row>
    <row r="74" spans="1:10" x14ac:dyDescent="0.35">
      <c r="A74" s="14">
        <v>64168</v>
      </c>
      <c r="B74" s="89">
        <v>0.5</v>
      </c>
      <c r="C74" s="13">
        <v>4955489.5</v>
      </c>
      <c r="D74">
        <f t="shared" si="2"/>
        <v>4955489.5</v>
      </c>
      <c r="G74" s="14">
        <v>337281</v>
      </c>
      <c r="H74" s="89">
        <v>0.2</v>
      </c>
      <c r="I74" s="13">
        <v>261978.5785186016</v>
      </c>
      <c r="J74">
        <f t="shared" si="3"/>
        <v>261978.5785186016</v>
      </c>
    </row>
    <row r="75" spans="1:10" x14ac:dyDescent="0.35">
      <c r="G75" s="14">
        <v>336435</v>
      </c>
      <c r="H75" s="89">
        <v>0.4</v>
      </c>
      <c r="I75" s="13">
        <v>1086768</v>
      </c>
      <c r="J75">
        <f t="shared" si="3"/>
        <v>1086768</v>
      </c>
    </row>
    <row r="76" spans="1:10" x14ac:dyDescent="0.35">
      <c r="C76" s="4">
        <f>C2+C3+C4+C5+C38+C58+C62</f>
        <v>52496935.680000007</v>
      </c>
      <c r="G76" s="14">
        <v>328972</v>
      </c>
      <c r="H76" s="89">
        <v>0.4</v>
      </c>
      <c r="I76" s="13">
        <v>4864004.8</v>
      </c>
      <c r="J76">
        <f t="shared" si="3"/>
        <v>4864004.8</v>
      </c>
    </row>
    <row r="77" spans="1:10" x14ac:dyDescent="0.35">
      <c r="G77" s="14">
        <v>316177</v>
      </c>
      <c r="H77" s="89">
        <v>0.4</v>
      </c>
      <c r="I77" s="13">
        <v>354685.44</v>
      </c>
      <c r="J77" t="e">
        <f t="shared" si="3"/>
        <v>#N/A</v>
      </c>
    </row>
    <row r="78" spans="1:10" x14ac:dyDescent="0.35">
      <c r="G78" s="14">
        <v>328691</v>
      </c>
      <c r="H78" s="89">
        <v>0.4</v>
      </c>
      <c r="I78" s="13">
        <v>1098240</v>
      </c>
      <c r="J78">
        <f t="shared" si="3"/>
        <v>1098240</v>
      </c>
    </row>
    <row r="79" spans="1:10" x14ac:dyDescent="0.35">
      <c r="G79" s="14">
        <v>333766</v>
      </c>
      <c r="H79" s="89">
        <v>0.4</v>
      </c>
      <c r="I79" s="13">
        <v>671996.16</v>
      </c>
      <c r="J79">
        <f t="shared" si="3"/>
        <v>671996.16</v>
      </c>
    </row>
    <row r="80" spans="1:10" x14ac:dyDescent="0.35">
      <c r="G80" s="14">
        <v>328975</v>
      </c>
      <c r="H80" s="89">
        <v>0.4</v>
      </c>
      <c r="I80" s="13">
        <v>480000</v>
      </c>
      <c r="J80">
        <f t="shared" si="3"/>
        <v>480000</v>
      </c>
    </row>
    <row r="81" spans="7:10" x14ac:dyDescent="0.35">
      <c r="G81" s="14">
        <v>316178</v>
      </c>
      <c r="H81" s="89">
        <v>0.4</v>
      </c>
      <c r="I81" s="13">
        <v>357342.72000000003</v>
      </c>
      <c r="J81" t="e">
        <f t="shared" si="3"/>
        <v>#N/A</v>
      </c>
    </row>
    <row r="83" spans="7:10" x14ac:dyDescent="0.35">
      <c r="I83" s="4">
        <f>I7+I22+I33+I36+I37+I42+I50+I56+I64+I70+I71+I73+I77+I81</f>
        <v>78903932.480989054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BE92-A56B-4B84-A8F2-DB2A89B9FB93}">
  <sheetPr codeName="Sheet18">
    <tabColor rgb="FF00B0F0"/>
  </sheetPr>
  <dimension ref="B2:M43"/>
  <sheetViews>
    <sheetView zoomScale="129" workbookViewId="0">
      <selection activeCell="B9" sqref="B9:C13"/>
    </sheetView>
  </sheetViews>
  <sheetFormatPr defaultColWidth="9.08984375" defaultRowHeight="14.5" x14ac:dyDescent="0.35"/>
  <cols>
    <col min="1" max="1" width="9.08984375" style="82"/>
    <col min="2" max="2" width="12.54296875" style="82" customWidth="1"/>
    <col min="3" max="3" width="53.90625" style="82" customWidth="1"/>
    <col min="4" max="4" width="16.90625" style="82" bestFit="1" customWidth="1"/>
    <col min="5" max="5" width="15.90625" style="82" bestFit="1" customWidth="1"/>
    <col min="6" max="6" width="3.08984375" style="82" customWidth="1"/>
    <col min="7" max="7" width="56.6328125" style="82" bestFit="1" customWidth="1"/>
    <col min="8" max="8" width="14.08984375" style="82" bestFit="1" customWidth="1"/>
    <col min="9" max="9" width="15.90625" style="82" bestFit="1" customWidth="1"/>
    <col min="10" max="10" width="12.453125" style="82" bestFit="1" customWidth="1"/>
    <col min="11" max="11" width="19.08984375" style="82" bestFit="1" customWidth="1"/>
    <col min="12" max="12" width="13.90625" style="82" bestFit="1" customWidth="1"/>
    <col min="13" max="13" width="22" style="82" bestFit="1" customWidth="1"/>
    <col min="14" max="14" width="18.08984375" style="82" bestFit="1" customWidth="1"/>
    <col min="15" max="15" width="9.08984375" style="82"/>
    <col min="16" max="16" width="19.08984375" style="82" bestFit="1" customWidth="1"/>
    <col min="17" max="17" width="15.54296875" style="82" bestFit="1" customWidth="1"/>
    <col min="18" max="16384" width="9.08984375" style="82"/>
  </cols>
  <sheetData>
    <row r="2" spans="2:13" ht="23.5" x14ac:dyDescent="0.55000000000000004">
      <c r="B2" s="116" t="s">
        <v>69</v>
      </c>
    </row>
    <row r="3" spans="2:13" x14ac:dyDescent="0.35">
      <c r="B3" s="82" t="s">
        <v>650</v>
      </c>
      <c r="C3" s="82" t="s">
        <v>162</v>
      </c>
    </row>
    <row r="5" spans="2:13" x14ac:dyDescent="0.35">
      <c r="B5" s="82" t="s">
        <v>180</v>
      </c>
    </row>
    <row r="7" spans="2:13" x14ac:dyDescent="0.35">
      <c r="B7" s="467" t="s">
        <v>163</v>
      </c>
      <c r="C7" s="468"/>
      <c r="D7" s="468"/>
      <c r="E7" s="469"/>
      <c r="G7" s="470" t="s">
        <v>164</v>
      </c>
      <c r="H7" s="471"/>
      <c r="I7" s="471"/>
      <c r="J7" s="472"/>
    </row>
    <row r="8" spans="2:13" x14ac:dyDescent="0.35">
      <c r="D8" s="92" t="str">
        <f>"Current "&amp;D9</f>
        <v>Current Gross</v>
      </c>
      <c r="E8" s="92" t="str">
        <f>"Current "&amp;E9</f>
        <v>Current Net</v>
      </c>
      <c r="I8" s="92" t="str">
        <f>"Previous "&amp;I9</f>
        <v>Previous Gross</v>
      </c>
      <c r="J8" s="92" t="str">
        <f>"Previous "&amp;J9</f>
        <v>Previous Net</v>
      </c>
    </row>
    <row r="9" spans="2:13" x14ac:dyDescent="0.35">
      <c r="B9" s="93" t="s">
        <v>37</v>
      </c>
      <c r="C9" s="94" t="s">
        <v>165</v>
      </c>
      <c r="D9" s="95" t="s">
        <v>89</v>
      </c>
      <c r="E9" s="96" t="s">
        <v>90</v>
      </c>
      <c r="G9" s="473" t="s">
        <v>165</v>
      </c>
      <c r="H9" s="474"/>
      <c r="I9" s="95" t="s">
        <v>89</v>
      </c>
      <c r="J9" s="96" t="s">
        <v>90</v>
      </c>
    </row>
    <row r="10" spans="2:13" x14ac:dyDescent="0.35">
      <c r="B10" s="97" t="s">
        <v>32</v>
      </c>
      <c r="C10" s="122" t="str">
        <f ca="1">Summary!C9</f>
        <v>SXM-10</v>
      </c>
      <c r="D10" s="99">
        <f ca="1">Summary!D99</f>
        <v>39999960</v>
      </c>
      <c r="E10" s="100">
        <f ca="1">Summary!D100</f>
        <v>31999968</v>
      </c>
      <c r="F10" s="100"/>
      <c r="G10" s="98" t="str">
        <f>'[2]Change Narrative (Max Risk)'!C10</f>
        <v>SXM-10</v>
      </c>
      <c r="H10" s="130"/>
      <c r="I10" s="99">
        <f>'[2]Change Narrative (Max Risk)'!D10</f>
        <v>39999960</v>
      </c>
      <c r="J10" s="100">
        <f>'[2]Change Narrative (Max Risk)'!E10</f>
        <v>31999968</v>
      </c>
    </row>
    <row r="11" spans="2:13" x14ac:dyDescent="0.35">
      <c r="B11" s="101" t="s">
        <v>29</v>
      </c>
      <c r="C11" s="127" t="str">
        <f ca="1">Summary!C18</f>
        <v>SXM-10</v>
      </c>
      <c r="D11" s="102">
        <f ca="1">Summary!E99</f>
        <v>39999960</v>
      </c>
      <c r="E11" s="103">
        <f ca="1">Summary!E100</f>
        <v>19199980.799999997</v>
      </c>
      <c r="F11" s="103"/>
      <c r="G11" s="127" t="str">
        <f>'[2]Change Narrative (Max Risk)'!C11</f>
        <v>SXM-10</v>
      </c>
      <c r="I11" s="102">
        <f>'[2]Change Narrative (Max Risk)'!D11</f>
        <v>39999960</v>
      </c>
      <c r="J11" s="103">
        <f>'[2]Change Narrative (Max Risk)'!E11</f>
        <v>19199980.799999997</v>
      </c>
    </row>
    <row r="12" spans="2:13" x14ac:dyDescent="0.35">
      <c r="B12" s="101" t="s">
        <v>33</v>
      </c>
      <c r="C12" s="441" t="s">
        <v>658</v>
      </c>
      <c r="D12" s="102">
        <f ca="1">Summary!F99</f>
        <v>22946346.113120016</v>
      </c>
      <c r="E12" s="103">
        <f ca="1">Summary!F100</f>
        <v>22946346.113120016</v>
      </c>
      <c r="F12" s="103"/>
      <c r="G12" s="131" t="str">
        <f>'[2]Change Narrative (Max Risk)'!C12</f>
        <v>Exposure is IGR as no business written directly out of FIBL (Spainsat NG-1)</v>
      </c>
      <c r="I12" s="102">
        <f>'[2]Change Narrative (Max Risk)'!D12</f>
        <v>20790999.050588533</v>
      </c>
      <c r="J12" s="103">
        <f>'[2]Change Narrative (Max Risk)'!E12</f>
        <v>20790999.050588533</v>
      </c>
    </row>
    <row r="13" spans="2:13" x14ac:dyDescent="0.35">
      <c r="B13" s="101" t="s">
        <v>31</v>
      </c>
      <c r="C13" s="198" t="str">
        <f ca="1">Summary!C27</f>
        <v>SPAINSAT NG-1</v>
      </c>
      <c r="D13" s="105">
        <f ca="1">Summary!G99</f>
        <v>28857627.37544075</v>
      </c>
      <c r="E13" s="106">
        <f ca="1">Summary!G100</f>
        <v>3462915.2850528909</v>
      </c>
      <c r="F13" s="103"/>
      <c r="G13" s="131" t="str">
        <f>'[2]Change Narrative (Max Risk)'!C13</f>
        <v>SPAINSAT NG-1</v>
      </c>
      <c r="I13" s="102">
        <f>'[2]Change Narrative (Max Risk)'!D13</f>
        <v>28857627.37544075</v>
      </c>
      <c r="J13" s="103">
        <f>'[2]Change Narrative (Max Risk)'!E13</f>
        <v>3462915.2850528909</v>
      </c>
      <c r="L13" s="150"/>
      <c r="M13" s="119"/>
    </row>
    <row r="14" spans="2:13" customFormat="1" x14ac:dyDescent="0.35">
      <c r="B14" s="133"/>
      <c r="C14" s="133"/>
      <c r="D14" s="255"/>
      <c r="E14" s="133"/>
      <c r="G14" s="133"/>
      <c r="H14" s="133"/>
      <c r="I14" s="133"/>
      <c r="J14" s="133"/>
    </row>
    <row r="15" spans="2:13" x14ac:dyDescent="0.35">
      <c r="D15" s="119"/>
    </row>
    <row r="16" spans="2:13" x14ac:dyDescent="0.35">
      <c r="C16" s="473" t="s">
        <v>166</v>
      </c>
      <c r="D16" s="474"/>
      <c r="E16" s="475"/>
      <c r="G16" s="107" t="s">
        <v>167</v>
      </c>
      <c r="H16" s="107" t="s">
        <v>168</v>
      </c>
      <c r="I16" s="107" t="s">
        <v>169</v>
      </c>
      <c r="J16" s="107" t="s">
        <v>170</v>
      </c>
      <c r="M16" s="119"/>
    </row>
    <row r="17" spans="2:13" x14ac:dyDescent="0.35">
      <c r="B17" s="108" t="s">
        <v>32</v>
      </c>
      <c r="C17" s="511" t="s">
        <v>660</v>
      </c>
      <c r="D17" s="512"/>
      <c r="E17" s="513"/>
      <c r="G17" s="109">
        <f ca="1">D10-I10</f>
        <v>0</v>
      </c>
      <c r="H17" s="110">
        <f ca="1">D10/I10-1</f>
        <v>0</v>
      </c>
      <c r="I17" s="109">
        <f ca="1">E10-J10</f>
        <v>0</v>
      </c>
      <c r="J17" s="110">
        <f ca="1">E10/J10-1</f>
        <v>0</v>
      </c>
      <c r="M17" s="119"/>
    </row>
    <row r="18" spans="2:13" x14ac:dyDescent="0.35">
      <c r="B18" s="111" t="s">
        <v>29</v>
      </c>
      <c r="C18" s="511" t="s">
        <v>661</v>
      </c>
      <c r="D18" s="512"/>
      <c r="E18" s="513"/>
      <c r="G18" s="112">
        <f t="shared" ref="G18:G20" ca="1" si="0">D11-I11</f>
        <v>0</v>
      </c>
      <c r="H18" s="113">
        <f t="shared" ref="H18:H20" ca="1" si="1">D11/I11-1</f>
        <v>0</v>
      </c>
      <c r="I18" s="112">
        <f t="shared" ref="I18:I20" ca="1" si="2">E11-J11</f>
        <v>0</v>
      </c>
      <c r="J18" s="113">
        <f t="shared" ref="J18" ca="1" si="3">E11/J11-1</f>
        <v>0</v>
      </c>
    </row>
    <row r="19" spans="2:13" ht="33" customHeight="1" x14ac:dyDescent="0.35">
      <c r="B19" s="111" t="s">
        <v>33</v>
      </c>
      <c r="C19" s="511" t="s">
        <v>659</v>
      </c>
      <c r="D19" s="512"/>
      <c r="E19" s="513"/>
      <c r="G19" s="112">
        <f ca="1">D12-I12</f>
        <v>2155347.0625314824</v>
      </c>
      <c r="H19" s="113">
        <f ca="1">D12/I12-1</f>
        <v>0.10366731571133769</v>
      </c>
      <c r="I19" s="112">
        <f ca="1">E12-J12</f>
        <v>2155347.0625314824</v>
      </c>
      <c r="J19" s="113">
        <f ca="1">E12/J12-1</f>
        <v>0.10366731571133769</v>
      </c>
    </row>
    <row r="20" spans="2:13" x14ac:dyDescent="0.35">
      <c r="B20" s="101" t="s">
        <v>31</v>
      </c>
      <c r="C20" s="523" t="s">
        <v>660</v>
      </c>
      <c r="D20" s="524"/>
      <c r="E20" s="524"/>
      <c r="G20" s="112">
        <f t="shared" ca="1" si="0"/>
        <v>0</v>
      </c>
      <c r="H20" s="113">
        <f t="shared" ca="1" si="1"/>
        <v>0</v>
      </c>
      <c r="I20" s="112">
        <f t="shared" ca="1" si="2"/>
        <v>0</v>
      </c>
      <c r="J20" s="113">
        <f ca="1">E13/J13-1</f>
        <v>0</v>
      </c>
    </row>
    <row r="21" spans="2:13" customFormat="1" ht="30.75" customHeight="1" x14ac:dyDescent="0.35">
      <c r="B21" s="133"/>
      <c r="C21" s="133"/>
      <c r="D21" s="133"/>
      <c r="E21" s="133"/>
      <c r="G21" s="133"/>
      <c r="H21" s="133"/>
      <c r="I21" s="133"/>
      <c r="J21" s="133"/>
    </row>
    <row r="22" spans="2:13" x14ac:dyDescent="0.35">
      <c r="G22" s="478" t="s">
        <v>433</v>
      </c>
      <c r="H22" s="496"/>
      <c r="I22" s="496"/>
      <c r="J22" s="497"/>
    </row>
    <row r="23" spans="2:13" x14ac:dyDescent="0.35">
      <c r="G23" s="498"/>
      <c r="H23" s="499"/>
      <c r="I23" s="499"/>
      <c r="J23" s="500"/>
    </row>
    <row r="24" spans="2:13" x14ac:dyDescent="0.35">
      <c r="G24" s="498"/>
      <c r="H24" s="499"/>
      <c r="I24" s="499"/>
      <c r="J24" s="500"/>
    </row>
    <row r="25" spans="2:13" x14ac:dyDescent="0.35">
      <c r="G25" s="498"/>
      <c r="H25" s="499"/>
      <c r="I25" s="499"/>
      <c r="J25" s="500"/>
    </row>
    <row r="26" spans="2:13" x14ac:dyDescent="0.35">
      <c r="G26" s="498"/>
      <c r="H26" s="499"/>
      <c r="I26" s="499"/>
      <c r="J26" s="500"/>
    </row>
    <row r="27" spans="2:13" x14ac:dyDescent="0.35">
      <c r="G27" s="498"/>
      <c r="H27" s="499"/>
      <c r="I27" s="499"/>
      <c r="J27" s="500"/>
    </row>
    <row r="28" spans="2:13" x14ac:dyDescent="0.35">
      <c r="G28" s="498"/>
      <c r="H28" s="499"/>
      <c r="I28" s="499"/>
      <c r="J28" s="500"/>
    </row>
    <row r="29" spans="2:13" x14ac:dyDescent="0.35">
      <c r="G29" s="498"/>
      <c r="H29" s="499"/>
      <c r="I29" s="499"/>
      <c r="J29" s="500"/>
    </row>
    <row r="30" spans="2:13" x14ac:dyDescent="0.35">
      <c r="G30" s="501"/>
      <c r="H30" s="502"/>
      <c r="I30" s="502"/>
      <c r="J30" s="503"/>
    </row>
    <row r="31" spans="2:13" x14ac:dyDescent="0.35">
      <c r="G31" s="197"/>
      <c r="H31" s="197"/>
      <c r="I31" s="197"/>
      <c r="J31" s="197"/>
    </row>
    <row r="32" spans="2:13" x14ac:dyDescent="0.35">
      <c r="G32" s="197"/>
      <c r="H32" s="197"/>
      <c r="I32" s="197"/>
      <c r="J32" s="197"/>
    </row>
    <row r="33" spans="7:10" x14ac:dyDescent="0.35">
      <c r="G33" s="514" t="s">
        <v>652</v>
      </c>
      <c r="H33" s="515"/>
      <c r="I33" s="515"/>
      <c r="J33" s="516"/>
    </row>
    <row r="34" spans="7:10" x14ac:dyDescent="0.35">
      <c r="G34" s="517"/>
      <c r="H34" s="518"/>
      <c r="I34" s="518"/>
      <c r="J34" s="519"/>
    </row>
    <row r="35" spans="7:10" x14ac:dyDescent="0.35">
      <c r="G35" s="517"/>
      <c r="H35" s="518"/>
      <c r="I35" s="518"/>
      <c r="J35" s="519"/>
    </row>
    <row r="36" spans="7:10" x14ac:dyDescent="0.35">
      <c r="G36" s="517"/>
      <c r="H36" s="518"/>
      <c r="I36" s="518"/>
      <c r="J36" s="519"/>
    </row>
    <row r="37" spans="7:10" x14ac:dyDescent="0.35">
      <c r="G37" s="517"/>
      <c r="H37" s="518"/>
      <c r="I37" s="518"/>
      <c r="J37" s="519"/>
    </row>
    <row r="38" spans="7:10" x14ac:dyDescent="0.35">
      <c r="G38" s="517"/>
      <c r="H38" s="518"/>
      <c r="I38" s="518"/>
      <c r="J38" s="519"/>
    </row>
    <row r="39" spans="7:10" x14ac:dyDescent="0.35">
      <c r="G39" s="517"/>
      <c r="H39" s="518"/>
      <c r="I39" s="518"/>
      <c r="J39" s="519"/>
    </row>
    <row r="40" spans="7:10" x14ac:dyDescent="0.35">
      <c r="G40" s="517"/>
      <c r="H40" s="518"/>
      <c r="I40" s="518"/>
      <c r="J40" s="519"/>
    </row>
    <row r="41" spans="7:10" x14ac:dyDescent="0.35">
      <c r="G41" s="517"/>
      <c r="H41" s="518"/>
      <c r="I41" s="518"/>
      <c r="J41" s="519"/>
    </row>
    <row r="42" spans="7:10" x14ac:dyDescent="0.35">
      <c r="G42" s="517"/>
      <c r="H42" s="518"/>
      <c r="I42" s="518"/>
      <c r="J42" s="519"/>
    </row>
    <row r="43" spans="7:10" x14ac:dyDescent="0.35">
      <c r="G43" s="520"/>
      <c r="H43" s="521"/>
      <c r="I43" s="521"/>
      <c r="J43" s="522"/>
    </row>
  </sheetData>
  <mergeCells count="10">
    <mergeCell ref="G22:J30"/>
    <mergeCell ref="G33:J43"/>
    <mergeCell ref="C18:E18"/>
    <mergeCell ref="C19:E19"/>
    <mergeCell ref="C20:E20"/>
    <mergeCell ref="B7:E7"/>
    <mergeCell ref="G7:J7"/>
    <mergeCell ref="G9:H9"/>
    <mergeCell ref="C16:E16"/>
    <mergeCell ref="C17:E1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E60C-B5B9-40AC-B125-7548B97BC883}">
  <sheetPr codeName="Sheet17">
    <tabColor rgb="FF00B0F0"/>
  </sheetPr>
  <dimension ref="B2:U45"/>
  <sheetViews>
    <sheetView zoomScale="116" workbookViewId="0">
      <selection activeCell="C13" sqref="C12:E13"/>
    </sheetView>
  </sheetViews>
  <sheetFormatPr defaultColWidth="9.08984375" defaultRowHeight="14.5" x14ac:dyDescent="0.35"/>
  <cols>
    <col min="1" max="1" width="2.36328125" style="82" customWidth="1"/>
    <col min="2" max="2" width="16.08984375" style="82" bestFit="1" customWidth="1"/>
    <col min="3" max="3" width="59.08984375" style="82" customWidth="1"/>
    <col min="4" max="4" width="16.90625" style="82" bestFit="1" customWidth="1"/>
    <col min="5" max="5" width="15.90625" style="82" bestFit="1" customWidth="1"/>
    <col min="6" max="6" width="3.08984375" style="82" customWidth="1"/>
    <col min="7" max="7" width="33.54296875" style="82" customWidth="1"/>
    <col min="8" max="8" width="18.08984375" style="82" bestFit="1" customWidth="1"/>
    <col min="9" max="9" width="19.08984375" style="82" bestFit="1" customWidth="1"/>
    <col min="10" max="10" width="17.453125" style="82" bestFit="1" customWidth="1"/>
    <col min="11" max="11" width="35.1796875" style="82" customWidth="1"/>
    <col min="12" max="12" width="17.90625" style="82" bestFit="1" customWidth="1"/>
    <col min="13" max="13" width="22" style="82" bestFit="1" customWidth="1"/>
    <col min="14" max="14" width="18.08984375" style="82" bestFit="1" customWidth="1"/>
    <col min="15" max="15" width="20.453125" style="82" customWidth="1"/>
    <col min="16" max="16" width="19.08984375" style="82" bestFit="1" customWidth="1"/>
    <col min="17" max="17" width="15.54296875" style="82" bestFit="1" customWidth="1"/>
    <col min="18" max="20" width="9.08984375" style="82"/>
    <col min="21" max="21" width="10.08984375" style="82" bestFit="1" customWidth="1"/>
    <col min="22" max="16384" width="9.08984375" style="82"/>
  </cols>
  <sheetData>
    <row r="2" spans="2:10" ht="23.5" x14ac:dyDescent="0.55000000000000004">
      <c r="B2" s="116" t="s">
        <v>40</v>
      </c>
      <c r="G2" s="440"/>
      <c r="H2" s="440"/>
      <c r="I2" s="440"/>
      <c r="J2" s="440"/>
    </row>
    <row r="3" spans="2:10" x14ac:dyDescent="0.35">
      <c r="B3" s="82" t="s">
        <v>650</v>
      </c>
      <c r="C3" s="82" t="s">
        <v>162</v>
      </c>
      <c r="G3" s="440"/>
      <c r="H3" s="440"/>
      <c r="I3" s="440"/>
      <c r="J3" s="119"/>
    </row>
    <row r="4" spans="2:10" x14ac:dyDescent="0.35">
      <c r="B4" s="92" t="str">
        <f>B2&amp;" RDS "&amp;B3&amp;"
Comparison to Previous Quarter"</f>
        <v>Space Debris RDS 2026Q1
Comparison to Previous Quarter</v>
      </c>
      <c r="G4" s="440"/>
      <c r="H4" s="440"/>
      <c r="I4" s="440"/>
      <c r="J4" s="440"/>
    </row>
    <row r="5" spans="2:10" x14ac:dyDescent="0.35">
      <c r="B5" s="142" t="s">
        <v>364</v>
      </c>
      <c r="G5" s="440"/>
      <c r="H5" s="440"/>
      <c r="I5" s="440"/>
      <c r="J5" s="440"/>
    </row>
    <row r="7" spans="2:10" x14ac:dyDescent="0.35">
      <c r="B7" s="467" t="s">
        <v>163</v>
      </c>
      <c r="C7" s="468"/>
      <c r="D7" s="468"/>
      <c r="E7" s="469"/>
      <c r="G7" s="470" t="s">
        <v>164</v>
      </c>
      <c r="H7" s="471"/>
      <c r="I7" s="471"/>
      <c r="J7" s="472"/>
    </row>
    <row r="8" spans="2:10" x14ac:dyDescent="0.35">
      <c r="D8" s="92" t="str">
        <f>"Current "&amp;D9</f>
        <v>Current Gross</v>
      </c>
      <c r="E8" s="92" t="str">
        <f>"Current "&amp;E9</f>
        <v>Current Net</v>
      </c>
      <c r="I8" s="92" t="str">
        <f>"Previous "&amp;I9</f>
        <v>Previous Gross</v>
      </c>
      <c r="J8" s="92" t="str">
        <f>"Previous "&amp;J9</f>
        <v>Previous Net</v>
      </c>
    </row>
    <row r="9" spans="2:10" x14ac:dyDescent="0.35">
      <c r="B9" s="93" t="s">
        <v>37</v>
      </c>
      <c r="C9" s="94" t="s">
        <v>165</v>
      </c>
      <c r="D9" s="95" t="s">
        <v>89</v>
      </c>
      <c r="E9" s="96" t="s">
        <v>90</v>
      </c>
      <c r="G9" s="473" t="s">
        <v>165</v>
      </c>
      <c r="H9" s="474"/>
      <c r="I9" s="95" t="s">
        <v>89</v>
      </c>
      <c r="J9" s="96" t="s">
        <v>90</v>
      </c>
    </row>
    <row r="10" spans="2:10" x14ac:dyDescent="0.35">
      <c r="B10" s="97" t="s">
        <v>32</v>
      </c>
      <c r="C10" s="122" t="s">
        <v>172</v>
      </c>
      <c r="D10" s="99">
        <f>Summary!D137</f>
        <v>121033456.09688954</v>
      </c>
      <c r="E10" s="100">
        <f>Summary!D138</f>
        <v>99279126.559936896</v>
      </c>
      <c r="G10" s="122" t="s">
        <v>172</v>
      </c>
      <c r="H10" s="122"/>
      <c r="I10" s="99">
        <f>'[2]Change Narrative (Space Debris)'!D10</f>
        <v>103557499.44030607</v>
      </c>
      <c r="J10" s="100">
        <f>'[2]Change Narrative (Space Debris)'!E10</f>
        <v>83353480.175743386</v>
      </c>
    </row>
    <row r="11" spans="2:10" x14ac:dyDescent="0.35">
      <c r="B11" s="101" t="s">
        <v>29</v>
      </c>
      <c r="C11" s="127" t="s">
        <v>172</v>
      </c>
      <c r="D11" s="102">
        <f>Summary!E137</f>
        <v>75341155.490671456</v>
      </c>
      <c r="E11" s="103">
        <f>Summary!E138</f>
        <v>30436462.040268585</v>
      </c>
      <c r="G11" s="127" t="s">
        <v>172</v>
      </c>
      <c r="H11" s="127"/>
      <c r="I11" s="102">
        <f>'[2]Change Narrative (Space Debris)'!D11</f>
        <v>61162923.57301262</v>
      </c>
      <c r="J11" s="103">
        <f>'[2]Change Narrative (Space Debris)'!E11</f>
        <v>25316811.04920505</v>
      </c>
    </row>
    <row r="12" spans="2:10" x14ac:dyDescent="0.35">
      <c r="B12" s="101" t="s">
        <v>33</v>
      </c>
      <c r="C12" s="127" t="s">
        <v>172</v>
      </c>
      <c r="D12" s="102">
        <f>Summary!F137</f>
        <v>66110995.728377253</v>
      </c>
      <c r="E12" s="103">
        <f>Summary!F138</f>
        <v>65311001.808377251</v>
      </c>
      <c r="G12" s="127" t="s">
        <v>172</v>
      </c>
      <c r="H12" s="127"/>
      <c r="I12" s="102">
        <f>'[2]Change Narrative (Space Debris)'!D12</f>
        <v>53253808.396562219</v>
      </c>
      <c r="J12" s="103">
        <f>'[2]Change Narrative (Space Debris)'!E12</f>
        <v>53253808.396562219</v>
      </c>
    </row>
    <row r="13" spans="2:10" x14ac:dyDescent="0.35">
      <c r="B13" s="104" t="s">
        <v>31</v>
      </c>
      <c r="C13" s="126" t="s">
        <v>172</v>
      </c>
      <c r="D13" s="105">
        <f>Summary!G137</f>
        <v>29430522.594092067</v>
      </c>
      <c r="E13" s="106">
        <f>Summary!G138</f>
        <v>3531662.7112910482</v>
      </c>
      <c r="G13" s="126" t="s">
        <v>172</v>
      </c>
      <c r="H13" s="126"/>
      <c r="I13" s="105">
        <f>'[2]Change Narrative (Space Debris)'!D13</f>
        <v>39857172.749800995</v>
      </c>
      <c r="J13" s="106">
        <f>'[2]Change Narrative (Space Debris)'!E13</f>
        <v>4782860.7299761195</v>
      </c>
    </row>
    <row r="14" spans="2:10" hidden="1" x14ac:dyDescent="0.35">
      <c r="B14" s="104" t="s">
        <v>35</v>
      </c>
      <c r="C14" s="126" t="s">
        <v>172</v>
      </c>
      <c r="D14" s="128">
        <f>Summary!E50</f>
        <v>0</v>
      </c>
      <c r="E14" s="129">
        <f>D14</f>
        <v>0</v>
      </c>
      <c r="G14" s="126" t="s">
        <v>172</v>
      </c>
      <c r="H14" s="126"/>
      <c r="I14" s="128">
        <f>[3]Summary!$D$44</f>
        <v>35475021.496360727</v>
      </c>
      <c r="J14" s="129">
        <f>[3]Summary!$D$44</f>
        <v>35475021.496360727</v>
      </c>
    </row>
    <row r="17" spans="2:21" x14ac:dyDescent="0.35">
      <c r="C17" s="473" t="s">
        <v>166</v>
      </c>
      <c r="D17" s="474"/>
      <c r="E17" s="475"/>
      <c r="G17" s="107" t="s">
        <v>167</v>
      </c>
      <c r="H17" s="107" t="s">
        <v>168</v>
      </c>
      <c r="I17" s="107" t="s">
        <v>169</v>
      </c>
      <c r="J17" s="107" t="s">
        <v>170</v>
      </c>
    </row>
    <row r="18" spans="2:21" ht="63" customHeight="1" x14ac:dyDescent="0.35">
      <c r="B18" s="108" t="s">
        <v>32</v>
      </c>
      <c r="C18" s="506" t="s">
        <v>675</v>
      </c>
      <c r="D18" s="507"/>
      <c r="E18" s="507"/>
      <c r="G18" s="109">
        <f>D10-I10</f>
        <v>17475956.656583473</v>
      </c>
      <c r="H18" s="110">
        <f>D10/I10-1</f>
        <v>0.16875607030910578</v>
      </c>
      <c r="I18" s="109">
        <f>E10-J10</f>
        <v>15925646.38419351</v>
      </c>
      <c r="J18" s="110">
        <f>E10/J10-1</f>
        <v>0.19106156516339445</v>
      </c>
      <c r="K18" s="405">
        <f>G18-'[7]Change Narrative (Space Debris)'!G18</f>
        <v>-675106.9962245971</v>
      </c>
      <c r="L18" s="405">
        <f>Summary!D44-[7]Summary!$D$44</f>
        <v>-675106.99622460268</v>
      </c>
      <c r="M18" s="440"/>
    </row>
    <row r="19" spans="2:21" ht="44.4" customHeight="1" x14ac:dyDescent="0.35">
      <c r="B19" s="111" t="s">
        <v>29</v>
      </c>
      <c r="C19" s="476" t="s">
        <v>676</v>
      </c>
      <c r="D19" s="477"/>
      <c r="E19" s="477"/>
      <c r="G19" s="112">
        <f>D11-I11</f>
        <v>14178231.917658836</v>
      </c>
      <c r="H19" s="113">
        <f>D11/I11-1</f>
        <v>0.2318108927663296</v>
      </c>
      <c r="I19" s="112">
        <f>E11-J11</f>
        <v>5119650.9910635352</v>
      </c>
      <c r="J19" s="113">
        <f>E11/J11-1</f>
        <v>0.20222337565000292</v>
      </c>
      <c r="K19" s="405">
        <f>G19-'[7]Change Narrative (Space Debris)'!G19</f>
        <v>0</v>
      </c>
      <c r="L19" s="405"/>
      <c r="M19" s="440"/>
    </row>
    <row r="20" spans="2:21" ht="57.65" customHeight="1" x14ac:dyDescent="0.35">
      <c r="B20" s="111" t="s">
        <v>33</v>
      </c>
      <c r="C20" s="476" t="s">
        <v>680</v>
      </c>
      <c r="D20" s="477"/>
      <c r="E20" s="477"/>
      <c r="G20" s="112">
        <f t="shared" ref="G20:G22" si="0">D12-I12</f>
        <v>12857187.331815034</v>
      </c>
      <c r="H20" s="113">
        <f>D12/I12-1</f>
        <v>0.24143226031971499</v>
      </c>
      <c r="I20" s="112">
        <f t="shared" ref="I20:I22" si="1">E12-J12</f>
        <v>12057193.411815032</v>
      </c>
      <c r="J20" s="113">
        <f t="shared" ref="J20:J22" si="2">E12/J12-1</f>
        <v>0.22640997470132818</v>
      </c>
      <c r="K20" s="405">
        <f>G20-'[7]Change Narrative (Space Debris)'!G20</f>
        <v>-675106.99622460455</v>
      </c>
      <c r="L20" s="405"/>
      <c r="M20" s="440"/>
      <c r="P20" s="119"/>
    </row>
    <row r="21" spans="2:21" ht="31.75" customHeight="1" x14ac:dyDescent="0.35">
      <c r="B21" s="104" t="s">
        <v>31</v>
      </c>
      <c r="C21" s="476" t="s">
        <v>677</v>
      </c>
      <c r="D21" s="477"/>
      <c r="E21" s="477"/>
      <c r="G21" s="114">
        <f t="shared" si="0"/>
        <v>-10426650.155708928</v>
      </c>
      <c r="H21" s="115">
        <f t="shared" ref="H21:H22" si="3">D13/I13-1</f>
        <v>-0.26160034534213139</v>
      </c>
      <c r="I21" s="114">
        <f t="shared" si="1"/>
        <v>-1251198.0186850713</v>
      </c>
      <c r="J21" s="115">
        <f t="shared" si="2"/>
        <v>-0.26160034534213139</v>
      </c>
      <c r="K21" s="405">
        <f>G21-'[7]Change Narrative (Space Debris)'!G21</f>
        <v>0</v>
      </c>
      <c r="L21" s="405"/>
      <c r="M21" s="440"/>
    </row>
    <row r="22" spans="2:21" ht="44.25" hidden="1" customHeight="1" x14ac:dyDescent="0.35">
      <c r="B22" s="104" t="s">
        <v>35</v>
      </c>
      <c r="C22" s="525" t="s">
        <v>173</v>
      </c>
      <c r="D22" s="526"/>
      <c r="E22" s="527"/>
      <c r="G22" s="114">
        <f t="shared" si="0"/>
        <v>-35475021.496360727</v>
      </c>
      <c r="H22" s="115">
        <f t="shared" si="3"/>
        <v>-1</v>
      </c>
      <c r="I22" s="114">
        <f t="shared" si="1"/>
        <v>-35475021.496360727</v>
      </c>
      <c r="J22" s="115">
        <f t="shared" si="2"/>
        <v>-1</v>
      </c>
      <c r="K22" s="405"/>
      <c r="L22" s="405"/>
      <c r="M22" s="440"/>
    </row>
    <row r="23" spans="2:21" x14ac:dyDescent="0.35">
      <c r="C23" s="82">
        <f>-7.1+6.2</f>
        <v>-0.89999999999999947</v>
      </c>
      <c r="G23" s="119"/>
      <c r="H23" s="119"/>
      <c r="K23" s="405"/>
      <c r="L23" s="405"/>
      <c r="M23" s="440"/>
    </row>
    <row r="24" spans="2:21" x14ac:dyDescent="0.35">
      <c r="G24" s="478" t="s">
        <v>671</v>
      </c>
      <c r="H24" s="496"/>
      <c r="I24" s="496"/>
      <c r="J24" s="497"/>
    </row>
    <row r="25" spans="2:21" x14ac:dyDescent="0.35">
      <c r="G25" s="498"/>
      <c r="H25" s="499"/>
      <c r="I25" s="499"/>
      <c r="J25" s="500"/>
    </row>
    <row r="26" spans="2:21" x14ac:dyDescent="0.35">
      <c r="G26" s="498"/>
      <c r="H26" s="499"/>
      <c r="I26" s="499"/>
      <c r="J26" s="500"/>
      <c r="U26" s="150"/>
    </row>
    <row r="27" spans="2:21" x14ac:dyDescent="0.35">
      <c r="G27" s="498"/>
      <c r="H27" s="499"/>
      <c r="I27" s="499"/>
      <c r="J27" s="500"/>
      <c r="U27" s="150"/>
    </row>
    <row r="28" spans="2:21" x14ac:dyDescent="0.35">
      <c r="G28" s="498"/>
      <c r="H28" s="499"/>
      <c r="I28" s="499"/>
      <c r="J28" s="500"/>
    </row>
    <row r="29" spans="2:21" x14ac:dyDescent="0.35">
      <c r="G29" s="498"/>
      <c r="H29" s="499"/>
      <c r="I29" s="499"/>
      <c r="J29" s="500"/>
    </row>
    <row r="30" spans="2:21" x14ac:dyDescent="0.35">
      <c r="G30" s="498"/>
      <c r="H30" s="499"/>
      <c r="I30" s="499"/>
      <c r="J30" s="500"/>
    </row>
    <row r="31" spans="2:21" x14ac:dyDescent="0.35">
      <c r="G31" s="498"/>
      <c r="H31" s="499"/>
      <c r="I31" s="499"/>
      <c r="J31" s="500"/>
    </row>
    <row r="32" spans="2:21" x14ac:dyDescent="0.35">
      <c r="G32" s="501"/>
      <c r="H32" s="502"/>
      <c r="I32" s="502"/>
      <c r="J32" s="503"/>
    </row>
    <row r="33" spans="7:10" x14ac:dyDescent="0.35">
      <c r="G33" s="196"/>
      <c r="H33" s="196"/>
      <c r="I33" s="196"/>
      <c r="J33" s="196"/>
    </row>
    <row r="34" spans="7:10" x14ac:dyDescent="0.35">
      <c r="G34" s="514" t="s">
        <v>654</v>
      </c>
      <c r="H34" s="515"/>
      <c r="I34" s="515"/>
      <c r="J34" s="516"/>
    </row>
    <row r="35" spans="7:10" x14ac:dyDescent="0.35">
      <c r="G35" s="517"/>
      <c r="H35" s="518"/>
      <c r="I35" s="518"/>
      <c r="J35" s="519"/>
    </row>
    <row r="36" spans="7:10" x14ac:dyDescent="0.35">
      <c r="G36" s="517"/>
      <c r="H36" s="518"/>
      <c r="I36" s="518"/>
      <c r="J36" s="519"/>
    </row>
    <row r="37" spans="7:10" x14ac:dyDescent="0.35">
      <c r="G37" s="517"/>
      <c r="H37" s="518"/>
      <c r="I37" s="518"/>
      <c r="J37" s="519"/>
    </row>
    <row r="38" spans="7:10" x14ac:dyDescent="0.35">
      <c r="G38" s="517"/>
      <c r="H38" s="518"/>
      <c r="I38" s="518"/>
      <c r="J38" s="519"/>
    </row>
    <row r="39" spans="7:10" x14ac:dyDescent="0.35">
      <c r="G39" s="517"/>
      <c r="H39" s="518"/>
      <c r="I39" s="518"/>
      <c r="J39" s="519"/>
    </row>
    <row r="40" spans="7:10" x14ac:dyDescent="0.35">
      <c r="G40" s="517"/>
      <c r="H40" s="518"/>
      <c r="I40" s="518"/>
      <c r="J40" s="519"/>
    </row>
    <row r="41" spans="7:10" x14ac:dyDescent="0.35">
      <c r="G41" s="517"/>
      <c r="H41" s="518"/>
      <c r="I41" s="518"/>
      <c r="J41" s="519"/>
    </row>
    <row r="42" spans="7:10" x14ac:dyDescent="0.35">
      <c r="G42" s="517"/>
      <c r="H42" s="518"/>
      <c r="I42" s="518"/>
      <c r="J42" s="519"/>
    </row>
    <row r="43" spans="7:10" x14ac:dyDescent="0.35">
      <c r="G43" s="517"/>
      <c r="H43" s="518"/>
      <c r="I43" s="518"/>
      <c r="J43" s="519"/>
    </row>
    <row r="44" spans="7:10" x14ac:dyDescent="0.35">
      <c r="G44" s="517"/>
      <c r="H44" s="518"/>
      <c r="I44" s="518"/>
      <c r="J44" s="519"/>
    </row>
    <row r="45" spans="7:10" x14ac:dyDescent="0.35">
      <c r="G45" s="520"/>
      <c r="H45" s="521"/>
      <c r="I45" s="521"/>
      <c r="J45" s="522"/>
    </row>
  </sheetData>
  <mergeCells count="11">
    <mergeCell ref="G24:J32"/>
    <mergeCell ref="G34:J45"/>
    <mergeCell ref="B7:E7"/>
    <mergeCell ref="G7:J7"/>
    <mergeCell ref="G9:H9"/>
    <mergeCell ref="C22:E22"/>
    <mergeCell ref="C17:E17"/>
    <mergeCell ref="C18:E18"/>
    <mergeCell ref="C19:E19"/>
    <mergeCell ref="C20:E20"/>
    <mergeCell ref="C21:E2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01AF-0F9B-43C8-9554-2F0EBAFBE038}">
  <sheetPr codeName="Sheet5"/>
  <dimension ref="A1:AC39"/>
  <sheetViews>
    <sheetView workbookViewId="0"/>
  </sheetViews>
  <sheetFormatPr defaultRowHeight="14.5" x14ac:dyDescent="0.35"/>
  <cols>
    <col min="1" max="1" width="17.453125" bestFit="1" customWidth="1"/>
    <col min="2" max="2" width="37.54296875" bestFit="1" customWidth="1"/>
    <col min="3" max="4" width="10.90625" bestFit="1" customWidth="1"/>
    <col min="5" max="5" width="14.90625" bestFit="1" customWidth="1"/>
    <col min="6" max="6" width="20.08984375" bestFit="1" customWidth="1"/>
    <col min="7" max="7" width="23.90625" bestFit="1" customWidth="1"/>
    <col min="8" max="11" width="24.90625" bestFit="1" customWidth="1"/>
    <col min="12" max="12" width="23.90625" bestFit="1" customWidth="1"/>
    <col min="13" max="13" width="17.90625" bestFit="1" customWidth="1"/>
    <col min="14" max="15" width="22.08984375" bestFit="1" customWidth="1"/>
    <col min="16" max="16" width="21.08984375" bestFit="1" customWidth="1"/>
    <col min="17" max="17" width="5.453125" bestFit="1" customWidth="1"/>
    <col min="18" max="18" width="6" bestFit="1" customWidth="1"/>
    <col min="19" max="19" width="15.90625" bestFit="1" customWidth="1"/>
    <col min="20" max="20" width="24.453125" bestFit="1" customWidth="1"/>
    <col min="21" max="21" width="16.08984375" bestFit="1" customWidth="1"/>
    <col min="22" max="22" width="34.453125" bestFit="1" customWidth="1"/>
    <col min="23" max="23" width="18.90625" bestFit="1" customWidth="1"/>
    <col min="24" max="24" width="6.90625" bestFit="1" customWidth="1"/>
    <col min="25" max="25" width="11.90625" bestFit="1" customWidth="1"/>
    <col min="26" max="26" width="9.08984375" bestFit="1" customWidth="1"/>
    <col min="27" max="27" width="37.54296875" bestFit="1" customWidth="1"/>
    <col min="28" max="30" width="10.90625" bestFit="1" customWidth="1"/>
    <col min="31" max="31" width="14.90625" bestFit="1" customWidth="1"/>
    <col min="32" max="32" width="13.90625" bestFit="1" customWidth="1"/>
    <col min="33" max="33" width="27.453125" bestFit="1" customWidth="1"/>
    <col min="34" max="34" width="26.453125" bestFit="1" customWidth="1"/>
    <col min="35" max="35" width="21" bestFit="1" customWidth="1"/>
    <col min="36" max="36" width="25.08984375" bestFit="1" customWidth="1"/>
    <col min="37" max="37" width="18.90625" bestFit="1" customWidth="1"/>
    <col min="38" max="38" width="16.54296875" bestFit="1" customWidth="1"/>
    <col min="39" max="39" width="17.90625" bestFit="1" customWidth="1"/>
    <col min="40" max="40" width="11.453125" bestFit="1" customWidth="1"/>
    <col min="41" max="41" width="13.54296875" bestFit="1" customWidth="1"/>
  </cols>
  <sheetData>
    <row r="1" spans="1:29" x14ac:dyDescent="0.35">
      <c r="A1" t="s">
        <v>41</v>
      </c>
      <c r="B1" t="s">
        <v>46</v>
      </c>
      <c r="C1" t="s">
        <v>3</v>
      </c>
      <c r="D1" t="s">
        <v>4</v>
      </c>
      <c r="E1" t="s">
        <v>47</v>
      </c>
      <c r="F1" t="s">
        <v>42</v>
      </c>
      <c r="G1" t="s">
        <v>45</v>
      </c>
      <c r="H1" t="s">
        <v>44</v>
      </c>
      <c r="I1" t="s">
        <v>43</v>
      </c>
    </row>
    <row r="2" spans="1:29" x14ac:dyDescent="0.35">
      <c r="A2" t="s">
        <v>13</v>
      </c>
      <c r="B2" t="s">
        <v>13</v>
      </c>
      <c r="C2" t="s">
        <v>13</v>
      </c>
      <c r="D2" s="1" t="s">
        <v>13</v>
      </c>
      <c r="E2" s="1" t="s">
        <v>13</v>
      </c>
      <c r="F2" t="s">
        <v>13</v>
      </c>
      <c r="G2" t="s">
        <v>13</v>
      </c>
      <c r="H2" t="s">
        <v>13</v>
      </c>
      <c r="I2" t="s">
        <v>13</v>
      </c>
      <c r="AB2" s="2"/>
      <c r="AC2" s="2"/>
    </row>
    <row r="3" spans="1:29" x14ac:dyDescent="0.35">
      <c r="A3">
        <v>59904</v>
      </c>
      <c r="B3" t="s">
        <v>48</v>
      </c>
      <c r="C3" s="2">
        <v>43739</v>
      </c>
      <c r="D3" s="2">
        <v>43982</v>
      </c>
      <c r="E3">
        <v>0.117647</v>
      </c>
      <c r="F3">
        <v>1</v>
      </c>
      <c r="G3">
        <v>0</v>
      </c>
      <c r="H3">
        <v>0</v>
      </c>
      <c r="I3">
        <v>0</v>
      </c>
    </row>
    <row r="4" spans="1:29" x14ac:dyDescent="0.35">
      <c r="A4">
        <v>145877</v>
      </c>
      <c r="B4" t="s">
        <v>49</v>
      </c>
      <c r="C4" s="2">
        <v>44105</v>
      </c>
      <c r="D4" s="2">
        <v>44561</v>
      </c>
      <c r="E4" s="72">
        <v>0.2</v>
      </c>
      <c r="F4">
        <v>0</v>
      </c>
      <c r="G4">
        <v>0</v>
      </c>
      <c r="H4">
        <v>0</v>
      </c>
      <c r="I4">
        <v>0</v>
      </c>
      <c r="AB4" s="2"/>
      <c r="AC4" s="2"/>
    </row>
    <row r="5" spans="1:29" x14ac:dyDescent="0.35">
      <c r="A5">
        <v>236123</v>
      </c>
      <c r="B5" t="s">
        <v>114</v>
      </c>
      <c r="C5" s="2">
        <v>44562</v>
      </c>
      <c r="D5" s="2">
        <v>44926</v>
      </c>
      <c r="E5" s="72">
        <v>0.2</v>
      </c>
      <c r="F5">
        <v>0</v>
      </c>
      <c r="G5">
        <v>0</v>
      </c>
      <c r="H5">
        <v>0</v>
      </c>
      <c r="I5">
        <v>0</v>
      </c>
    </row>
    <row r="6" spans="1:29" x14ac:dyDescent="0.35">
      <c r="A6" s="36"/>
    </row>
    <row r="9" spans="1:29" x14ac:dyDescent="0.35">
      <c r="D9" s="1"/>
      <c r="E9" s="1"/>
      <c r="AB9" s="2"/>
      <c r="AC9" s="2"/>
    </row>
    <row r="10" spans="1:29" x14ac:dyDescent="0.35">
      <c r="D10" s="1"/>
      <c r="E10" s="1"/>
      <c r="AB10" s="2"/>
      <c r="AC10" s="2"/>
    </row>
    <row r="11" spans="1:29" x14ac:dyDescent="0.35">
      <c r="D11" s="1"/>
      <c r="E11" s="1"/>
      <c r="AB11" s="2"/>
      <c r="AC11" s="2"/>
    </row>
    <row r="12" spans="1:29" x14ac:dyDescent="0.35">
      <c r="D12" s="1"/>
      <c r="E12" s="1"/>
      <c r="AB12" s="2"/>
      <c r="AC12" s="2"/>
    </row>
    <row r="13" spans="1:29" x14ac:dyDescent="0.35">
      <c r="D13" s="1"/>
      <c r="E13" s="1"/>
      <c r="AB13" s="2"/>
      <c r="AC13" s="2"/>
    </row>
    <row r="14" spans="1:29" x14ac:dyDescent="0.35">
      <c r="D14" s="1"/>
      <c r="E14" s="1"/>
      <c r="AB14" s="2"/>
      <c r="AC14" s="2"/>
    </row>
    <row r="16" spans="1:29" x14ac:dyDescent="0.35">
      <c r="D16" s="1"/>
      <c r="E16" s="1"/>
      <c r="AB16" s="2"/>
      <c r="AC16" s="2"/>
    </row>
    <row r="17" spans="4:29" x14ac:dyDescent="0.35">
      <c r="D17" s="1"/>
      <c r="E17" s="1"/>
      <c r="AB17" s="2"/>
      <c r="AC17" s="2"/>
    </row>
    <row r="18" spans="4:29" x14ac:dyDescent="0.35">
      <c r="D18" s="1"/>
      <c r="E18" s="1"/>
      <c r="AB18" s="2"/>
      <c r="AC18" s="2"/>
    </row>
    <row r="19" spans="4:29" x14ac:dyDescent="0.35">
      <c r="D19" s="1"/>
      <c r="E19" s="1"/>
      <c r="AB19" s="2"/>
      <c r="AC19" s="2"/>
    </row>
    <row r="20" spans="4:29" x14ac:dyDescent="0.35">
      <c r="D20" s="1"/>
      <c r="E20" s="1"/>
      <c r="AB20" s="2"/>
      <c r="AC20" s="2"/>
    </row>
    <row r="21" spans="4:29" x14ac:dyDescent="0.35">
      <c r="D21" s="1"/>
      <c r="E21" s="1"/>
      <c r="AB21" s="2"/>
      <c r="AC21" s="2"/>
    </row>
    <row r="22" spans="4:29" x14ac:dyDescent="0.35">
      <c r="D22" s="1"/>
      <c r="E22" s="1"/>
      <c r="AB22" s="2"/>
      <c r="AC22" s="2"/>
    </row>
    <row r="23" spans="4:29" x14ac:dyDescent="0.35">
      <c r="D23" s="1"/>
      <c r="E23" s="1"/>
      <c r="AB23" s="2"/>
      <c r="AC23" s="2"/>
    </row>
    <row r="24" spans="4:29" x14ac:dyDescent="0.35">
      <c r="D24" s="1"/>
      <c r="E24" s="1"/>
      <c r="AB24" s="2"/>
      <c r="AC24" s="2"/>
    </row>
    <row r="25" spans="4:29" x14ac:dyDescent="0.35">
      <c r="D25" s="1"/>
      <c r="E25" s="1"/>
      <c r="AB25" s="2"/>
      <c r="AC25" s="2"/>
    </row>
    <row r="26" spans="4:29" x14ac:dyDescent="0.35">
      <c r="D26" s="1"/>
      <c r="E26" s="1"/>
      <c r="AB26" s="2"/>
      <c r="AC26" s="2"/>
    </row>
    <row r="27" spans="4:29" x14ac:dyDescent="0.35">
      <c r="D27" s="1"/>
      <c r="E27" s="1"/>
      <c r="AB27" s="2"/>
      <c r="AC27" s="2"/>
    </row>
    <row r="28" spans="4:29" x14ac:dyDescent="0.35">
      <c r="D28" s="1"/>
      <c r="E28" s="1"/>
      <c r="AB28" s="2"/>
      <c r="AC28" s="2"/>
    </row>
    <row r="29" spans="4:29" x14ac:dyDescent="0.35">
      <c r="D29" s="1"/>
      <c r="E29" s="1"/>
      <c r="AB29" s="2"/>
      <c r="AC29" s="2"/>
    </row>
    <row r="30" spans="4:29" x14ac:dyDescent="0.35">
      <c r="D30" s="1"/>
      <c r="E30" s="1"/>
      <c r="AB30" s="2"/>
      <c r="AC30" s="2"/>
    </row>
    <row r="31" spans="4:29" x14ac:dyDescent="0.35">
      <c r="D31" s="1"/>
      <c r="E31" s="1"/>
      <c r="AB31" s="2"/>
      <c r="AC31" s="2"/>
    </row>
    <row r="32" spans="4:29" x14ac:dyDescent="0.35">
      <c r="D32" s="1"/>
      <c r="E32" s="1"/>
      <c r="AB32" s="2"/>
      <c r="AC32" s="2"/>
    </row>
    <row r="33" spans="4:29" x14ac:dyDescent="0.35">
      <c r="D33" s="1"/>
      <c r="E33" s="1"/>
      <c r="AB33" s="2"/>
      <c r="AC33" s="2"/>
    </row>
    <row r="34" spans="4:29" x14ac:dyDescent="0.35">
      <c r="D34" s="1"/>
      <c r="E34" s="1"/>
      <c r="AB34" s="2"/>
      <c r="AC34" s="2"/>
    </row>
    <row r="35" spans="4:29" x14ac:dyDescent="0.35">
      <c r="D35" s="1"/>
      <c r="E35" s="1"/>
      <c r="AB35" s="2"/>
      <c r="AC35" s="2"/>
    </row>
    <row r="36" spans="4:29" x14ac:dyDescent="0.35">
      <c r="D36" s="1"/>
      <c r="E36" s="1"/>
      <c r="AB36" s="2"/>
      <c r="AC36" s="2"/>
    </row>
    <row r="37" spans="4:29" x14ac:dyDescent="0.35">
      <c r="D37" s="1"/>
      <c r="E37" s="1"/>
      <c r="AB37" s="2"/>
      <c r="AC37" s="2"/>
    </row>
    <row r="38" spans="4:29" x14ac:dyDescent="0.35">
      <c r="D38" s="1"/>
      <c r="E38" s="1"/>
      <c r="AB38" s="2"/>
      <c r="AC38" s="2"/>
    </row>
    <row r="39" spans="4:29" x14ac:dyDescent="0.35">
      <c r="D39" s="1"/>
      <c r="E39" s="1"/>
      <c r="AB39" s="2"/>
      <c r="AC39"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85A0-221E-4848-8EB5-FFCAAE1B7A94}">
  <sheetPr codeName="Sheet7"/>
  <dimension ref="A1:E52"/>
  <sheetViews>
    <sheetView workbookViewId="0"/>
  </sheetViews>
  <sheetFormatPr defaultRowHeight="14.5" x14ac:dyDescent="0.35"/>
  <cols>
    <col min="1" max="1" width="7.54296875" bestFit="1" customWidth="1"/>
    <col min="2" max="2" width="10.08984375" bestFit="1" customWidth="1"/>
    <col min="3" max="3" width="9" bestFit="1" customWidth="1"/>
    <col min="4" max="4" width="19.54296875" bestFit="1" customWidth="1"/>
    <col min="5" max="5" width="19.90625" style="4" bestFit="1" customWidth="1"/>
  </cols>
  <sheetData>
    <row r="1" spans="1:5" x14ac:dyDescent="0.35">
      <c r="A1" t="s">
        <v>0</v>
      </c>
      <c r="B1" t="s">
        <v>19</v>
      </c>
      <c r="C1" t="s">
        <v>20</v>
      </c>
      <c r="D1" t="s">
        <v>21</v>
      </c>
      <c r="E1" s="4" t="s">
        <v>26</v>
      </c>
    </row>
    <row r="2" spans="1:5" x14ac:dyDescent="0.35">
      <c r="A2">
        <v>57066</v>
      </c>
      <c r="B2">
        <v>46920</v>
      </c>
      <c r="C2">
        <v>2019</v>
      </c>
      <c r="D2" t="s">
        <v>22</v>
      </c>
      <c r="E2" s="4">
        <v>14907364.7937169</v>
      </c>
    </row>
    <row r="3" spans="1:5" x14ac:dyDescent="0.35">
      <c r="A3">
        <v>57117</v>
      </c>
      <c r="B3">
        <v>46976</v>
      </c>
      <c r="C3">
        <v>2019</v>
      </c>
      <c r="D3" t="s">
        <v>22</v>
      </c>
      <c r="E3" s="4">
        <v>5729999</v>
      </c>
    </row>
    <row r="4" spans="1:5" x14ac:dyDescent="0.35">
      <c r="A4">
        <v>57118</v>
      </c>
      <c r="B4">
        <v>46977</v>
      </c>
      <c r="C4">
        <v>2019</v>
      </c>
      <c r="D4" t="s">
        <v>22</v>
      </c>
      <c r="E4" s="4">
        <v>1650000</v>
      </c>
    </row>
    <row r="5" spans="1:5" x14ac:dyDescent="0.35">
      <c r="A5">
        <v>58423</v>
      </c>
      <c r="B5">
        <v>47186</v>
      </c>
      <c r="C5">
        <v>2019</v>
      </c>
      <c r="D5" t="s">
        <v>23</v>
      </c>
      <c r="E5" s="4">
        <v>2747898.7450000001</v>
      </c>
    </row>
    <row r="6" spans="1:5" x14ac:dyDescent="0.35">
      <c r="A6">
        <v>58460</v>
      </c>
      <c r="B6">
        <v>47855</v>
      </c>
      <c r="C6">
        <v>2019</v>
      </c>
      <c r="D6" t="s">
        <v>23</v>
      </c>
      <c r="E6" s="4">
        <v>2500000</v>
      </c>
    </row>
    <row r="7" spans="1:5" x14ac:dyDescent="0.35">
      <c r="A7">
        <v>60244</v>
      </c>
      <c r="B7">
        <v>46977</v>
      </c>
      <c r="C7">
        <v>2019</v>
      </c>
      <c r="D7" t="s">
        <v>22</v>
      </c>
      <c r="E7" s="4">
        <v>1329652.4124</v>
      </c>
    </row>
    <row r="8" spans="1:5" x14ac:dyDescent="0.35">
      <c r="A8">
        <v>64168</v>
      </c>
      <c r="B8">
        <v>51145</v>
      </c>
      <c r="C8">
        <v>2020</v>
      </c>
      <c r="D8" t="s">
        <v>22</v>
      </c>
      <c r="E8" s="4">
        <v>15000000</v>
      </c>
    </row>
    <row r="9" spans="1:5" x14ac:dyDescent="0.35">
      <c r="A9">
        <v>64169</v>
      </c>
      <c r="B9">
        <v>51145</v>
      </c>
      <c r="C9">
        <v>2020</v>
      </c>
      <c r="D9" t="s">
        <v>22</v>
      </c>
      <c r="E9" s="4">
        <v>15000000</v>
      </c>
    </row>
    <row r="10" spans="1:5" x14ac:dyDescent="0.35">
      <c r="A10" s="3">
        <v>69689</v>
      </c>
      <c r="B10" s="3">
        <v>53695</v>
      </c>
      <c r="C10" s="3">
        <v>2020</v>
      </c>
      <c r="D10" s="3" t="s">
        <v>22</v>
      </c>
      <c r="E10" s="4">
        <v>1499850</v>
      </c>
    </row>
    <row r="11" spans="1:5" x14ac:dyDescent="0.35">
      <c r="A11" s="3">
        <v>72334</v>
      </c>
      <c r="B11" s="3">
        <v>54862</v>
      </c>
      <c r="C11" s="3">
        <v>2021</v>
      </c>
      <c r="D11" s="3" t="s">
        <v>24</v>
      </c>
      <c r="E11" s="4">
        <v>7499997</v>
      </c>
    </row>
    <row r="12" spans="1:5" x14ac:dyDescent="0.35">
      <c r="A12">
        <v>75465</v>
      </c>
      <c r="B12">
        <v>56439</v>
      </c>
      <c r="C12">
        <v>2020</v>
      </c>
      <c r="D12" t="s">
        <v>22</v>
      </c>
      <c r="E12" s="4">
        <v>15000104</v>
      </c>
    </row>
    <row r="13" spans="1:5" x14ac:dyDescent="0.35">
      <c r="A13">
        <v>76923</v>
      </c>
      <c r="B13">
        <v>57268</v>
      </c>
      <c r="C13">
        <v>2020</v>
      </c>
      <c r="D13" t="s">
        <v>22</v>
      </c>
      <c r="E13" s="4">
        <v>7500000</v>
      </c>
    </row>
    <row r="14" spans="1:5" x14ac:dyDescent="0.35">
      <c r="A14">
        <v>76955</v>
      </c>
      <c r="B14">
        <v>57268</v>
      </c>
      <c r="C14">
        <v>2020</v>
      </c>
      <c r="D14" t="s">
        <v>22</v>
      </c>
      <c r="E14" s="4">
        <v>7500000</v>
      </c>
    </row>
    <row r="15" spans="1:5" x14ac:dyDescent="0.35">
      <c r="A15">
        <v>76956</v>
      </c>
      <c r="B15">
        <v>57268</v>
      </c>
      <c r="C15">
        <v>2020</v>
      </c>
      <c r="D15" t="s">
        <v>22</v>
      </c>
      <c r="E15" s="4">
        <v>7500000</v>
      </c>
    </row>
    <row r="16" spans="1:5" x14ac:dyDescent="0.35">
      <c r="A16">
        <v>76957</v>
      </c>
      <c r="B16">
        <v>57268</v>
      </c>
      <c r="C16">
        <v>2020</v>
      </c>
      <c r="D16" t="s">
        <v>22</v>
      </c>
      <c r="E16" s="4">
        <v>7500000</v>
      </c>
    </row>
    <row r="17" spans="1:5" x14ac:dyDescent="0.35">
      <c r="A17">
        <v>76958</v>
      </c>
      <c r="B17">
        <v>57268</v>
      </c>
      <c r="C17">
        <v>2020</v>
      </c>
      <c r="D17" t="s">
        <v>22</v>
      </c>
      <c r="E17" s="4">
        <v>7500000</v>
      </c>
    </row>
    <row r="18" spans="1:5" x14ac:dyDescent="0.35">
      <c r="A18">
        <v>76959</v>
      </c>
      <c r="B18">
        <v>57268</v>
      </c>
      <c r="C18">
        <v>2020</v>
      </c>
      <c r="D18" t="s">
        <v>22</v>
      </c>
      <c r="E18" s="4">
        <v>7500000</v>
      </c>
    </row>
    <row r="19" spans="1:5" x14ac:dyDescent="0.35">
      <c r="A19" s="3">
        <v>77450</v>
      </c>
      <c r="B19" s="3">
        <v>57584</v>
      </c>
      <c r="C19" s="3">
        <v>2020</v>
      </c>
      <c r="D19" s="3" t="s">
        <v>22</v>
      </c>
      <c r="E19" s="4">
        <v>1499850</v>
      </c>
    </row>
    <row r="20" spans="1:5" x14ac:dyDescent="0.35">
      <c r="A20">
        <v>79150</v>
      </c>
      <c r="B20">
        <v>58594</v>
      </c>
      <c r="C20">
        <v>2020</v>
      </c>
      <c r="D20" t="s">
        <v>22</v>
      </c>
      <c r="E20" s="4">
        <v>39336832.657499999</v>
      </c>
    </row>
    <row r="21" spans="1:5" x14ac:dyDescent="0.35">
      <c r="A21" s="3">
        <v>79170</v>
      </c>
      <c r="B21" s="3">
        <v>57847</v>
      </c>
      <c r="C21" s="3">
        <v>2020</v>
      </c>
      <c r="D21" s="3" t="s">
        <v>22</v>
      </c>
      <c r="E21" s="4">
        <v>22873066.848549001</v>
      </c>
    </row>
    <row r="22" spans="1:5" x14ac:dyDescent="0.35">
      <c r="A22" s="3">
        <v>118084</v>
      </c>
      <c r="B22" s="3">
        <v>58429</v>
      </c>
      <c r="C22" s="3">
        <v>2020</v>
      </c>
      <c r="D22" s="3" t="s">
        <v>22</v>
      </c>
      <c r="E22" s="4">
        <v>32156263</v>
      </c>
    </row>
    <row r="23" spans="1:5" x14ac:dyDescent="0.35">
      <c r="A23" s="3">
        <v>145595</v>
      </c>
      <c r="B23" s="3">
        <v>58213</v>
      </c>
      <c r="C23" s="3">
        <v>2021</v>
      </c>
      <c r="D23" s="3" t="s">
        <v>24</v>
      </c>
      <c r="E23" s="4">
        <v>31429883.885795601</v>
      </c>
    </row>
    <row r="24" spans="1:5" x14ac:dyDescent="0.35">
      <c r="A24">
        <v>147096</v>
      </c>
      <c r="B24">
        <v>97034</v>
      </c>
      <c r="C24">
        <v>2020</v>
      </c>
      <c r="D24" t="s">
        <v>22</v>
      </c>
      <c r="E24" s="4">
        <v>30959999</v>
      </c>
    </row>
    <row r="25" spans="1:5" x14ac:dyDescent="0.35">
      <c r="A25">
        <v>151227</v>
      </c>
      <c r="B25">
        <v>126983</v>
      </c>
      <c r="C25">
        <v>2020</v>
      </c>
      <c r="D25" t="s">
        <v>22</v>
      </c>
      <c r="E25" s="4">
        <v>29131627.820126399</v>
      </c>
    </row>
    <row r="26" spans="1:5" x14ac:dyDescent="0.35">
      <c r="A26">
        <v>152058</v>
      </c>
      <c r="B26">
        <v>127460</v>
      </c>
      <c r="C26">
        <v>2021</v>
      </c>
      <c r="D26" t="s">
        <v>22</v>
      </c>
      <c r="E26" s="4">
        <v>10834000</v>
      </c>
    </row>
    <row r="27" spans="1:5" x14ac:dyDescent="0.35">
      <c r="A27">
        <v>152778</v>
      </c>
      <c r="B27">
        <v>127788</v>
      </c>
      <c r="C27">
        <v>2020</v>
      </c>
      <c r="D27" t="s">
        <v>22</v>
      </c>
      <c r="E27" s="4">
        <v>5063361</v>
      </c>
    </row>
    <row r="28" spans="1:5" x14ac:dyDescent="0.35">
      <c r="A28">
        <v>153244</v>
      </c>
      <c r="B28">
        <v>128129</v>
      </c>
      <c r="C28">
        <v>2020</v>
      </c>
      <c r="D28" t="s">
        <v>22</v>
      </c>
      <c r="E28" s="4">
        <v>8499996</v>
      </c>
    </row>
    <row r="29" spans="1:5" x14ac:dyDescent="0.35">
      <c r="A29">
        <v>153858</v>
      </c>
      <c r="B29">
        <v>127885</v>
      </c>
      <c r="C29">
        <v>2020</v>
      </c>
      <c r="D29" t="s">
        <v>22</v>
      </c>
      <c r="E29" s="4">
        <v>10000000</v>
      </c>
    </row>
    <row r="30" spans="1:5" x14ac:dyDescent="0.35">
      <c r="A30">
        <v>153883</v>
      </c>
      <c r="B30">
        <v>127788</v>
      </c>
      <c r="C30">
        <v>2020</v>
      </c>
      <c r="D30" t="s">
        <v>22</v>
      </c>
      <c r="E30" s="4">
        <v>2371138</v>
      </c>
    </row>
    <row r="31" spans="1:5" x14ac:dyDescent="0.35">
      <c r="A31">
        <v>154140</v>
      </c>
      <c r="B31">
        <v>125439</v>
      </c>
      <c r="C31">
        <v>2021</v>
      </c>
      <c r="D31" t="s">
        <v>22</v>
      </c>
      <c r="E31" s="4">
        <v>5831077.6678510997</v>
      </c>
    </row>
    <row r="32" spans="1:5" x14ac:dyDescent="0.35">
      <c r="A32">
        <v>154189</v>
      </c>
      <c r="B32">
        <v>128633</v>
      </c>
      <c r="C32">
        <v>2021</v>
      </c>
      <c r="D32" t="s">
        <v>22</v>
      </c>
      <c r="E32" s="4">
        <v>15459644.659913899</v>
      </c>
    </row>
    <row r="33" spans="1:5" x14ac:dyDescent="0.35">
      <c r="A33">
        <v>154508</v>
      </c>
      <c r="B33">
        <v>128635</v>
      </c>
      <c r="C33">
        <v>2021</v>
      </c>
      <c r="D33" t="s">
        <v>22</v>
      </c>
      <c r="E33" s="4">
        <v>10319582.865556199</v>
      </c>
    </row>
    <row r="34" spans="1:5" x14ac:dyDescent="0.35">
      <c r="A34">
        <v>154669</v>
      </c>
      <c r="B34">
        <v>128883</v>
      </c>
      <c r="C34">
        <v>2021</v>
      </c>
      <c r="D34" t="s">
        <v>22</v>
      </c>
      <c r="E34" s="4">
        <v>23726337.267589301</v>
      </c>
    </row>
    <row r="35" spans="1:5" x14ac:dyDescent="0.35">
      <c r="A35">
        <v>154670</v>
      </c>
      <c r="B35">
        <v>128883</v>
      </c>
      <c r="C35">
        <v>2021</v>
      </c>
      <c r="D35" t="s">
        <v>22</v>
      </c>
      <c r="E35" s="4">
        <v>22884412.2243983</v>
      </c>
    </row>
    <row r="36" spans="1:5" x14ac:dyDescent="0.35">
      <c r="A36">
        <v>154671</v>
      </c>
      <c r="B36">
        <v>128883</v>
      </c>
      <c r="C36">
        <v>2021</v>
      </c>
      <c r="D36" t="s">
        <v>22</v>
      </c>
      <c r="E36" s="4">
        <v>50820369.819899999</v>
      </c>
    </row>
    <row r="37" spans="1:5" x14ac:dyDescent="0.35">
      <c r="A37">
        <v>154672</v>
      </c>
      <c r="B37">
        <v>128883</v>
      </c>
      <c r="C37">
        <v>2021</v>
      </c>
      <c r="D37" t="s">
        <v>22</v>
      </c>
      <c r="E37" s="4">
        <v>40073148.685756698</v>
      </c>
    </row>
    <row r="38" spans="1:5" x14ac:dyDescent="0.35">
      <c r="A38">
        <v>154673</v>
      </c>
      <c r="B38">
        <v>128883</v>
      </c>
      <c r="C38">
        <v>2021</v>
      </c>
      <c r="D38" t="s">
        <v>22</v>
      </c>
      <c r="E38" s="4">
        <v>34290265.351407401</v>
      </c>
    </row>
    <row r="39" spans="1:5" x14ac:dyDescent="0.35">
      <c r="A39">
        <v>154944</v>
      </c>
      <c r="B39">
        <v>129044</v>
      </c>
      <c r="C39">
        <v>2020</v>
      </c>
      <c r="D39" t="s">
        <v>22</v>
      </c>
      <c r="E39" s="4">
        <v>1712306</v>
      </c>
    </row>
    <row r="40" spans="1:5" x14ac:dyDescent="0.35">
      <c r="A40">
        <v>154950</v>
      </c>
      <c r="B40">
        <v>129045</v>
      </c>
      <c r="C40">
        <v>2020</v>
      </c>
      <c r="D40" t="s">
        <v>22</v>
      </c>
      <c r="E40" s="4">
        <v>11294510</v>
      </c>
    </row>
    <row r="41" spans="1:5" x14ac:dyDescent="0.35">
      <c r="A41">
        <v>154951</v>
      </c>
      <c r="B41">
        <v>129045</v>
      </c>
      <c r="C41">
        <v>2020</v>
      </c>
      <c r="D41" t="s">
        <v>22</v>
      </c>
      <c r="E41" s="4">
        <v>11308873</v>
      </c>
    </row>
    <row r="42" spans="1:5" x14ac:dyDescent="0.35">
      <c r="A42">
        <v>154952</v>
      </c>
      <c r="B42">
        <v>129045</v>
      </c>
      <c r="C42">
        <v>2020</v>
      </c>
      <c r="D42" t="s">
        <v>22</v>
      </c>
      <c r="E42" s="4">
        <v>1429904</v>
      </c>
    </row>
    <row r="43" spans="1:5" x14ac:dyDescent="0.35">
      <c r="A43">
        <v>156797</v>
      </c>
      <c r="B43">
        <v>130040</v>
      </c>
      <c r="C43">
        <v>2021</v>
      </c>
      <c r="D43" t="s">
        <v>22</v>
      </c>
      <c r="E43" s="4">
        <v>12290286.585396299</v>
      </c>
    </row>
    <row r="44" spans="1:5" x14ac:dyDescent="0.35">
      <c r="A44">
        <v>157316</v>
      </c>
      <c r="B44">
        <v>129989</v>
      </c>
      <c r="C44">
        <v>2021</v>
      </c>
      <c r="D44" t="s">
        <v>22</v>
      </c>
      <c r="E44" s="4">
        <v>9999984</v>
      </c>
    </row>
    <row r="45" spans="1:5" x14ac:dyDescent="0.35">
      <c r="A45">
        <v>157540</v>
      </c>
      <c r="B45">
        <v>130432</v>
      </c>
      <c r="C45">
        <v>2021</v>
      </c>
      <c r="D45" t="s">
        <v>25</v>
      </c>
      <c r="E45" s="4">
        <v>15000000</v>
      </c>
    </row>
    <row r="46" spans="1:5" x14ac:dyDescent="0.35">
      <c r="A46">
        <v>159766</v>
      </c>
      <c r="B46">
        <v>131499</v>
      </c>
      <c r="C46">
        <v>2021</v>
      </c>
      <c r="D46" t="s">
        <v>25</v>
      </c>
      <c r="E46" s="4">
        <v>5014012.6650079899</v>
      </c>
    </row>
    <row r="47" spans="1:5" x14ac:dyDescent="0.35">
      <c r="A47">
        <v>160216</v>
      </c>
      <c r="B47">
        <v>128635</v>
      </c>
      <c r="C47">
        <v>2021</v>
      </c>
      <c r="D47" t="s">
        <v>22</v>
      </c>
      <c r="E47" s="4">
        <v>27359793.9942999</v>
      </c>
    </row>
    <row r="48" spans="1:5" x14ac:dyDescent="0.35">
      <c r="A48">
        <v>161954</v>
      </c>
      <c r="B48">
        <v>131490</v>
      </c>
      <c r="C48">
        <v>2021</v>
      </c>
      <c r="D48" t="s">
        <v>24</v>
      </c>
      <c r="E48" s="4">
        <v>25000108</v>
      </c>
    </row>
    <row r="49" spans="1:5" x14ac:dyDescent="0.35">
      <c r="A49">
        <v>162573</v>
      </c>
      <c r="B49">
        <v>129859</v>
      </c>
      <c r="C49">
        <v>2021</v>
      </c>
      <c r="D49" t="s">
        <v>24</v>
      </c>
      <c r="E49" s="4">
        <v>30000000</v>
      </c>
    </row>
    <row r="50" spans="1:5" x14ac:dyDescent="0.35">
      <c r="A50">
        <v>163215</v>
      </c>
      <c r="B50">
        <v>132621</v>
      </c>
      <c r="C50">
        <v>2021</v>
      </c>
      <c r="D50" t="s">
        <v>24</v>
      </c>
      <c r="E50" s="4">
        <v>5890411.3375243396</v>
      </c>
    </row>
    <row r="51" spans="1:5" x14ac:dyDescent="0.35">
      <c r="A51">
        <v>163216</v>
      </c>
      <c r="B51">
        <v>132621</v>
      </c>
      <c r="C51">
        <v>2021</v>
      </c>
      <c r="D51" t="s">
        <v>24</v>
      </c>
      <c r="E51" s="4">
        <v>5890346.5436475696</v>
      </c>
    </row>
    <row r="52" spans="1:5" x14ac:dyDescent="0.35">
      <c r="A52">
        <v>163572</v>
      </c>
      <c r="B52">
        <v>133220</v>
      </c>
      <c r="C52">
        <v>2021</v>
      </c>
      <c r="D52" t="s">
        <v>22</v>
      </c>
      <c r="E52" s="4">
        <v>30000000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E7A9-1C3D-40E4-AEF6-67172DD4EC86}">
  <sheetPr codeName="Sheet6"/>
  <dimension ref="A1"/>
  <sheetViews>
    <sheetView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RDS QA</vt:lpstr>
      <vt:lpstr>Control</vt:lpstr>
      <vt:lpstr>Input Data</vt:lpstr>
      <vt:lpstr>Multiline XOL Check</vt:lpstr>
      <vt:lpstr>IG Equity Share</vt:lpstr>
      <vt:lpstr>S3123 Consortium Share</vt:lpstr>
      <vt:lpstr>S3123 QS</vt:lpstr>
      <vt:lpstr>Consortium Shares</vt:lpstr>
      <vt:lpstr>Sheet1</vt:lpstr>
      <vt:lpstr>Sheet3</vt:lpstr>
      <vt:lpstr>Largest Risks</vt:lpstr>
      <vt:lpstr>IGR XoL</vt:lpstr>
      <vt:lpstr>Changes</vt:lpstr>
      <vt:lpstr>IGR QS</vt:lpstr>
      <vt:lpstr>Summary</vt:lpstr>
      <vt:lpstr>Bus Manufacturer</vt:lpstr>
      <vt:lpstr>Spacecraft</vt:lpstr>
      <vt:lpstr>Change Narrative (Proton Flare)</vt:lpstr>
      <vt:lpstr>Change Narrative (Space Weathe)</vt:lpstr>
      <vt:lpstr>Change Narrative (Gen Defect)</vt:lpstr>
      <vt:lpstr>Sheet2</vt:lpstr>
      <vt:lpstr>Change Narrative (Max Risk)</vt:lpstr>
      <vt:lpstr>Change Narrative (Space Debris)</vt:lpstr>
      <vt:lpstr>Outwards_RI</vt:lpstr>
      <vt:lpstr>From_PQ</vt:lpstr>
      <vt:lpstr>SQL</vt:lpstr>
      <vt:lpstr>FIID</vt:lpstr>
      <vt:lpstr>FIID_Deductible</vt:lpstr>
      <vt:lpstr>FIID_Limit</vt:lpstr>
      <vt:lpstr>FUL</vt:lpstr>
      <vt:lpstr>FUL_Deductible</vt:lpstr>
      <vt:lpstr>FUL_Limit</vt:lpstr>
      <vt:lpstr>Generic_Defect_Loss</vt:lpstr>
      <vt:lpstr>Proton_Flare_InsLoss</vt:lpstr>
      <vt:lpstr>Space_Debris_Loss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Rossiter, Alex</dc:creator>
  <cp:lastModifiedBy>Tian, Tracy</cp:lastModifiedBy>
  <dcterms:created xsi:type="dcterms:W3CDTF">2021-04-13T12:14:46Z</dcterms:created>
  <dcterms:modified xsi:type="dcterms:W3CDTF">2026-06-04T16:28:28Z</dcterms:modified>
</cp:coreProperties>
</file>